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56.xml" ContentType="application/vnd.openxmlformats-officedocument.spreadsheetml.comments+xml"/>
  <Override PartName="/xl/comments55.xml" ContentType="application/vnd.openxmlformats-officedocument.spreadsheetml.comments+xml"/>
  <Override PartName="/xl/comments54.xml" ContentType="application/vnd.openxmlformats-officedocument.spreadsheetml.comments+xml"/>
  <Override PartName="/xl/comments53.xml" ContentType="application/vnd.openxmlformats-officedocument.spreadsheetml.comments+xml"/>
  <Override PartName="/xl/comments52.xml" ContentType="application/vnd.openxmlformats-officedocument.spreadsheetml.comments+xml"/>
  <Override PartName="/xl/comments51.xml" ContentType="application/vnd.openxmlformats-officedocument.spreadsheetml.comments+xml"/>
  <Override PartName="/xl/comments46.xml" ContentType="application/vnd.openxmlformats-officedocument.spreadsheetml.comments+xml"/>
  <Override PartName="/xl/comments45.xml" ContentType="application/vnd.openxmlformats-officedocument.spreadsheetml.comments+xml"/>
  <Override PartName="/xl/comments43.xml" ContentType="application/vnd.openxmlformats-officedocument.spreadsheetml.comment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29.xml.rels" ContentType="application/vnd.openxmlformats-package.relationships+xml"/>
  <Override PartName="/xl/worksheets/_rels/sheet71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52.xml.rels" ContentType="application/vnd.openxmlformats-package.relationships+xml"/>
  <Override PartName="/xl/worksheets/_rels/sheet15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51.xml.rels" ContentType="application/vnd.openxmlformats-package.relationships+xml"/>
  <Override PartName="/xl/worksheets/_rels/sheet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.xml" ContentType="application/vnd.openxmlformats-officedocument.spreadsheetml.worksheet+xml"/>
  <Override PartName="/xl/worksheets/sheet63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5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comments42.xml" ContentType="application/vnd.openxmlformats-officedocument.spreadsheetml.comments+xml"/>
  <Override PartName="/xl/comments40.xml" ContentType="application/vnd.openxmlformats-officedocument.spreadsheetml.comments+xml"/>
  <Override PartName="/xl/comments59.xml" ContentType="application/vnd.openxmlformats-officedocument.spreadsheetml.comments+xml"/>
  <Override PartName="/xl/comments44.xml" ContentType="application/vnd.openxmlformats-officedocument.spreadsheetml.comments+xml"/>
  <Override PartName="/xl/comments22.xml" ContentType="application/vnd.openxmlformats-officedocument.spreadsheetml.comments+xml"/>
  <Override PartName="/xl/comments9.xml" ContentType="application/vnd.openxmlformats-officedocument.spreadsheetml.comments+xml"/>
  <Override PartName="/xl/comments50.xml" ContentType="application/vnd.openxmlformats-officedocument.spreadsheetml.comments+xml"/>
  <Override PartName="/xl/comments19.xml" ContentType="application/vnd.openxmlformats-officedocument.spreadsheetml.comments+xml"/>
  <Override PartName="/xl/styles.xml" ContentType="application/vnd.openxmlformats-officedocument.spreadsheetml.styles+xml"/>
  <Override PartName="/xl/comments61.xml" ContentType="application/vnd.openxmlformats-officedocument.spreadsheetml.comments+xml"/>
  <Override PartName="/xl/comments17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workbook.xml" ContentType="application/vnd.openxmlformats-officedocument.spreadsheetml.sheet.main+xml"/>
  <Override PartName="/xl/comments25.xml" ContentType="application/vnd.openxmlformats-officedocument.spreadsheetml.comments+xml"/>
  <Override PartName="/xl/comments71.xml" ContentType="application/vnd.openxmlformats-officedocument.spreadsheetml.comments+xml"/>
  <Override PartName="/xl/comments29.xml" ContentType="application/vnd.openxmlformats-officedocument.spreadsheetml.comments+xml"/>
  <Override PartName="/xl/comments69.xml" ContentType="application/vnd.openxmlformats-officedocument.spreadsheetml.comments+xml"/>
  <Override PartName="/xl/comments32.xml" ContentType="application/vnd.openxmlformats-officedocument.spreadsheetml.comments+xml"/>
  <Override PartName="/xl/comments70.xml" ContentType="application/vnd.openxmlformats-officedocument.spreadsheetml.comments+xml"/>
  <Override PartName="/xl/comments28.xml" ContentType="application/vnd.openxmlformats-officedocument.spreadsheetml.comments+xml"/>
  <Override PartName="/xl/comments68.xml" ContentType="application/vnd.openxmlformats-officedocument.spreadsheetml.comments+xml"/>
  <Override PartName="/xl/comments31.xml" ContentType="application/vnd.openxmlformats-officedocument.spreadsheetml.comments+xml"/>
  <Override PartName="/xl/comments67.xml" ContentType="application/vnd.openxmlformats-officedocument.spreadsheetml.comments+xml"/>
  <Override PartName="/xl/comments30.xml" ContentType="application/vnd.openxmlformats-officedocument.spreadsheetml.comments+xml"/>
  <Override PartName="/xl/comments26.xml" ContentType="application/vnd.openxmlformats-officedocument.spreadsheetml.comments+xml"/>
  <Override PartName="/xl/comments63.xml" ContentType="application/vnd.openxmlformats-officedocument.spreadsheetml.comments+xml"/>
  <Override PartName="/xl/comments65.xml" ContentType="application/vnd.openxmlformats-officedocument.spreadsheetml.comments+xml"/>
  <Override PartName="/xl/comments62.xml" ContentType="application/vnd.openxmlformats-officedocument.spreadsheetml.comments+xml"/>
  <Override PartName="/xl/comments27.xml" ContentType="application/vnd.openxmlformats-officedocument.spreadsheetml.comments+xml"/>
  <Override PartName="/xl/comments58.xml" ContentType="application/vnd.openxmlformats-officedocument.spreadsheetml.comments+xml"/>
  <Override PartName="/xl/comments23.xml" ContentType="application/vnd.openxmlformats-officedocument.spreadsheetml.comments+xml"/>
  <Override PartName="/xl/comments6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66.xml" ContentType="application/vnd.openxmlformats-officedocument.spreadsheetml.comments+xml"/>
  <Override PartName="/xl/sharedStrings.xml" ContentType="application/vnd.openxmlformats-officedocument.spreadsheetml.sharedStrings+xml"/>
  <Override PartName="/xl/comments21.xml" ContentType="application/vnd.openxmlformats-officedocument.spreadsheetml.comment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comments47.xml" ContentType="application/vnd.openxmlformats-officedocument.spreadsheetml.comments+xml"/>
  <Override PartName="/xl/comments24.xml" ContentType="application/vnd.openxmlformats-officedocument.spreadsheetml.comments+xml"/>
  <Override PartName="/xl/comments64.xml" ContentType="application/vnd.openxmlformats-officedocument.spreadsheetml.comments+xml"/>
  <Override PartName="/xl/drawings/vmlDrawing59.vml" ContentType="application/vnd.openxmlformats-officedocument.vmlDrawing"/>
  <Override PartName="/xl/drawings/vmlDrawing58.vml" ContentType="application/vnd.openxmlformats-officedocument.vmlDrawing"/>
  <Override PartName="/xl/drawings/vmlDrawing57.vml" ContentType="application/vnd.openxmlformats-officedocument.vmlDrawing"/>
  <Override PartName="/xl/drawings/vmlDrawing56.vml" ContentType="application/vnd.openxmlformats-officedocument.vmlDrawing"/>
  <Override PartName="/xl/drawings/vmlDrawing55.vml" ContentType="application/vnd.openxmlformats-officedocument.vmlDrawing"/>
  <Override PartName="/xl/drawings/vmlDrawing49.vml" ContentType="application/vnd.openxmlformats-officedocument.vmlDrawing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vmlDrawing29.vml" ContentType="application/vnd.openxmlformats-officedocument.vmlDrawing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vmlDrawing50.vml" ContentType="application/vnd.openxmlformats-officedocument.vmlDrawing"/>
  <Override PartName="/xl/drawings/drawing15.xml" ContentType="application/vnd.openxmlformats-officedocument.drawing+xml"/>
  <Override PartName="/xl/drawings/vmlDrawing51.vml" ContentType="application/vnd.openxmlformats-officedocument.vmlDrawing"/>
  <Override PartName="/xl/drawings/drawing16.xml" ContentType="application/vnd.openxmlformats-officedocument.drawing+xml"/>
  <Override PartName="/xl/drawings/vmlDrawing52.vml" ContentType="application/vnd.openxmlformats-officedocument.vmlDrawing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vmlDrawing53.vml" ContentType="application/vnd.openxmlformats-officedocument.vmlDrawing"/>
  <Override PartName="/xl/drawings/drawing19.xml" ContentType="application/vnd.openxmlformats-officedocument.drawing+xml"/>
  <Override PartName="/xl/drawings/vmlDrawing54.vml" ContentType="application/vnd.openxmlformats-officedocument.vmlDrawing"/>
  <Override PartName="/xl/drawings/drawing46.xml" ContentType="application/vnd.openxmlformats-officedocument.drawing+xml"/>
  <Override PartName="/xl/drawings/vmlDrawing16.vml" ContentType="application/vnd.openxmlformats-officedocument.vmlDrawing"/>
  <Override PartName="/xl/drawings/drawing29.xml" ContentType="application/vnd.openxmlformats-officedocument.drawing+xml"/>
  <Override PartName="/xl/drawings/drawing47.xml" ContentType="application/vnd.openxmlformats-officedocument.drawing+xml"/>
  <Override PartName="/xl/drawings/vmlDrawing17.vml" ContentType="application/vnd.openxmlformats-officedocument.vmlDrawing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vmlDrawing18.vml" ContentType="application/vnd.openxmlformats-officedocument.vmlDrawing"/>
  <Override PartName="/xl/drawings/drawing1.xml" ContentType="application/vnd.openxmlformats-officedocument.drawing+xml"/>
  <Override PartName="/xl/drawings/vmlDrawing26.vml" ContentType="application/vnd.openxmlformats-officedocument.vmlDrawing"/>
  <Override PartName="/xl/drawings/drawing56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vmlDrawing27.vml" ContentType="application/vnd.openxmlformats-officedocument.vmlDrawing"/>
  <Override PartName="/xl/drawings/drawing2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vmlDrawing28.vml" ContentType="application/vnd.openxmlformats-officedocument.vmlDrawing"/>
  <Override PartName="/xl/drawings/drawing3.xml" ContentType="application/vnd.openxmlformats-officedocument.drawing+xml"/>
  <Override PartName="/xl/drawings/drawing66.xml" ContentType="application/vnd.openxmlformats-officedocument.drawing+xml"/>
  <Override PartName="/xl/drawings/vmlDrawing36.vml" ContentType="application/vnd.openxmlformats-officedocument.vmlDrawing"/>
  <Override PartName="/xl/drawings/vmlDrawing20.vml" ContentType="application/vnd.openxmlformats-officedocument.vmlDrawing"/>
  <Override PartName="/xl/drawings/drawing50.xml" ContentType="application/vnd.openxmlformats-officedocument.drawing+xml"/>
  <Override PartName="/xl/drawings/drawing30.xml" ContentType="application/vnd.openxmlformats-officedocument.drawing+xml"/>
  <Override PartName="/xl/drawings/drawing67.xml" ContentType="application/vnd.openxmlformats-officedocument.drawing+xml"/>
  <Override PartName="/xl/drawings/vmlDrawing37.vml" ContentType="application/vnd.openxmlformats-officedocument.vmlDrawing"/>
  <Override PartName="/xl/drawings/vmlDrawing21.vml" ContentType="application/vnd.openxmlformats-officedocument.vmlDrawing"/>
  <Override PartName="/xl/drawings/drawing51.xml" ContentType="application/vnd.openxmlformats-officedocument.drawing+xml"/>
  <Override PartName="/xl/drawings/vmlDrawing19.vml" ContentType="application/vnd.openxmlformats-officedocument.vmlDrawing"/>
  <Override PartName="/xl/drawings/drawing49.xml" ContentType="application/vnd.openxmlformats-officedocument.drawing+xml"/>
  <Override PartName="/xl/drawings/drawing31.xml" ContentType="application/vnd.openxmlformats-officedocument.drawing+xml"/>
  <Override PartName="/xl/drawings/drawing68.xml" ContentType="application/vnd.openxmlformats-officedocument.drawing+xml"/>
  <Override PartName="/xl/drawings/vmlDrawing38.vml" ContentType="application/vnd.openxmlformats-officedocument.vmlDrawing"/>
  <Override PartName="/xl/drawings/vmlDrawing22.vml" ContentType="application/vnd.openxmlformats-officedocument.vmlDrawing"/>
  <Override PartName="/xl/drawings/drawing52.xml" ContentType="application/vnd.openxmlformats-officedocument.drawing+xml"/>
  <Override PartName="/xl/drawings/vmlDrawing25.vml" ContentType="application/vnd.openxmlformats-officedocument.vmlDrawing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vmlDrawing24.vml" ContentType="application/vnd.openxmlformats-officedocument.vmlDrawing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vmlDrawing23.vml" ContentType="application/vnd.openxmlformats-officedocument.vmlDrawing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2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drawing27.xml" ContentType="application/vnd.openxmlformats-officedocument.drawing+xml"/>
  <Override PartName="/xl/drawings/vmlDrawing62.vml" ContentType="application/vnd.openxmlformats-officedocument.vmlDrawing"/>
  <Override PartName="/xl/drawings/vmlDrawing3.vml" ContentType="application/vnd.openxmlformats-officedocument.vmlDrawing"/>
  <Override PartName="/xl/drawings/vmlDrawing14.vml" ContentType="application/vnd.openxmlformats-officedocument.vmlDrawing"/>
  <Override PartName="/xl/drawings/drawing44.xml" ContentType="application/vnd.openxmlformats-officedocument.drawing+xml"/>
  <Override PartName="/xl/drawings/vmlDrawing8.vml" ContentType="application/vnd.openxmlformats-officedocument.vmlDrawing"/>
  <Override PartName="/xl/drawings/drawing28.xml" ContentType="application/vnd.openxmlformats-officedocument.drawing+xml"/>
  <Override PartName="/xl/drawings/vmlDrawing15.vml" ContentType="application/vnd.openxmlformats-officedocument.vmlDrawing"/>
  <Override PartName="/xl/drawings/drawing45.xml" ContentType="application/vnd.openxmlformats-officedocument.drawing+xml"/>
  <Override PartName="/xl/drawings/vmlDrawing9.vml" ContentType="application/vnd.openxmlformats-officedocument.vmlDrawing"/>
  <Override PartName="/xl/drawings/drawing23.xml" ContentType="application/vnd.openxmlformats-officedocument.drawing+xml"/>
  <Override PartName="/xl/drawings/vmlDrawing63.vml" ContentType="application/vnd.openxmlformats-officedocument.vmlDrawing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drawing40.xml" ContentType="application/vnd.openxmlformats-officedocument.drawing+xml"/>
  <Override PartName="/xl/drawings/drawing24.xml" ContentType="application/vnd.openxmlformats-officedocument.drawing+xml"/>
  <Override PartName="/xl/drawings/vmlDrawing64.vml" ContentType="application/vnd.openxmlformats-officedocument.vmlDrawing"/>
  <Override PartName="/xl/drawings/vmlDrawing5.vml" ContentType="application/vnd.openxmlformats-officedocument.vmlDrawing"/>
  <Override PartName="/xl/drawings/vmlDrawing11.vml" ContentType="application/vnd.openxmlformats-officedocument.vmlDrawing"/>
  <Override PartName="/xl/drawings/drawing41.xml" ContentType="application/vnd.openxmlformats-officedocument.drawing+xml"/>
  <Override PartName="/xl/drawings/drawing25.xml" ContentType="application/vnd.openxmlformats-officedocument.drawing+xml"/>
  <Override PartName="/xl/drawings/vmlDrawing60.vml" ContentType="application/vnd.openxmlformats-officedocument.vmlDrawing"/>
  <Override PartName="/xl/drawings/vmlDrawing1.vml" ContentType="application/vnd.openxmlformats-officedocument.vmlDrawing"/>
  <Override PartName="/xl/drawings/vmlDrawing65.vml" ContentType="application/vnd.openxmlformats-officedocument.vmlDrawing"/>
  <Override PartName="/xl/drawings/vmlDrawing6.vml" ContentType="application/vnd.openxmlformats-officedocument.vmlDrawing"/>
  <Override PartName="/xl/drawings/vmlDrawing12.vml" ContentType="application/vnd.openxmlformats-officedocument.vmlDrawing"/>
  <Override PartName="/xl/drawings/drawing42.xml" ContentType="application/vnd.openxmlformats-officedocument.drawing+xml"/>
  <Override PartName="/xl/drawings/drawing26.xml" ContentType="application/vnd.openxmlformats-officedocument.drawing+xml"/>
  <Override PartName="/xl/drawings/vmlDrawing61.vml" ContentType="application/vnd.openxmlformats-officedocument.vmlDrawing"/>
  <Override PartName="/xl/drawings/vmlDrawing2.vml" ContentType="application/vnd.openxmlformats-officedocument.vmlDrawing"/>
  <Override PartName="/xl/drawings/vmlDrawing7.vml" ContentType="application/vnd.openxmlformats-officedocument.vmlDrawing"/>
  <Override PartName="/xl/drawings/vmlDrawing13.vml" ContentType="application/vnd.openxmlformats-officedocument.vmlDrawing"/>
  <Override PartName="/xl/drawings/drawing43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vmlDrawing30.vml" ContentType="application/vnd.openxmlformats-officedocument.vmlDrawing"/>
  <Override PartName="/xl/drawings/drawing60.xml" ContentType="application/vnd.openxmlformats-officedocument.drawing+xml"/>
  <Override PartName="/xl/drawings/drawing34.xml" ContentType="application/vnd.openxmlformats-officedocument.drawing+xml"/>
  <Override PartName="/xl/drawings/vmlDrawing31.vml" ContentType="application/vnd.openxmlformats-officedocument.vmlDrawing"/>
  <Override PartName="/xl/drawings/drawing61.xml" ContentType="application/vnd.openxmlformats-officedocument.drawing+xml"/>
  <Override PartName="/xl/drawings/drawing35.xml" ContentType="application/vnd.openxmlformats-officedocument.drawing+xml"/>
  <Override PartName="/xl/drawings/vmlDrawing32.vml" ContentType="application/vnd.openxmlformats-officedocument.vmlDrawing"/>
  <Override PartName="/xl/drawings/drawing62.xml" ContentType="application/vnd.openxmlformats-officedocument.drawing+xml"/>
  <Override PartName="/xl/drawings/drawing36.xml" ContentType="application/vnd.openxmlformats-officedocument.drawing+xml"/>
  <Override PartName="/xl/drawings/vmlDrawing33.vml" ContentType="application/vnd.openxmlformats-officedocument.vmlDrawing"/>
  <Override PartName="/xl/drawings/drawing63.xml" ContentType="application/vnd.openxmlformats-officedocument.drawing+xml"/>
  <Override PartName="/xl/drawings/drawing37.xml" ContentType="application/vnd.openxmlformats-officedocument.drawing+xml"/>
  <Override PartName="/xl/drawings/vmlDrawing34.vml" ContentType="application/vnd.openxmlformats-officedocument.vmlDrawing"/>
  <Override PartName="/xl/drawings/drawing64.xml" ContentType="application/vnd.openxmlformats-officedocument.drawing+xml"/>
  <Override PartName="/xl/drawings/drawing38.xml" ContentType="application/vnd.openxmlformats-officedocument.drawing+xml"/>
  <Override PartName="/xl/drawings/vmlDrawing35.vml" ContentType="application/vnd.openxmlformats-officedocument.vmlDrawing"/>
  <Override PartName="/xl/drawings/drawing65.xml" ContentType="application/vnd.openxmlformats-officedocument.drawing+xml"/>
  <Override PartName="/xl/drawings/drawing39.xml" ContentType="application/vnd.openxmlformats-officedocument.drawing+xml"/>
  <Override PartName="/xl/drawings/vmlDrawing39.vml" ContentType="application/vnd.openxmlformats-officedocument.vmlDrawing"/>
  <Override PartName="/xl/drawings/vmlDrawing40.vml" ContentType="application/vnd.openxmlformats-officedocument.vmlDrawing"/>
  <Override PartName="/xl/drawings/vmlDrawing41.vml" ContentType="application/vnd.openxmlformats-officedocument.vmlDrawing"/>
  <Override PartName="/xl/drawings/vmlDrawing42.vml" ContentType="application/vnd.openxmlformats-officedocument.vmlDrawing"/>
  <Override PartName="/xl/drawings/vmlDrawing43.vml" ContentType="application/vnd.openxmlformats-officedocument.vmlDrawing"/>
  <Override PartName="/xl/drawings/vmlDrawing44.vml" ContentType="application/vnd.openxmlformats-officedocument.vmlDrawing"/>
  <Override PartName="/xl/drawings/vmlDrawing45.vml" ContentType="application/vnd.openxmlformats-officedocument.vmlDrawing"/>
  <Override PartName="/xl/drawings/vmlDrawing46.vml" ContentType="application/vnd.openxmlformats-officedocument.vmlDrawing"/>
  <Override PartName="/xl/drawings/vmlDrawing47.vml" ContentType="application/vnd.openxmlformats-officedocument.vmlDrawing"/>
  <Override PartName="/xl/drawings/vmlDrawing48.vml" ContentType="application/vnd.openxmlformats-officedocument.vmlDrawing"/>
  <Override PartName="/xl/comments41.xml" ContentType="application/vnd.openxmlformats-officedocument.spreadsheetml.comments+xml"/>
  <Override PartName="/xl/comments13.xml" ContentType="application/vnd.openxmlformats-officedocument.spreadsheetml.comments+xml"/>
  <Override PartName="/xl/comments7.xml" ContentType="application/vnd.openxmlformats-officedocument.spreadsheetml.comments+xml"/>
  <Override PartName="/xl/comments20.xml" ContentType="application/vnd.openxmlformats-officedocument.spreadsheetml.comments+xml"/>
  <Override PartName="/xl/_rels/workbook.xml.rels" ContentType="application/vnd.openxmlformats-package.relationships+xml"/>
  <Override PartName="/xl/comments57.xml" ContentType="application/vnd.openxmlformats-officedocument.spreadsheetml.comments+xml"/>
  <Override PartName="/xl/comments11.xml" ContentType="application/vnd.openxmlformats-officedocument.spreadsheetml.comments+xml"/>
  <Override PartName="/xl/comments48.xml" ContentType="application/vnd.openxmlformats-officedocument.spreadsheetml.comments+xml"/>
  <Override PartName="/xl/comments12.xml" ContentType="application/vnd.openxmlformats-officedocument.spreadsheetml.comments+xml"/>
  <Override PartName="/xl/comments49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wijzer" sheetId="1" state="visible" r:id="rId3"/>
    <sheet name="Dummy_overzicht" sheetId="2" state="visible" r:id="rId4"/>
    <sheet name="Tabellen" sheetId="3" state="visible" r:id="rId5"/>
    <sheet name="Velden" sheetId="4" state="visible" r:id="rId6"/>
    <sheet name="Keuzelijsten" sheetId="5" state="visible" r:id="rId7"/>
    <sheet name="Afwijkingen" sheetId="6" state="visible" r:id="rId8"/>
    <sheet name="opgave" sheetId="7" state="visible" r:id="rId9"/>
    <sheet name="procesniveau" sheetId="8" state="visible" r:id="rId10"/>
    <sheet name="procesfase" sheetId="9" state="visible" r:id="rId11"/>
    <sheet name="procesfase_relatie" sheetId="10" state="visible" r:id="rId12"/>
    <sheet name="beslismoment" sheetId="11" state="visible" r:id="rId13"/>
    <sheet name="besluittype" sheetId="12" state="visible" r:id="rId14"/>
    <sheet name="rol" sheetId="13" state="visible" r:id="rId15"/>
    <sheet name="rolcluster" sheetId="14" state="visible" r:id="rId16"/>
    <sheet name="functie_alias" sheetId="15" state="visible" r:id="rId17"/>
    <sheet name="eigenaartype" sheetId="16" state="visible" r:id="rId18"/>
    <sheet name="objecttype" sheetId="17" state="visible" r:id="rId19"/>
    <sheet name="financiele_vraag" sheetId="18" state="visible" r:id="rId20"/>
    <sheet name="financieel_thema" sheetId="19" state="visible" r:id="rId21"/>
    <sheet name="informatiebehoefte" sheetId="20" state="visible" r:id="rId22"/>
    <sheet name="informatietype" sheetId="21" state="visible" r:id="rId23"/>
    <sheet name="beslisproduct" sheetId="22" state="visible" r:id="rId24"/>
    <sheet name="handelingsperspectief" sheetId="23" state="visible" r:id="rId25"/>
    <sheet name="knelpunt" sheetId="24" state="visible" r:id="rId26"/>
    <sheet name="informatieoverdracht" sheetId="25" state="visible" r:id="rId27"/>
    <sheet name="instrument" sheetId="26" state="visible" r:id="rId28"/>
    <sheet name="instrumenttype" sheetId="27" state="visible" r:id="rId29"/>
    <sheet name="digitale_vorm" sheetId="28" state="visible" r:id="rId30"/>
    <sheet name="organisatie" sheetId="29" state="visible" r:id="rId31"/>
    <sheet name="organisatietype" sheetId="30" state="visible" r:id="rId32"/>
    <sheet name="instrument_organisatie" sheetId="31" state="visible" r:id="rId33"/>
    <sheet name="bron" sheetId="32" state="visible" r:id="rId34"/>
    <sheet name="brontype" sheetId="33" state="visible" r:id="rId35"/>
    <sheet name="instrument_bron" sheetId="34" state="visible" r:id="rId36"/>
    <sheet name="instrument_rol" sheetId="35" state="visible" r:id="rId37"/>
    <sheet name="instrument_procesfase" sheetId="36" state="visible" r:id="rId38"/>
    <sheet name="instrument_beslismoment" sheetId="37" state="visible" r:id="rId39"/>
    <sheet name="instrument_opgave" sheetId="38" state="visible" r:id="rId40"/>
    <sheet name="instrument_financiele_vraag" sheetId="39" state="visible" r:id="rId41"/>
    <sheet name="instrument_eigenaartype" sheetId="40" state="visible" r:id="rId42"/>
    <sheet name="instrument_objecttype" sheetId="41" state="visible" r:id="rId43"/>
    <sheet name="financiele_route" sheetId="42" state="visible" r:id="rId44"/>
    <sheet name="instrument_financiele_route" sheetId="43" state="visible" r:id="rId45"/>
    <sheet name="effecttype" sheetId="44" state="visible" r:id="rId46"/>
    <sheet name="instrument_effect" sheetId="45" state="visible" r:id="rId47"/>
    <sheet name="voorwaardetype" sheetId="46" state="visible" r:id="rId48"/>
    <sheet name="instrument_voorwaarde" sheetId="47" state="visible" r:id="rId49"/>
    <sheet name="werkingsgebied" sheetId="48" state="visible" r:id="rId50"/>
    <sheet name="instrument_werkingsgebied" sheetId="49" state="visible" r:id="rId51"/>
    <sheet name="openstelling" sheetId="50" state="visible" r:id="rId52"/>
    <sheet name="pc_moment" sheetId="51" state="visible" r:id="rId53"/>
    <sheet name="beslismoment_rol" sheetId="52" state="visible" r:id="rId54"/>
    <sheet name="beslismoment_informatiebehoefte" sheetId="53" state="visible" r:id="rId55"/>
    <sheet name="beslismoment_financiele_vraag" sheetId="54" state="visible" r:id="rId56"/>
    <sheet name="beslismoment_beslisproduct" sheetId="55" state="visible" r:id="rId57"/>
    <sheet name="beslismoment_handelingspersp" sheetId="56" state="visible" r:id="rId58"/>
    <sheet name="beslismoment_knelpunt" sheetId="57" state="visible" r:id="rId59"/>
    <sheet name="instrument_relatie" sheetId="58" state="visible" r:id="rId60"/>
    <sheet name="instrument_relatietype" sheetId="59" state="visible" r:id="rId61"/>
    <sheet name="kennisproduct" sheetId="60" state="visible" r:id="rId62"/>
    <sheet name="kennisproduct_instrument" sheetId="61" state="visible" r:id="rId63"/>
    <sheet name="kennisproduct_beslismoment" sheetId="62" state="visible" r:id="rId64"/>
    <sheet name="validation_status" sheetId="63" state="visible" r:id="rId65"/>
    <sheet name="publicatiestatus" sheetId="64" state="visible" r:id="rId66"/>
    <sheet name="inhoudelijke_status" sheetId="65" state="visible" r:id="rId67"/>
    <sheet name="validatie" sheetId="66" state="visible" r:id="rId68"/>
    <sheet name="wijzigingslog" sheetId="67" state="visible" r:id="rId69"/>
    <sheet name="reviewplanning" sheetId="68" state="visible" r:id="rId70"/>
    <sheet name="kennisanalyse" sheetId="69" state="visible" r:id="rId71"/>
    <sheet name="ontwikkelactie" sheetId="70" state="visible" r:id="rId72"/>
    <sheet name="gebruikersfeedback" sheetId="71" state="visible" r:id="rId73"/>
  </sheets>
  <definedNames>
    <definedName function="false" hidden="true" localSheetId="10" name="_xlnm._FilterDatabase" vbProcedure="false">beslismoment!$A$1:$AA$17</definedName>
    <definedName function="false" hidden="true" localSheetId="54" name="_xlnm._FilterDatabase" vbProcedure="false">beslismoment_beslisproduct!$A$1:$O$25</definedName>
    <definedName function="false" hidden="true" localSheetId="53" name="_xlnm._FilterDatabase" vbProcedure="false">beslismoment_financiele_vraag!$A$1:$N$32</definedName>
    <definedName function="false" hidden="true" localSheetId="55" name="_xlnm._FilterDatabase" vbProcedure="false">beslismoment_handelingspersp!$A$1:$O$22</definedName>
    <definedName function="false" hidden="true" localSheetId="52" name="_xlnm._FilterDatabase" vbProcedure="false">beslismoment_informatiebehoefte!$A$1:$Q$46</definedName>
    <definedName function="false" hidden="true" localSheetId="56" name="_xlnm._FilterDatabase" vbProcedure="false">beslismoment_knelpunt!$A$1:$O$23</definedName>
    <definedName function="false" hidden="true" localSheetId="51" name="_xlnm._FilterDatabase" vbProcedure="false">beslismoment_rol!$A$1:$P$65</definedName>
    <definedName function="false" hidden="true" localSheetId="21" name="_xlnm._FilterDatabase" vbProcedure="false">beslisproduct!$A$1:$P$16</definedName>
    <definedName function="false" hidden="true" localSheetId="11" name="_xlnm._FilterDatabase" vbProcedure="false">besluittype!$A$1:$N$15</definedName>
    <definedName function="false" hidden="true" localSheetId="31" name="_xlnm._FilterDatabase" vbProcedure="false">bron!$A$1:$X$77</definedName>
    <definedName function="false" hidden="true" localSheetId="32" name="_xlnm._FilterDatabase" vbProcedure="false">brontype!$A$1:$N$15</definedName>
    <definedName function="false" hidden="true" localSheetId="27" name="_xlnm._FilterDatabase" vbProcedure="false">digitale_vorm!$A$1:$M$15</definedName>
    <definedName function="false" hidden="true" localSheetId="1" name="_xlnm._FilterDatabase" vbProcedure="false">Dummy_overzicht!$A$4:$G$69</definedName>
    <definedName function="false" hidden="true" localSheetId="43" name="_xlnm._FilterDatabase" vbProcedure="false">effecttype!$A$1:$N$15</definedName>
    <definedName function="false" hidden="true" localSheetId="15" name="_xlnm._FilterDatabase" vbProcedure="false">eigenaartype!$A$1:$O$11</definedName>
    <definedName function="false" hidden="true" localSheetId="18" name="_xlnm._FilterDatabase" vbProcedure="false">financieel_thema!$A$1:$O$20</definedName>
    <definedName function="false" hidden="true" localSheetId="41" name="_xlnm._FilterDatabase" vbProcedure="false">financiele_route!$A$1:$R$18</definedName>
    <definedName function="false" hidden="true" localSheetId="17" name="_xlnm._FilterDatabase" vbProcedure="false">financiele_vraag!$A$1:$Q$13</definedName>
    <definedName function="false" hidden="true" localSheetId="14" name="_xlnm._FilterDatabase" vbProcedure="false">functie_alias!$A$1:$O$19</definedName>
    <definedName function="false" hidden="true" localSheetId="70" name="_xlnm._FilterDatabase" vbProcedure="false">gebruikersfeedback!$A$1:$V$9</definedName>
    <definedName function="false" hidden="true" localSheetId="22" name="_xlnm._FilterDatabase" vbProcedure="false">handelingsperspectief!$A$1:$R$11</definedName>
    <definedName function="false" hidden="true" localSheetId="19" name="_xlnm._FilterDatabase" vbProcedure="false">informatiebehoefte!$A$1:$U$16</definedName>
    <definedName function="false" hidden="true" localSheetId="24" name="_xlnm._FilterDatabase" vbProcedure="false">informatieoverdracht!$A$1:$T$12</definedName>
    <definedName function="false" hidden="true" localSheetId="20" name="_xlnm._FilterDatabase" vbProcedure="false">informatietype!$A$1:$N$19</definedName>
    <definedName function="false" hidden="true" localSheetId="64" name="_xlnm._FilterDatabase" vbProcedure="false">inhoudelijke_status!$A$1:$N$9</definedName>
    <definedName function="false" hidden="true" localSheetId="25" name="_xlnm._FilterDatabase" vbProcedure="false">instrument!$A$1:$AF$78</definedName>
    <definedName function="false" hidden="true" localSheetId="36" name="_xlnm._FilterDatabase" vbProcedure="false">instrument_beslismoment!$A$1:$Q$80</definedName>
    <definedName function="false" hidden="true" localSheetId="33" name="_xlnm._FilterDatabase" vbProcedure="false">instrument_bron!$A$1:$O$78</definedName>
    <definedName function="false" hidden="true" localSheetId="44" name="_xlnm._FilterDatabase" vbProcedure="false">instrument_effect!$A$1:$U$78</definedName>
    <definedName function="false" hidden="true" localSheetId="39" name="_xlnm._FilterDatabase" vbProcedure="false">instrument_eigenaartype!$A$1:$O$122</definedName>
    <definedName function="false" hidden="true" localSheetId="42" name="_xlnm._FilterDatabase" vbProcedure="false">instrument_financiele_route!$A$1:$P$78</definedName>
    <definedName function="false" hidden="true" localSheetId="38" name="_xlnm._FilterDatabase" vbProcedure="false">instrument_financiele_vraag!$A$1:$O$151</definedName>
    <definedName function="false" hidden="true" localSheetId="40" name="_xlnm._FilterDatabase" vbProcedure="false">instrument_objecttype!$A$1:$O$96</definedName>
    <definedName function="false" hidden="true" localSheetId="37" name="_xlnm._FilterDatabase" vbProcedure="false">instrument_opgave!$A$1:$N$155</definedName>
    <definedName function="false" hidden="true" localSheetId="30" name="_xlnm._FilterDatabase" vbProcedure="false">instrument_organisatie!$A$1:$P$78</definedName>
    <definedName function="false" hidden="true" localSheetId="35" name="_xlnm._FilterDatabase" vbProcedure="false">instrument_procesfase!$A$1:$O$80</definedName>
    <definedName function="false" hidden="true" localSheetId="57" name="_xlnm._FilterDatabase" vbProcedure="false">instrument_relatie!$A$1:$P$18</definedName>
    <definedName function="false" hidden="true" localSheetId="58" name="_xlnm._FilterDatabase" vbProcedure="false">instrument_relatietype!$A$1:$N$16</definedName>
    <definedName function="false" hidden="true" localSheetId="34" name="_xlnm._FilterDatabase" vbProcedure="false">instrument_rol!$A$1:$P$184</definedName>
    <definedName function="false" hidden="true" localSheetId="46" name="_xlnm._FilterDatabase" vbProcedure="false">instrument_voorwaarde!$A$1:$V$83</definedName>
    <definedName function="false" hidden="true" localSheetId="48" name="_xlnm._FilterDatabase" vbProcedure="false">instrument_werkingsgebied!$A$1:$N$84</definedName>
    <definedName function="false" hidden="true" localSheetId="26" name="_xlnm._FilterDatabase" vbProcedure="false">instrumenttype!$A$1:$O$31</definedName>
    <definedName function="false" hidden="true" localSheetId="68" name="_xlnm._FilterDatabase" vbProcedure="false">kennisanalyse!$A$1:$Z$17</definedName>
    <definedName function="false" hidden="true" localSheetId="59" name="_xlnm._FilterDatabase" vbProcedure="false">kennisproduct!$A$1:$T$7</definedName>
    <definedName function="false" hidden="true" localSheetId="61" name="_xlnm._FilterDatabase" vbProcedure="false">kennisproduct_beslismoment!$A$1:$N$9</definedName>
    <definedName function="false" hidden="true" localSheetId="60" name="_xlnm._FilterDatabase" vbProcedure="false">kennisproduct_instrument!$A$1:$N$13</definedName>
    <definedName function="false" hidden="true" localSheetId="23" name="_xlnm._FilterDatabase" vbProcedure="false">knelpunt!$A$1:$R$9</definedName>
    <definedName function="false" hidden="true" localSheetId="16" name="_xlnm._FilterDatabase" vbProcedure="false">objecttype!$A$1:$O$22</definedName>
    <definedName function="false" hidden="true" localSheetId="69" name="_xlnm._FilterDatabase" vbProcedure="false">ontwikkelactie!$A$1:$S$7</definedName>
    <definedName function="false" hidden="true" localSheetId="49" name="_xlnm._FilterDatabase" vbProcedure="false">openstelling!$A$1:$U$33</definedName>
    <definedName function="false" hidden="true" localSheetId="6" name="_xlnm._FilterDatabase" vbProcedure="false">opgave!$A$1:$T$11</definedName>
    <definedName function="false" hidden="true" localSheetId="28" name="_xlnm._FilterDatabase" vbProcedure="false">organisatie!$A$1:$R$57</definedName>
    <definedName function="false" hidden="true" localSheetId="29" name="_xlnm._FilterDatabase" vbProcedure="false">organisatietype!$A$1:$N$16</definedName>
    <definedName function="false" hidden="true" localSheetId="50" name="_xlnm._FilterDatabase" vbProcedure="false">pc_moment!$A$1:$P$14</definedName>
    <definedName function="false" hidden="true" localSheetId="8" name="_xlnm._FilterDatabase" vbProcedure="false">procesfase!$A$1:$U$13</definedName>
    <definedName function="false" hidden="true" localSheetId="9" name="_xlnm._FilterDatabase" vbProcedure="false">procesfase_relatie!$A$1:$P$17</definedName>
    <definedName function="false" hidden="true" localSheetId="7" name="_xlnm._FilterDatabase" vbProcedure="false">procesniveau!$A$1:$N$5</definedName>
    <definedName function="false" hidden="true" localSheetId="63" name="_xlnm._FilterDatabase" vbProcedure="false">publicatiestatus!$A$1:$N$8</definedName>
    <definedName function="false" hidden="true" localSheetId="67" name="_xlnm._FilterDatabase" vbProcedure="false">reviewplanning!$A$1:$S$11</definedName>
    <definedName function="false" hidden="true" localSheetId="12" name="_xlnm._FilterDatabase" vbProcedure="false">rol!$A$1:$U$23</definedName>
    <definedName function="false" hidden="true" localSheetId="13" name="_xlnm._FilterDatabase" vbProcedure="false">rolcluster!$A$1:$N$10</definedName>
    <definedName function="false" hidden="true" localSheetId="2" name="_xlnm._FilterDatabase" vbProcedure="false">Tabellen!$A$4:$J$69</definedName>
    <definedName function="false" hidden="true" localSheetId="65" name="_xlnm._FilterDatabase" vbProcedure="false">validatie!$A$1:$U$9</definedName>
    <definedName function="false" hidden="true" localSheetId="62" name="_xlnm._FilterDatabase" vbProcedure="false">validation_status!$A$1:$N$10</definedName>
    <definedName function="false" hidden="true" localSheetId="3" name="_xlnm._FilterDatabase" vbProcedure="false">Velden!$A$4:$J$1103</definedName>
    <definedName function="false" hidden="true" localSheetId="45" name="_xlnm._FilterDatabase" vbProcedure="false">voorwaardetype!$A$1:$N$20</definedName>
    <definedName function="false" hidden="true" localSheetId="47" name="_xlnm._FilterDatabase" vbProcedure="false">werkingsgebied!$A$1:$N$12</definedName>
    <definedName function="false" hidden="true" localSheetId="66" name="_xlnm._FilterDatabase" vbProcedure="false">wijzigingslog!$A$1:$K$7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
Unieke functionele code</t>
        </r>
      </text>
    </comment>
    <comment ref="C1" authorId="0">
      <text>
        <r>
          <rPr>
            <sz val="10"/>
            <rFont val="Arial"/>
            <family val="2"/>
          </rPr>
          <t xml:space="preserve">varchar(200) | verplicht
Korte naam</t>
        </r>
      </text>
    </comment>
    <comment ref="D1" authorId="0">
      <text>
        <r>
          <rPr>
            <sz val="10"/>
            <rFont val="Arial"/>
            <family val="2"/>
          </rPr>
          <t xml:space="preserve">varchar(500) | verplicht
Tekst voor navigatie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
Nadere inhoud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
Trigger of probleem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
Beoogde uitkomst</t>
        </r>
      </text>
    </comment>
    <comment ref="H1" authorId="0">
      <text>
        <r>
          <rPr>
            <sz val="10"/>
            <rFont val="Arial"/>
            <family val="2"/>
          </rPr>
          <t xml:space="preserve">varchar(30) | optioneel
Portefeuille, programma, object, project</t>
        </r>
      </text>
    </comment>
    <comment ref="I1" authorId="0">
      <text>
        <r>
          <rPr>
            <sz val="10"/>
            <rFont val="Arial"/>
            <family val="2"/>
          </rPr>
          <t xml:space="preserve">varchar(100) | optioneel
Samenvattend</t>
        </r>
      </text>
    </comment>
    <comment ref="J1" authorId="0">
      <text>
        <r>
          <rPr>
            <sz val="10"/>
            <rFont val="Arial"/>
            <family val="2"/>
          </rPr>
          <t xml:space="preserve">integer | verplicht
Volgorde in interface</t>
        </r>
      </text>
    </comment>
    <comment ref="K1" authorId="0">
      <text>
        <r>
          <rPr>
            <sz val="10"/>
            <rFont val="Arial"/>
            <family val="2"/>
          </rPr>
          <t xml:space="preserve">boolean | verplicht
Publiceerbaar</t>
        </r>
      </text>
    </comment>
    <comment ref="L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M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N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O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P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Q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R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T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varchar(10) | verplicht
PORT, PROG, OBJ, PROJ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
Naam niveau</t>
        </r>
      </text>
    </comment>
    <comment ref="D1" authorId="0">
      <text>
        <r>
          <rPr>
            <sz val="10"/>
            <rFont val="Arial"/>
            <family val="2"/>
          </rPr>
          <t xml:space="preserve">text | verplicht
Afbakening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
Volgorde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procesniveau.code
Verwijzing naar procesniveau</t>
        </r>
      </text>
    </comment>
    <comment ref="C1" authorId="0">
      <text>
        <r>
          <rPr>
            <sz val="10"/>
            <rFont val="Arial"/>
            <family val="2"/>
          </rPr>
          <t xml:space="preserve">varchar(20) | verplicht
Bijvoorbeeld P3 of O4</t>
        </r>
      </text>
    </comment>
    <comment ref="D1" authorId="0">
      <text>
        <r>
          <rPr>
            <sz val="10"/>
            <rFont val="Arial"/>
            <family val="2"/>
          </rPr>
          <t xml:space="preserve">varchar(200) | verplicht
Naam fase</t>
        </r>
      </text>
    </comment>
    <comment ref="E1" authorId="0">
      <text>
        <r>
          <rPr>
            <sz val="10"/>
            <rFont val="Arial"/>
            <family val="2"/>
          </rPr>
          <t xml:space="preserve">text | verplicht
Vraag die in deze fase centraal staat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
Inhoud van de fase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
Wanneer begint de fase?</t>
        </r>
      </text>
    </comment>
    <comment ref="H1" authorId="0">
      <text>
        <r>
          <rPr>
            <sz val="10"/>
            <rFont val="Arial"/>
            <family val="2"/>
          </rPr>
          <t xml:space="preserve">text | optioneel
Wanneer is zij afgerond?</t>
        </r>
      </text>
    </comment>
    <comment ref="I1" authorId="0">
      <text>
        <r>
          <rPr>
            <sz val="10"/>
            <rFont val="Arial"/>
            <family val="2"/>
          </rPr>
          <t xml:space="preserve">text | optioneel
Verwachte output</t>
        </r>
      </text>
    </comment>
    <comment ref="J1" authorId="0">
      <text>
        <r>
          <rPr>
            <sz val="10"/>
            <rFont val="Arial"/>
            <family val="2"/>
          </rPr>
          <t xml:space="preserve">integer | verplicht
Volgorde binnen niveau</t>
        </r>
      </text>
    </comment>
    <comment ref="K1" authorId="0">
      <text>
        <r>
          <rPr>
            <sz val="10"/>
            <rFont val="Arial"/>
            <family val="2"/>
          </rPr>
          <t xml:space="preserve">boolean | verplicht
Nog te valideren</t>
        </r>
      </text>
    </comment>
    <comment ref="L1" authorId="0">
      <text>
        <r>
          <rPr>
            <sz val="10"/>
            <rFont val="Arial"/>
            <family val="2"/>
          </rPr>
          <t xml:space="preserve">UUID, FK | verplicht
Verwijst naar validation_status.code
Status inhoudelijke validatie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O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P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Q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R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U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procesfase.fase_code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procesfase.fase_code</t>
        </r>
      </text>
    </comment>
    <comment ref="D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G1" authorId="0">
      <text>
        <r>
          <rPr>
            <sz val="10"/>
            <rFont val="Arial"/>
            <family val="2"/>
          </rPr>
          <t xml:space="preserve">integer | optioneel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
Bijvoorbeeld BM-O4-01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procesfase.fase_code
Hoofdfase</t>
        </r>
      </text>
    </comment>
    <comment ref="D1" authorId="0">
      <text>
        <r>
          <rPr>
            <sz val="10"/>
            <rFont val="Arial"/>
            <family val="2"/>
          </rPr>
          <t xml:space="preserve">varchar(200) | verplicht
Herkenbare naam</t>
        </r>
      </text>
    </comment>
    <comment ref="E1" authorId="0">
      <text>
        <r>
          <rPr>
            <sz val="10"/>
            <rFont val="Arial"/>
            <family val="2"/>
          </rPr>
          <t xml:space="preserve">text | verplicht
Vraag die moet worden beantwoord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
Context</t>
        </r>
      </text>
    </comment>
    <comment ref="G1" authorId="0">
      <text>
        <r>
          <rPr>
            <sz val="10"/>
            <rFont val="Arial"/>
            <family val="2"/>
          </rPr>
          <t xml:space="preserve">UUID, FK | verplicht
Verwijst naar besluittype.code
Type besluit</t>
        </r>
      </text>
    </comment>
    <comment ref="H1" authorId="0">
      <text>
        <r>
          <rPr>
            <sz val="10"/>
            <rFont val="Arial"/>
            <family val="2"/>
          </rPr>
          <t xml:space="preserve">varchar(30) | verplicht
Informeel, ambtelijk, bestuurlijk, formeel</t>
        </r>
      </text>
    </comment>
    <comment ref="I1" authorId="0">
      <text>
        <r>
          <rPr>
            <sz val="10"/>
            <rFont val="Arial"/>
            <family val="2"/>
          </rPr>
          <t xml:space="preserve">varchar(30) | verplicht
Voorbereidend, richtinggevend, definitief</t>
        </r>
      </text>
    </comment>
    <comment ref="J1" authorId="0">
      <text>
        <r>
          <rPr>
            <sz val="10"/>
            <rFont val="Arial"/>
            <family val="2"/>
          </rPr>
          <t xml:space="preserve">text | optioneel
Wat wordt besloten?</t>
        </r>
      </text>
    </comment>
    <comment ref="K1" authorId="0">
      <text>
        <r>
          <rPr>
            <sz val="10"/>
            <rFont val="Arial"/>
            <family val="2"/>
          </rPr>
          <t xml:space="preserve">text | optioneel
Globale informatiebehoefte</t>
        </r>
      </text>
    </comment>
    <comment ref="L1" authorId="0">
      <text>
        <r>
          <rPr>
            <sz val="10"/>
            <rFont val="Arial"/>
            <family val="2"/>
          </rPr>
          <t xml:space="preserve">text | optioneel
Beslisnota, opdracht, krediet enzovoort</t>
        </r>
      </text>
    </comment>
    <comment ref="M1" authorId="0">
      <text>
        <r>
          <rPr>
            <sz val="10"/>
            <rFont val="Arial"/>
            <family val="2"/>
          </rPr>
          <t xml:space="preserve">text | optioneel
Mogelijk vervolg</t>
        </r>
      </text>
    </comment>
    <comment ref="N1" authorId="0">
      <text>
        <r>
          <rPr>
            <sz val="10"/>
            <rFont val="Arial"/>
            <family val="2"/>
          </rPr>
          <t xml:space="preserve">boolean | verplicht
Lokale variatie</t>
        </r>
      </text>
    </comment>
    <comment ref="O1" authorId="0">
      <text>
        <r>
          <rPr>
            <sz val="10"/>
            <rFont val="Arial"/>
            <family val="2"/>
          </rPr>
          <t xml:space="preserve">UUID, FK | optioneel
Verwijst naar pc_moment.code
P&amp;C- of kalendermoment</t>
        </r>
      </text>
    </comment>
    <comment ref="P1" authorId="0">
      <text>
        <r>
          <rPr>
            <sz val="10"/>
            <rFont val="Arial"/>
            <family val="2"/>
          </rPr>
          <t xml:space="preserve">boolean | verplicht
Generiek herkenbaar</t>
        </r>
      </text>
    </comment>
    <comment ref="Q1" authorId="0">
      <text>
        <r>
          <rPr>
            <sz val="10"/>
            <rFont val="Arial"/>
            <family val="2"/>
          </rPr>
          <t xml:space="preserve">boolean | verplicht
Nog te toetsen</t>
        </r>
      </text>
    </comment>
    <comment ref="R1" authorId="0">
      <text>
        <r>
          <rPr>
            <sz val="10"/>
            <rFont val="Arial"/>
            <family val="2"/>
          </rPr>
          <t xml:space="preserve">UUID, FK | verplicht
Verwijst naar validation_status.code
Validatiestatus</t>
        </r>
      </text>
    </comment>
    <comment ref="S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T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U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V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W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X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Y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Z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AA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
Unieke code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
Generieke rolnaam</t>
        </r>
      </text>
    </comment>
    <comment ref="D1" authorId="0">
      <text>
        <r>
          <rPr>
            <sz val="10"/>
            <rFont val="Arial"/>
            <family val="2"/>
          </rPr>
          <t xml:space="preserve">UUID, FK | verplicht
Verwijst naar rolcluster.code
Vastgoed, financiën, beleid enzovoort</t>
        </r>
      </text>
    </comment>
    <comment ref="E1" authorId="0">
      <text>
        <r>
          <rPr>
            <sz val="10"/>
            <rFont val="Arial"/>
            <family val="2"/>
          </rPr>
          <t xml:space="preserve">text | verplicht
Definitie</t>
        </r>
      </text>
    </comment>
    <comment ref="F1" authorId="0">
      <text>
        <r>
          <rPr>
            <sz val="10"/>
            <rFont val="Arial"/>
            <family val="2"/>
          </rPr>
          <t xml:space="preserve">text | verplicht
Waarvoor staat deze rol?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
Invalshoek</t>
        </r>
      </text>
    </comment>
    <comment ref="H1" authorId="0">
      <text>
        <r>
          <rPr>
            <sz val="10"/>
            <rFont val="Arial"/>
            <family val="2"/>
          </rPr>
          <t xml:space="preserve">varchar(30) | optioneel
Strategisch, tactisch, operationeel</t>
        </r>
      </text>
    </comment>
    <comment ref="I1" authorId="0">
      <text>
        <r>
          <rPr>
            <sz val="10"/>
            <rFont val="Arial"/>
            <family val="2"/>
          </rPr>
          <t xml:space="preserve">boolean | verplicht
Prioriteit in versie 1.0</t>
        </r>
      </text>
    </comment>
    <comment ref="J1" authorId="0">
      <text>
        <r>
          <rPr>
            <sz val="10"/>
            <rFont val="Arial"/>
            <family val="2"/>
          </rPr>
          <t xml:space="preserve">boolean | verplicht
Binnen of buiten gemeente</t>
        </r>
      </text>
    </comment>
    <comment ref="K1" authorId="0">
      <text>
        <r>
          <rPr>
            <sz val="10"/>
            <rFont val="Arial"/>
            <family val="2"/>
          </rPr>
          <t xml:space="preserve">boolean | verplicht
Nog te valideren</t>
        </r>
      </text>
    </comment>
    <comment ref="L1" authorId="0">
      <text>
        <r>
          <rPr>
            <sz val="10"/>
            <rFont val="Arial"/>
            <family val="2"/>
          </rPr>
          <t xml:space="preserve">UUID, FK | verplicht
Verwijst naar validation_status.code
Validatiestatus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O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P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Q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R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U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rol.rol_code</t>
        </r>
      </text>
    </comment>
    <comment ref="C1" authorId="0">
      <text>
        <r>
          <rPr>
            <sz val="10"/>
            <rFont val="Arial"/>
            <family val="2"/>
          </rPr>
          <t xml:space="preserve">varchar(200)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varchar(200) | optioneel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F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UUID, FK | optioneel
Verwijst naar objecttype.objecttype_code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varchar(500)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UUID, FK | verplicht
Verwijst naar financieel_thema.thema_code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H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K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L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M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N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P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Q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UUID, FK | optioneel
Verwijst naar financieel_thema.thema_code</t>
        </r>
      </text>
    </comment>
    <comment ref="F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varchar(200)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UUID, FK | verplicht
Verwijst naar informatietype.code</t>
        </r>
      </text>
    </comment>
    <comment ref="E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varchar(30) | optioneel</t>
        </r>
      </text>
    </comment>
    <comment ref="H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I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J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K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L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O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P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Q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R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U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F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G1" authorId="0">
      <text>
        <r>
          <rPr>
            <sz val="10"/>
            <rFont val="Arial"/>
            <family val="2"/>
          </rPr>
          <t xml:space="preserve">UUID, FK | optioneel
Verwijst naar instrument.instrument_code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varchar(200)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varchar(500)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I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L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M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N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O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P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Q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R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varchar(200)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F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G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H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I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L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M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N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O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P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Q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R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rol.rol_code</t>
        </r>
      </text>
    </comment>
    <comment ref="D1" authorId="0">
      <text>
        <r>
          <rPr>
            <sz val="10"/>
            <rFont val="Arial"/>
            <family val="2"/>
          </rPr>
          <t xml:space="preserve">UUID, FK | verplicht
Verwijst naar rol.rol_code</t>
        </r>
      </text>
    </comment>
    <comment ref="E1" authorId="0">
      <text>
        <r>
          <rPr>
            <sz val="10"/>
            <rFont val="Arial"/>
            <family val="2"/>
          </rPr>
          <t xml:space="preserve">UUID, FK | verplicht
Verwijst naar informatiebehoefte.informatie_code</t>
        </r>
      </text>
    </comment>
    <comment ref="F1" authorId="0">
      <text>
        <r>
          <rPr>
            <sz val="10"/>
            <rFont val="Arial"/>
            <family val="2"/>
          </rPr>
          <t xml:space="preserve">UUID, FK | optioneel
Verwijst naar beslisproduct.code</t>
        </r>
      </text>
    </comment>
    <comment ref="G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H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I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J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K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L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M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N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O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P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Q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R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T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
Bijvoorbeeld INS-0001</t>
        </r>
      </text>
    </comment>
    <comment ref="C1" authorId="0">
      <text>
        <r>
          <rPr>
            <sz val="10"/>
            <rFont val="Arial"/>
            <family val="2"/>
          </rPr>
          <t xml:space="preserve">varchar(300) | verplicht
Officiële naam</t>
        </r>
      </text>
    </comment>
    <comment ref="D1" authorId="0">
      <text>
        <r>
          <rPr>
            <sz val="10"/>
            <rFont val="Arial"/>
            <family val="2"/>
          </rPr>
          <t xml:space="preserve">varchar(150) | verplicht
Naam voor resultatenlijst</t>
        </r>
      </text>
    </comment>
    <comment ref="E1" authorId="0">
      <text>
        <r>
          <rPr>
            <sz val="10"/>
            <rFont val="Arial"/>
            <family val="2"/>
          </rPr>
          <t xml:space="preserve">varchar(500) | verplicht
Samenvatting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
Inhoudelijke toelichting</t>
        </r>
      </text>
    </comment>
    <comment ref="G1" authorId="0">
      <text>
        <r>
          <rPr>
            <sz val="10"/>
            <rFont val="Arial"/>
            <family val="2"/>
          </rPr>
          <t xml:space="preserve">UUID, FK | verplicht
Verwijst naar instrumenttype.code
Hoofdtype</t>
        </r>
      </text>
    </comment>
    <comment ref="H1" authorId="0">
      <text>
        <r>
          <rPr>
            <sz val="10"/>
            <rFont val="Arial"/>
            <family val="2"/>
          </rPr>
          <t xml:space="preserve">text | optioneel
Wat helpt dit instrument bereiken?</t>
        </r>
      </text>
    </comment>
    <comment ref="I1" authorId="0">
      <text>
        <r>
          <rPr>
            <sz val="10"/>
            <rFont val="Arial"/>
            <family val="2"/>
          </rPr>
          <t xml:space="preserve">text | optioneel
Vraag waarop het antwoord geeft</t>
        </r>
      </text>
    </comment>
    <comment ref="J1" authorId="0">
      <text>
        <r>
          <rPr>
            <sz val="10"/>
            <rFont val="Arial"/>
            <family val="2"/>
          </rPr>
          <t xml:space="preserve">text | optioneel
Vereiste gegevens</t>
        </r>
      </text>
    </comment>
    <comment ref="K1" authorId="0">
      <text>
        <r>
          <rPr>
            <sz val="10"/>
            <rFont val="Arial"/>
            <family val="2"/>
          </rPr>
          <t xml:space="preserve">text | optioneel
Resultaat van gebruik</t>
        </r>
      </text>
    </comment>
    <comment ref="L1" authorId="0">
      <text>
        <r>
          <rPr>
            <sz val="10"/>
            <rFont val="Arial"/>
            <family val="2"/>
          </rPr>
          <t xml:space="preserve">text | optioneel
Beknopte instructie</t>
        </r>
      </text>
    </comment>
    <comment ref="M1" authorId="0">
      <text>
        <r>
          <rPr>
            <sz val="10"/>
            <rFont val="Arial"/>
            <family val="2"/>
          </rPr>
          <t xml:space="preserve">varchar(20) | verplicht
Ja, deels, nee, onbekend</t>
        </r>
      </text>
    </comment>
    <comment ref="N1" authorId="0">
      <text>
        <r>
          <rPr>
            <sz val="10"/>
            <rFont val="Arial"/>
            <family val="2"/>
          </rPr>
          <t xml:space="preserve">varchar(20) | optioneel
Basis, gemiddeld, specialistisch</t>
        </r>
      </text>
    </comment>
    <comment ref="O1" authorId="0">
      <text>
        <r>
          <rPr>
            <sz val="10"/>
            <rFont val="Arial"/>
            <family val="2"/>
          </rPr>
          <t xml:space="preserve">varchar(30) | optioneel
Direct, dagen, weken, maanden</t>
        </r>
      </text>
    </comment>
    <comment ref="P1" authorId="0">
      <text>
        <r>
          <rPr>
            <sz val="10"/>
            <rFont val="Arial"/>
            <family val="2"/>
          </rPr>
          <t xml:space="preserve">UUID, FK | optioneel
Verwijst naar digitale_vorm.code
Excel, PDF, website enzovoort</t>
        </r>
      </text>
    </comment>
    <comment ref="Q1" authorId="0">
      <text>
        <r>
          <rPr>
            <sz val="10"/>
            <rFont val="Arial"/>
            <family val="2"/>
          </rPr>
          <t xml:space="preserve">text | optioneel
Directe URL</t>
        </r>
      </text>
    </comment>
    <comment ref="R1" authorId="0">
      <text>
        <r>
          <rPr>
            <sz val="10"/>
            <rFont val="Arial"/>
            <family val="2"/>
          </rPr>
          <t xml:space="preserve">UUID, FK | verplicht
Verwijst naar publicatiestatus.code
Concept, intern, publiceerbaar</t>
        </r>
      </text>
    </comment>
    <comment ref="S1" authorId="0">
      <text>
        <r>
          <rPr>
            <sz val="10"/>
            <rFont val="Arial"/>
            <family val="2"/>
          </rPr>
          <t xml:space="preserve">UUID, FK | verplicht
Verwijst naar inhoudelijke_status.code
Actueel, controleren, vervallen</t>
        </r>
      </text>
    </comment>
    <comment ref="T1" authorId="0">
      <text>
        <r>
          <rPr>
            <sz val="10"/>
            <rFont val="Arial"/>
            <family val="2"/>
          </rPr>
          <t xml:space="preserve">varchar(20) | verplicht
Hoog, middel, laag</t>
        </r>
      </text>
    </comment>
    <comment ref="U1" authorId="0">
      <text>
        <r>
          <rPr>
            <sz val="10"/>
            <rFont val="Arial"/>
            <family val="2"/>
          </rPr>
          <t xml:space="preserve">boolean | verplicht
Interfacefilter</t>
        </r>
      </text>
    </comment>
    <comment ref="V1" authorId="0">
      <text>
        <r>
          <rPr>
            <sz val="10"/>
            <rFont val="Arial"/>
            <family val="2"/>
          </rPr>
          <t xml:space="preserve">text | optioneel
Indien niet zichtbaar</t>
        </r>
      </text>
    </comment>
    <comment ref="W1" authorId="0">
      <text>
        <r>
          <rPr>
            <sz val="10"/>
            <rFont val="Arial"/>
            <family val="2"/>
          </rPr>
          <t xml:space="preserve">UUID, FK | verplicht
Verwijst naar validation_status.code
Gevalideerd of niet</t>
        </r>
      </text>
    </comment>
    <comment ref="X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Y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Z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AA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AB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AC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AD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AE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AF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F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I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J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K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M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2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varchar(250)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varchar(50) | optioneel</t>
        </r>
      </text>
    </comment>
    <comment ref="D1" authorId="0">
      <text>
        <r>
          <rPr>
            <sz val="10"/>
            <rFont val="Arial"/>
            <family val="2"/>
          </rPr>
          <t xml:space="preserve">UUID, FK | verplicht
Verwijst naar organisatietype.code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optioneel</t>
        </r>
      </text>
    </comment>
    <comment ref="H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I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L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M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N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O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P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Q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R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organisatie.naam</t>
        </r>
      </text>
    </comment>
    <comment ref="D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varchar(200) | optioneel</t>
        </r>
      </text>
    </comment>
    <comment ref="F1" authorId="0">
      <text>
        <r>
          <rPr>
            <sz val="10"/>
            <rFont val="Arial"/>
            <family val="2"/>
          </rPr>
          <t xml:space="preserve">varchar(255) | optioneel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varchar(500) | verplicht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brontype.code</t>
        </r>
      </text>
    </comment>
    <comment ref="D1" authorId="0">
      <text>
        <r>
          <rPr>
            <sz val="10"/>
            <rFont val="Arial"/>
            <family val="2"/>
          </rPr>
          <t xml:space="preserve">UUID, FK | optioneel
Verwijst naar organisatie.naam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varchar(255)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H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I1" authorId="0">
      <text>
        <r>
          <rPr>
            <sz val="10"/>
            <rFont val="Arial"/>
            <family val="2"/>
          </rPr>
          <t xml:space="preserve">date | verplicht</t>
        </r>
      </text>
    </comment>
    <comment ref="J1" authorId="0">
      <text>
        <r>
          <rPr>
            <sz val="10"/>
            <rFont val="Arial"/>
            <family val="2"/>
          </rPr>
          <t xml:space="preserve">varchar(10) | optioneel</t>
        </r>
      </text>
    </comment>
    <comment ref="K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L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M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P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Q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R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S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T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U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V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W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X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bron.titel</t>
        </r>
      </text>
    </comment>
    <comment ref="D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rol.rol_code</t>
        </r>
      </text>
    </comment>
    <comment ref="D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varchar(50) | optioneel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procesfase.fase_code</t>
        </r>
      </text>
    </comment>
    <comment ref="D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D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F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K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L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M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N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P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Q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opgave.opgave_code</t>
        </r>
      </text>
    </comment>
    <comment ref="D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3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financiele_vraag.vraag_code</t>
        </r>
      </text>
    </comment>
    <comment ref="D1" authorId="0">
      <text>
        <r>
          <rPr>
            <sz val="10"/>
            <rFont val="Arial"/>
            <family val="2"/>
          </rPr>
          <t xml:space="preserve">varchar(30) | optioneel</t>
        </r>
      </text>
    </comment>
    <comment ref="E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eigenaartype.code</t>
        </r>
      </text>
    </comment>
    <comment ref="D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E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objecttype.objecttype_code</t>
        </r>
      </text>
    </comment>
    <comment ref="D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E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varchar(200)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I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L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M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N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O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P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Q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R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financiele_route.route_code</t>
        </r>
      </text>
    </comment>
    <comment ref="D1" authorId="0">
      <text>
        <r>
          <rPr>
            <sz val="10"/>
            <rFont val="Arial"/>
            <family val="2"/>
          </rPr>
          <t xml:space="preserve">integer | optioneel</t>
        </r>
      </text>
    </comment>
    <comment ref="E1" authorId="0">
      <text>
        <r>
          <rPr>
            <sz val="10"/>
            <rFont val="Arial"/>
            <family val="2"/>
          </rPr>
          <t xml:space="preserve">varchar(50) | optioneel</t>
        </r>
      </text>
    </comment>
    <comment ref="F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effecttype.code</t>
        </r>
      </text>
    </comment>
    <comment ref="D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E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F1" authorId="0">
      <text>
        <r>
          <rPr>
            <sz val="10"/>
            <rFont val="Arial"/>
            <family val="2"/>
          </rPr>
          <t xml:space="preserve">decimal(18,2) | optioneel</t>
        </r>
      </text>
    </comment>
    <comment ref="G1" authorId="0">
      <text>
        <r>
          <rPr>
            <sz val="10"/>
            <rFont val="Arial"/>
            <family val="2"/>
          </rPr>
          <t xml:space="preserve">decimal(18,2) | optioneel</t>
        </r>
      </text>
    </comment>
    <comment ref="H1" authorId="0">
      <text>
        <r>
          <rPr>
            <sz val="10"/>
            <rFont val="Arial"/>
            <family val="2"/>
          </rPr>
          <t xml:space="preserve">decimal(8,4) | optioneel</t>
        </r>
      </text>
    </comment>
    <comment ref="I1" authorId="0">
      <text>
        <r>
          <rPr>
            <sz val="10"/>
            <rFont val="Arial"/>
            <family val="2"/>
          </rPr>
          <t xml:space="preserve">decimal(8,4) | optioneel</t>
        </r>
      </text>
    </comment>
    <comment ref="J1" authorId="0">
      <text>
        <r>
          <rPr>
            <sz val="10"/>
            <rFont val="Arial"/>
            <family val="2"/>
          </rPr>
          <t xml:space="preserve">char(3) | optioneel</t>
        </r>
      </text>
    </comment>
    <comment ref="K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L1" authorId="0">
      <text>
        <r>
          <rPr>
            <sz val="10"/>
            <rFont val="Arial"/>
            <family val="2"/>
          </rPr>
          <t xml:space="preserve">UUID, FK | optioneel
Verwijst naar bron.titel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O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P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Q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R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U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voorwaardetype.code</t>
        </r>
      </text>
    </comment>
    <comment ref="D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decimal(18,4)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H1" authorId="0">
      <text>
        <r>
          <rPr>
            <sz val="10"/>
            <rFont val="Arial"/>
            <family val="2"/>
          </rPr>
          <t xml:space="preserve">boolean | optioneel</t>
        </r>
      </text>
    </comment>
    <comment ref="I1" authorId="0">
      <text>
        <r>
          <rPr>
            <sz val="10"/>
            <rFont val="Arial"/>
            <family val="2"/>
          </rPr>
          <t xml:space="preserve">varchar(30) | optioneel</t>
        </r>
      </text>
    </comment>
    <comment ref="J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K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L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M1" authorId="0">
      <text>
        <r>
          <rPr>
            <sz val="10"/>
            <rFont val="Arial"/>
            <family val="2"/>
          </rPr>
          <t xml:space="preserve">UUID, FK | optioneel
Verwijst naar bron.titel</t>
        </r>
      </text>
    </comment>
    <comment ref="N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O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P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Q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R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S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U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V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varchar(200)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char(2) | optioneel</t>
        </r>
      </text>
    </comment>
    <comment ref="E1" authorId="0">
      <text>
        <r>
          <rPr>
            <sz val="10"/>
            <rFont val="Arial"/>
            <family val="2"/>
          </rPr>
          <t xml:space="preserve">UUID, FK | optioneel
Verwijst naar werkingsgebied.naam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4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werkingsgebied.naam</t>
        </r>
      </text>
    </comment>
    <comment ref="D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D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E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G1" authorId="0">
      <text>
        <r>
          <rPr>
            <sz val="10"/>
            <rFont val="Arial"/>
            <family val="2"/>
          </rPr>
          <t xml:space="preserve">varchar(50) | optioneel</t>
        </r>
      </text>
    </comment>
    <comment ref="H1" authorId="0">
      <text>
        <r>
          <rPr>
            <sz val="10"/>
            <rFont val="Arial"/>
            <family val="2"/>
          </rPr>
          <t xml:space="preserve">decimal(18,2) | optioneel</t>
        </r>
      </text>
    </comment>
    <comment ref="I1" authorId="0">
      <text>
        <r>
          <rPr>
            <sz val="10"/>
            <rFont val="Arial"/>
            <family val="2"/>
          </rPr>
          <t xml:space="preserve">char(3) | optioneel</t>
        </r>
      </text>
    </comment>
    <comment ref="J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K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L1" authorId="0">
      <text>
        <r>
          <rPr>
            <sz val="10"/>
            <rFont val="Arial"/>
            <family val="2"/>
          </rPr>
          <t xml:space="preserve">date | verplicht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O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P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Q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R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U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F1" authorId="0">
      <text>
        <r>
          <rPr>
            <sz val="10"/>
            <rFont val="Arial"/>
            <family val="2"/>
          </rPr>
          <t xml:space="preserve">varchar(50) | optioneel</t>
        </r>
      </text>
    </comment>
    <comment ref="G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rol.rol_code</t>
        </r>
      </text>
    </comment>
    <comment ref="D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char(1) | optioneel</t>
        </r>
      </text>
    </comment>
    <comment ref="F1" authorId="0">
      <text>
        <r>
          <rPr>
            <sz val="10"/>
            <rFont val="Arial"/>
            <family val="2"/>
          </rPr>
          <t xml:space="preserve">integer | optioneel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informatiebehoefte.informatie_code</t>
        </r>
      </text>
    </comment>
    <comment ref="D1" authorId="0">
      <text>
        <r>
          <rPr>
            <sz val="10"/>
            <rFont val="Arial"/>
            <family val="2"/>
          </rPr>
          <t xml:space="preserve">UUID, FK | optioneel
Verwijst naar rol.rol_code</t>
        </r>
      </text>
    </comment>
    <comment ref="E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F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G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H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K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L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M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N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P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Q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financiele_vraag.vraag_code</t>
        </r>
      </text>
    </comment>
    <comment ref="D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beslisproduct.code</t>
        </r>
      </text>
    </comment>
    <comment ref="D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E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handelingsperspectief.code</t>
        </r>
      </text>
    </comment>
    <comment ref="D1" authorId="0">
      <text>
        <r>
          <rPr>
            <sz val="10"/>
            <rFont val="Arial"/>
            <family val="2"/>
          </rPr>
          <t xml:space="preserve">UUID, FK | optioneel
Verwijst naar rol.rol_code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knelpunt.code</t>
        </r>
      </text>
    </comment>
    <comment ref="D1" authorId="0">
      <text>
        <r>
          <rPr>
            <sz val="10"/>
            <rFont val="Arial"/>
            <family val="2"/>
          </rPr>
          <t xml:space="preserve">UUID, FK | optioneel
Verwijst naar rol.rol_code</t>
        </r>
      </text>
    </comment>
    <comment ref="E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H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K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L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D1" authorId="0">
      <text>
        <r>
          <rPr>
            <sz val="10"/>
            <rFont val="Arial"/>
            <family val="2"/>
          </rPr>
          <t xml:space="preserve">UUID, FK | verplicht
Verwijst naar instrument_relatietype.code</t>
        </r>
      </text>
    </comment>
    <comment ref="E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J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K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L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M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N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O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P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5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varchar(300)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varchar(200) | optioneel</t>
        </r>
      </text>
    </comment>
    <comment ref="F1" authorId="0">
      <text>
        <r>
          <rPr>
            <sz val="10"/>
            <rFont val="Arial"/>
            <family val="2"/>
          </rPr>
          <t xml:space="preserve">UUID, FK | optioneel
Verwijst naar organisatie.naam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I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K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L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M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N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O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P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Q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R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T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kennisproduct.product_code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instrument.instrument_code</t>
        </r>
      </text>
    </comment>
    <comment ref="D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verplicht
Verwijst naar kennisproduct.product_code</t>
        </r>
      </text>
    </comment>
    <comment ref="C1" authorId="0">
      <text>
        <r>
          <rPr>
            <sz val="10"/>
            <rFont val="Arial"/>
            <family val="2"/>
          </rPr>
          <t xml:space="preserve">UUID, FK | verplicht
Verwijst naar beslismoment.beslismoment_code</t>
        </r>
      </text>
    </comment>
    <comment ref="D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
Primaire sleutel</t>
        </r>
      </text>
    </comment>
    <comment ref="B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varchar(100)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E1" authorId="0">
      <text>
        <r>
          <rPr>
            <sz val="10"/>
            <rFont val="Arial"/>
            <family val="2"/>
          </rPr>
          <t xml:space="preserve">integer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G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I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K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L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M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N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C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D1" authorId="0">
      <text>
        <r>
          <rPr>
            <sz val="10"/>
            <rFont val="Arial"/>
            <family val="2"/>
          </rPr>
          <t xml:space="preserve">UUID, FK | verplicht
Verwijst naar validation_status.code</t>
        </r>
      </text>
    </comment>
    <comment ref="E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F1" authorId="0">
      <text>
        <r>
          <rPr>
            <sz val="10"/>
            <rFont val="Arial"/>
            <family val="2"/>
          </rPr>
          <t xml:space="preserve">date | verplicht</t>
        </r>
      </text>
    </comment>
    <comment ref="G1" authorId="0">
      <text>
        <r>
          <rPr>
            <sz val="10"/>
            <rFont val="Arial"/>
            <family val="2"/>
          </rPr>
          <t xml:space="preserve">varchar(200) | optioneel</t>
        </r>
      </text>
    </comment>
    <comment ref="H1" authorId="0">
      <text>
        <r>
          <rPr>
            <sz val="10"/>
            <rFont val="Arial"/>
            <family val="2"/>
          </rPr>
          <t xml:space="preserve">UUID, FK | optioneel
Verwijst naar organisatie.naam</t>
        </r>
      </text>
    </comment>
    <comment ref="I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J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K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L1" authorId="0">
      <text>
        <r>
          <rPr>
            <sz val="10"/>
            <rFont val="Arial"/>
            <family val="2"/>
          </rPr>
          <t xml:space="preserve">UUID, FK | optioneel
Verwijst naar bron.titel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O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P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Q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R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S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U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C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varchar(100) | optioneel</t>
        </r>
      </text>
    </comment>
    <comment ref="F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G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H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I1" authorId="0">
      <text>
        <r>
          <rPr>
            <sz val="10"/>
            <rFont val="Arial"/>
            <family val="2"/>
          </rPr>
          <t xml:space="preserve">datetime | verplicht</t>
        </r>
      </text>
    </comment>
    <comment ref="J1" authorId="0">
      <text>
        <r>
          <rPr>
            <sz val="10"/>
            <rFont val="Arial"/>
            <family val="2"/>
          </rPr>
          <t xml:space="preserve">varchar(255) | verplicht</t>
        </r>
      </text>
    </comment>
    <comment ref="K1" authorId="0">
      <text>
        <r>
          <rPr>
            <sz val="10"/>
            <rFont val="Arial"/>
            <family val="2"/>
          </rPr>
          <t xml:space="preserve">UUID, FK | optioneel
Verwijst naar bron.titel</t>
        </r>
      </text>
    </comment>
  </commentList>
</comments>
</file>

<file path=xl/comments6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C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D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E1" authorId="0">
      <text>
        <r>
          <rPr>
            <sz val="10"/>
            <rFont val="Arial"/>
            <family val="2"/>
          </rPr>
          <t xml:space="preserve">date | verplicht</t>
        </r>
      </text>
    </comment>
    <comment ref="F1" authorId="0">
      <text>
        <r>
          <rPr>
            <sz val="10"/>
            <rFont val="Arial"/>
            <family val="2"/>
          </rPr>
          <t xml:space="preserve">integer | optioneel</t>
        </r>
      </text>
    </comment>
    <comment ref="G1" authorId="0">
      <text>
        <r>
          <rPr>
            <sz val="10"/>
            <rFont val="Arial"/>
            <family val="2"/>
          </rPr>
          <t xml:space="preserve">UUID, FK | optioneel
Verwijst naar organisatie.naam</t>
        </r>
      </text>
    </comment>
    <comment ref="H1" authorId="0">
      <text>
        <r>
          <rPr>
            <sz val="10"/>
            <rFont val="Arial"/>
            <family val="2"/>
          </rPr>
          <t xml:space="preserve">varchar(200) | optioneel</t>
        </r>
      </text>
    </comment>
    <comment ref="I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J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K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L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O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P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Q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R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S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6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C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varchar(250)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F1" authorId="0">
      <text>
        <r>
          <rPr>
            <sz val="10"/>
            <rFont val="Arial"/>
            <family val="2"/>
          </rPr>
          <t xml:space="preserve">UUID, FK | optioneel
Verwijst naar procesfase.fase_code</t>
        </r>
      </text>
    </comment>
    <comment ref="G1" authorId="0">
      <text>
        <r>
          <rPr>
            <sz val="10"/>
            <rFont val="Arial"/>
            <family val="2"/>
          </rPr>
          <t xml:space="preserve">UUID, FK | optioneel
Verwijst naar beslismoment.beslismoment_code</t>
        </r>
      </text>
    </comment>
    <comment ref="H1" authorId="0">
      <text>
        <r>
          <rPr>
            <sz val="10"/>
            <rFont val="Arial"/>
            <family val="2"/>
          </rPr>
          <t xml:space="preserve">UUID, FK | optioneel
Verwijst naar rol.rol_code</t>
        </r>
      </text>
    </comment>
    <comment ref="I1" authorId="0">
      <text>
        <r>
          <rPr>
            <sz val="10"/>
            <rFont val="Arial"/>
            <family val="2"/>
          </rPr>
          <t xml:space="preserve">UUID, FK | optioneel
Verwijst naar financiele_vraag.vraag_code</t>
        </r>
      </text>
    </comment>
    <comment ref="J1" authorId="0">
      <text>
        <r>
          <rPr>
            <sz val="10"/>
            <rFont val="Arial"/>
            <family val="2"/>
          </rPr>
          <t xml:space="preserve">UUID, FK | optioneel
Verwijst naar objecttype.objecttype_code</t>
        </r>
      </text>
    </comment>
    <comment ref="K1" authorId="0">
      <text>
        <r>
          <rPr>
            <sz val="10"/>
            <rFont val="Arial"/>
            <family val="2"/>
          </rPr>
          <t xml:space="preserve">UUID, FK | optioneel
Verwijst naar eigenaartype.code</t>
        </r>
      </text>
    </comment>
    <comment ref="L1" authorId="0">
      <text>
        <r>
          <rPr>
            <sz val="10"/>
            <rFont val="Arial"/>
            <family val="2"/>
          </rPr>
          <t xml:space="preserve">integer | optioneel</t>
        </r>
      </text>
    </comment>
    <comment ref="M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N1" authorId="0">
      <text>
        <r>
          <rPr>
            <sz val="10"/>
            <rFont val="Arial"/>
            <family val="2"/>
          </rPr>
          <t xml:space="preserve">varchar(20) | optioneel</t>
        </r>
      </text>
    </comment>
    <comment ref="O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P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Q1" authorId="0">
      <text>
        <r>
          <rPr>
            <sz val="10"/>
            <rFont val="Arial"/>
            <family val="2"/>
          </rPr>
          <t xml:space="preserve">boolean | verplicht</t>
        </r>
      </text>
    </comment>
    <comment ref="R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S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T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U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V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W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X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Y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Z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7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UUID, FK | optioneel
Verwijst naar kennisanalyse.analyse_code</t>
        </r>
      </text>
    </comment>
    <comment ref="C1" authorId="0">
      <text>
        <r>
          <rPr>
            <sz val="10"/>
            <rFont val="Arial"/>
            <family val="2"/>
          </rPr>
          <t xml:space="preserve">varchar(250) | verplicht</t>
        </r>
      </text>
    </comment>
    <comment ref="D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E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F1" authorId="0">
      <text>
        <r>
          <rPr>
            <sz val="10"/>
            <rFont val="Arial"/>
            <family val="2"/>
          </rPr>
          <t xml:space="preserve">varchar(20) | verplicht</t>
        </r>
      </text>
    </comment>
    <comment ref="G1" authorId="0">
      <text>
        <r>
          <rPr>
            <sz val="10"/>
            <rFont val="Arial"/>
            <family val="2"/>
          </rPr>
          <t xml:space="preserve">varchar(200) | optioneel</t>
        </r>
      </text>
    </comment>
    <comment ref="H1" authorId="0">
      <text>
        <r>
          <rPr>
            <sz val="10"/>
            <rFont val="Arial"/>
            <family val="2"/>
          </rPr>
          <t xml:space="preserve">date | optioneel</t>
        </r>
      </text>
    </comment>
    <comment ref="I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J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K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L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M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N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O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P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Q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R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S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comments7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UUID | verplicht</t>
        </r>
      </text>
    </comment>
    <comment ref="B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C1" authorId="0">
      <text>
        <r>
          <rPr>
            <sz val="10"/>
            <rFont val="Arial"/>
            <family val="2"/>
          </rPr>
          <t xml:space="preserve">UUID | optioneel</t>
        </r>
      </text>
    </comment>
    <comment ref="D1" authorId="0">
      <text>
        <r>
          <rPr>
            <sz val="10"/>
            <rFont val="Arial"/>
            <family val="2"/>
          </rPr>
          <t xml:space="preserve">varchar(50) | verplicht</t>
        </r>
      </text>
    </comment>
    <comment ref="E1" authorId="0">
      <text>
        <r>
          <rPr>
            <sz val="10"/>
            <rFont val="Arial"/>
            <family val="2"/>
          </rPr>
          <t xml:space="preserve">UUID, FK | optioneel
Verwijst naar rol.rol_code</t>
        </r>
      </text>
    </comment>
    <comment ref="F1" authorId="0">
      <text>
        <r>
          <rPr>
            <sz val="10"/>
            <rFont val="Arial"/>
            <family val="2"/>
          </rPr>
          <t xml:space="preserve">UUID, FK | optioneel
Verwijst naar opgave.opgave_code</t>
        </r>
      </text>
    </comment>
    <comment ref="G1" authorId="0">
      <text>
        <r>
          <rPr>
            <sz val="10"/>
            <rFont val="Arial"/>
            <family val="2"/>
          </rPr>
          <t xml:space="preserve">text | verplicht</t>
        </r>
      </text>
    </comment>
    <comment ref="H1" authorId="0">
      <text>
        <r>
          <rPr>
            <sz val="10"/>
            <rFont val="Arial"/>
            <family val="2"/>
          </rPr>
          <t xml:space="preserve">datetime | verplicht</t>
        </r>
      </text>
    </comment>
    <comment ref="I1" authorId="0">
      <text>
        <r>
          <rPr>
            <sz val="10"/>
            <rFont val="Arial"/>
            <family val="2"/>
          </rPr>
          <t xml:space="preserve">varchar(200) | optioneel</t>
        </r>
      </text>
    </comment>
    <comment ref="J1" authorId="0">
      <text>
        <r>
          <rPr>
            <sz val="10"/>
            <rFont val="Arial"/>
            <family val="2"/>
          </rPr>
          <t xml:space="preserve">integer | optioneel</t>
        </r>
      </text>
    </comment>
    <comment ref="K1" authorId="0">
      <text>
        <r>
          <rPr>
            <sz val="10"/>
            <rFont val="Arial"/>
            <family val="2"/>
          </rPr>
          <t xml:space="preserve">boolean | optioneel</t>
        </r>
      </text>
    </comment>
    <comment ref="L1" authorId="0">
      <text>
        <r>
          <rPr>
            <sz val="10"/>
            <rFont val="Arial"/>
            <family val="2"/>
          </rPr>
          <t xml:space="preserve">text | optioneel</t>
        </r>
      </text>
    </comment>
    <comment ref="M1" authorId="0">
      <text>
        <r>
          <rPr>
            <sz val="10"/>
            <rFont val="Arial"/>
            <family val="2"/>
          </rPr>
          <t xml:space="preserve">varchar(30) | verplicht</t>
        </r>
      </text>
    </comment>
    <comment ref="N1" authorId="0">
      <text>
        <r>
          <rPr>
            <sz val="10"/>
            <rFont val="Arial"/>
            <family val="2"/>
          </rPr>
          <t xml:space="preserve">datetime | verplicht
Datum en tijd van aanmaak</t>
        </r>
      </text>
    </comment>
    <comment ref="O1" authorId="0">
      <text>
        <r>
          <rPr>
            <sz val="10"/>
            <rFont val="Arial"/>
            <family val="2"/>
          </rPr>
          <t xml:space="preserve">varchar(255) | verplicht
Maker</t>
        </r>
      </text>
    </comment>
    <comment ref="P1" authorId="0">
      <text>
        <r>
          <rPr>
            <sz val="10"/>
            <rFont val="Arial"/>
            <family val="2"/>
          </rPr>
          <t xml:space="preserve">datetime | verplicht
Laatste wijziging</t>
        </r>
      </text>
    </comment>
    <comment ref="Q1" authorId="0">
      <text>
        <r>
          <rPr>
            <sz val="10"/>
            <rFont val="Arial"/>
            <family val="2"/>
          </rPr>
          <t xml:space="preserve">varchar(255) | verplicht
Laatste bewerker</t>
        </r>
      </text>
    </comment>
    <comment ref="R1" authorId="0">
      <text>
        <r>
          <rPr>
            <sz val="10"/>
            <rFont val="Arial"/>
            <family val="2"/>
          </rPr>
          <t xml:space="preserve">varchar(30) | verplicht
Actief, concept, gearchiveerd</t>
        </r>
      </text>
    </comment>
    <comment ref="S1" authorId="0">
      <text>
        <r>
          <rPr>
            <sz val="10"/>
            <rFont val="Arial"/>
            <family val="2"/>
          </rPr>
          <t xml:space="preserve">integer | verplicht
Versienummer van record</t>
        </r>
      </text>
    </comment>
    <comment ref="T1" authorId="0">
      <text>
        <r>
          <rPr>
            <sz val="10"/>
            <rFont val="Arial"/>
            <family val="2"/>
          </rPr>
          <t xml:space="preserve">date | optioneel
Geldig vanaf</t>
        </r>
      </text>
    </comment>
    <comment ref="U1" authorId="0">
      <text>
        <r>
          <rPr>
            <sz val="10"/>
            <rFont val="Arial"/>
            <family val="2"/>
          </rPr>
          <t xml:space="preserve">date | optioneel
Geldig tot</t>
        </r>
      </text>
    </comment>
    <comment ref="V1" authorId="0">
      <text>
        <r>
          <rPr>
            <sz val="10"/>
            <rFont val="Arial"/>
            <family val="2"/>
          </rPr>
          <t xml:space="preserve">text | optioneel
Interne beheerinformatie</t>
        </r>
      </text>
    </comment>
  </commentList>
</comments>
</file>

<file path=xl/sharedStrings.xml><?xml version="1.0" encoding="utf-8"?>
<sst xmlns="http://schemas.openxmlformats.org/spreadsheetml/2006/main" count="34939" uniqueCount="5213">
  <si>
    <t xml:space="preserve">Financieel Vastgoedkompas · relationeel datamodel</t>
  </si>
  <si>
    <t xml:space="preserve">CONCEPT v0.1 · 2 oktober 2026 · KplusV · nog niet vastgesteld door het kernteam</t>
  </si>
  <si>
    <t xml:space="preserve">LET OP: dummy-data</t>
  </si>
  <si>
    <t xml:space="preserve">Deze werkmap is gevuld met DUMMY-gegevens als onderlegger voor een website-prototype. Wat hier staat is niet gecontroleerd en niet vastgesteld, en mag niet als inhoud van het Kompas worden gepubliceerd. Elk record dat is toegevoegd heeft in notes_internal de tekst DUMMY. Bij bestaande records staat 'DUMMY-aanvulling' met de velden die zijn aangevuld. Tabblad Dummy_overzicht telt per tabel.</t>
  </si>
  <si>
    <t xml:space="preserve">Wat is echt</t>
  </si>
  <si>
    <t xml:space="preserve">De 77 instrumenten (naam, omschrijving, bron, beheerder, eigenaartype, status) komen uit catalogus v0.1 van KplusV. Idem de hiaten- en dekkingsanalyse. De waardelijsten komen uit de modelbeschrijving. Alle koppelingen, classificaties en tekst die daarbovenop zijn gezet zijn dummy: rollen, fasen en beslismomenten per instrument, openstelling, voorwaarden, relaties, kennisproducten, validatie, feedback.</t>
  </si>
  <si>
    <t xml:space="preserve">Wat is verzonnen</t>
  </si>
  <si>
    <t xml:space="preserve">Alle beslismomenten, informatiebehoeften, handelingsperspectieven, knelpunten, informatieoverdracht, functietitels en kennisproducten. Idem alle datums van openstelling, controles en wijzigingen, en alle URL's naar example.org. Bedragen bij effecten zijn bewust leeg gelaten.</t>
  </si>
  <si>
    <t xml:space="preserve">Tabbladen vooraan</t>
  </si>
  <si>
    <t xml:space="preserve">Tabellen: overzicht van alle 65 tabellen met aantal records. Dummy_overzicht: per tabel hoeveel records echt zijn en hoeveel dummy. Velden: datadictionary met vulgraad. Keuzelijsten: toegestane waarden. Afwijkingen: gaten in de originele modelbeschrijving (de tabel beslismoment is hier met dummy gevuld, de gaten zelf zijn niet opgelost).</t>
  </si>
  <si>
    <t xml:space="preserve">Tabeltabbladen</t>
  </si>
  <si>
    <t xml:space="preserve">Rij 1 bevat de veldnamen precies zoals in het model. Verwijzingen (velden op _id) bevatten de leesbare code of naam van het doelrecord, bijvoorbeeld ROL-003 of I-001; entity_id bevat de UUID. Houd de muis op een kolomkop voor type, verplichting en toelichting.</t>
  </si>
  <si>
    <t xml:space="preserve">Voor de websitebouwer</t>
  </si>
  <si>
    <t xml:space="preserve">Naast deze werkmap staat dezelfde inhoud als JSON (kompas_dummy_data.json): per tabel een lijst records, met verwijzingen als leesbare sleutel. De hoofdroute voor navigatie: opgave &gt; procesfase &gt; beslismoment &gt; rol, informatiebehoefte, financiële vraag, handelingsperspectief &gt; instrument via instrument_beslismoment. Filters: rol, eigenaartype, objecttype, financiële vraag, financiële route, werkingsgebied, openstelling.</t>
  </si>
  <si>
    <t xml:space="preserve">Kleur kolomkop</t>
  </si>
  <si>
    <t xml:space="preserve">Donkerviolet = verplicht veld. Lichtviolet = optioneel veld. Grijs = standaard beheerveld.</t>
  </si>
  <si>
    <t xml:space="preserve">Datums en ja/nee</t>
  </si>
  <si>
    <t xml:space="preserve">Datums als jjjj-mm-dd. Booleans als ja of nee.</t>
  </si>
  <si>
    <t xml:space="preserve">Bron</t>
  </si>
  <si>
    <t xml:space="preserve">Modelbeschrijving 'Concreet datamodel Financieel Vastgoedkompas' en Financieel_Vastgoedkompas_instrumentendatabase_v0.1.xlsx (versie 4 september 2026).</t>
  </si>
  <si>
    <t xml:space="preserve">Dummy-overzicht</t>
  </si>
  <si>
    <t xml:space="preserve">Per tabel: aantal records, waarvan echt (uit catalogus v0.1 of waardelijst) en waarvan DUMMY. Dummy-records dragen DUMMY in notes_internal.</t>
  </si>
  <si>
    <t xml:space="preserve">Nr</t>
  </si>
  <si>
    <t xml:space="preserve">Tabel</t>
  </si>
  <si>
    <t xml:space="preserve">Domein</t>
  </si>
  <si>
    <t xml:space="preserve">Records</t>
  </si>
  <si>
    <t xml:space="preserve">Echt / voorstel</t>
  </si>
  <si>
    <t xml:space="preserve">DUMMY</t>
  </si>
  <si>
    <t xml:space="preserve">Aandeel DUMMY</t>
  </si>
  <si>
    <t xml:space="preserve">opgave</t>
  </si>
  <si>
    <t xml:space="preserve">A. Navigatie</t>
  </si>
  <si>
    <t xml:space="preserve">procesniveau</t>
  </si>
  <si>
    <t xml:space="preserve">procesfase</t>
  </si>
  <si>
    <t xml:space="preserve">procesfase_relatie</t>
  </si>
  <si>
    <t xml:space="preserve">beslismoment</t>
  </si>
  <si>
    <t xml:space="preserve">besluittype</t>
  </si>
  <si>
    <t xml:space="preserve">rol</t>
  </si>
  <si>
    <t xml:space="preserve">rolcluster</t>
  </si>
  <si>
    <t xml:space="preserve">functie_alias</t>
  </si>
  <si>
    <t xml:space="preserve">eigenaartype</t>
  </si>
  <si>
    <t xml:space="preserve">objecttype</t>
  </si>
  <si>
    <t xml:space="preserve">financiele_vraag</t>
  </si>
  <si>
    <t xml:space="preserve">B. Besluitondersteuning</t>
  </si>
  <si>
    <t xml:space="preserve">financieel_thema</t>
  </si>
  <si>
    <t xml:space="preserve">informatiebehoefte</t>
  </si>
  <si>
    <t xml:space="preserve">informatietype</t>
  </si>
  <si>
    <t xml:space="preserve">beslisproduct</t>
  </si>
  <si>
    <t xml:space="preserve">handelingsperspectief</t>
  </si>
  <si>
    <t xml:space="preserve">knelpunt</t>
  </si>
  <si>
    <t xml:space="preserve">informatieoverdracht</t>
  </si>
  <si>
    <t xml:space="preserve">instrument</t>
  </si>
  <si>
    <t xml:space="preserve">C. Instrumentenbibliotheek</t>
  </si>
  <si>
    <t xml:space="preserve">instrumenttype</t>
  </si>
  <si>
    <t xml:space="preserve">digitale_vorm</t>
  </si>
  <si>
    <t xml:space="preserve">organisatie</t>
  </si>
  <si>
    <t xml:space="preserve">organisatietype</t>
  </si>
  <si>
    <t xml:space="preserve">instrument_organisatie</t>
  </si>
  <si>
    <t xml:space="preserve">bron</t>
  </si>
  <si>
    <t xml:space="preserve">brontype</t>
  </si>
  <si>
    <t xml:space="preserve">instrument_bron</t>
  </si>
  <si>
    <t xml:space="preserve">instrument_rol</t>
  </si>
  <si>
    <t xml:space="preserve">instrument_procesfase</t>
  </si>
  <si>
    <t xml:space="preserve">instrument_beslismoment</t>
  </si>
  <si>
    <t xml:space="preserve">instrument_opgave</t>
  </si>
  <si>
    <t xml:space="preserve">instrument_financiele_vraag</t>
  </si>
  <si>
    <t xml:space="preserve">instrument_eigenaartype</t>
  </si>
  <si>
    <t xml:space="preserve">instrument_objecttype</t>
  </si>
  <si>
    <t xml:space="preserve">financiele_route</t>
  </si>
  <si>
    <t xml:space="preserve">instrument_financiele_route</t>
  </si>
  <si>
    <t xml:space="preserve">effecttype</t>
  </si>
  <si>
    <t xml:space="preserve">instrument_effect</t>
  </si>
  <si>
    <t xml:space="preserve">voorwaardetype</t>
  </si>
  <si>
    <t xml:space="preserve">instrument_voorwaarde</t>
  </si>
  <si>
    <t xml:space="preserve">werkingsgebied</t>
  </si>
  <si>
    <t xml:space="preserve">instrument_werkingsgebied</t>
  </si>
  <si>
    <t xml:space="preserve">openstelling</t>
  </si>
  <si>
    <t xml:space="preserve">pc_moment</t>
  </si>
  <si>
    <t xml:space="preserve">beslismoment_rol</t>
  </si>
  <si>
    <t xml:space="preserve">beslismoment_informatiebehoefte</t>
  </si>
  <si>
    <t xml:space="preserve">beslismoment_financiele_vraag</t>
  </si>
  <si>
    <t xml:space="preserve">beslismoment_beslisproduct</t>
  </si>
  <si>
    <t xml:space="preserve">beslismoment_handelingsperspectief</t>
  </si>
  <si>
    <t xml:space="preserve">beslismoment_knelpunt</t>
  </si>
  <si>
    <t xml:space="preserve">instrument_relatie</t>
  </si>
  <si>
    <t xml:space="preserve">instrument_relatietype</t>
  </si>
  <si>
    <t xml:space="preserve">kennisproduct</t>
  </si>
  <si>
    <t xml:space="preserve">kennisproduct_instrument</t>
  </si>
  <si>
    <t xml:space="preserve">kennisproduct_beslismoment</t>
  </si>
  <si>
    <t xml:space="preserve">validation_status</t>
  </si>
  <si>
    <t xml:space="preserve">D. Beheer en validatie</t>
  </si>
  <si>
    <t xml:space="preserve">publicatiestatus</t>
  </si>
  <si>
    <t xml:space="preserve">inhoudelijke_status</t>
  </si>
  <si>
    <t xml:space="preserve">validatie</t>
  </si>
  <si>
    <t xml:space="preserve">wijzigingslog</t>
  </si>
  <si>
    <t xml:space="preserve">reviewplanning</t>
  </si>
  <si>
    <t xml:space="preserve">kennisanalyse</t>
  </si>
  <si>
    <t xml:space="preserve">ontwikkelactie</t>
  </si>
  <si>
    <t xml:space="preserve">gebruikersfeedback</t>
  </si>
  <si>
    <t xml:space="preserve">Totaal</t>
  </si>
  <si>
    <t xml:space="preserve">Overzicht tabellen</t>
  </si>
  <si>
    <t xml:space="preserve">Aantal records telt automatisch mee. Fase volgt §18 van de modelbeschrijving; 'niet ingedeeld' = daar niet genoemd.</t>
  </si>
  <si>
    <t xml:space="preserve">Tabel (tabblad)</t>
  </si>
  <si>
    <t xml:space="preserve">Sectie</t>
  </si>
  <si>
    <t xml:space="preserve">Soort</t>
  </si>
  <si>
    <t xml:space="preserve">Fase §18</t>
  </si>
  <si>
    <t xml:space="preserve">Velden</t>
  </si>
  <si>
    <t xml:space="preserve">Verplichte velden</t>
  </si>
  <si>
    <t xml:space="preserve">Omschrijving</t>
  </si>
  <si>
    <t xml:space="preserve">4.1</t>
  </si>
  <si>
    <t xml:space="preserve">entiteit</t>
  </si>
  <si>
    <t xml:space="preserve">2</t>
  </si>
  <si>
    <t xml:space="preserve">Situatie, aanleiding of doel waarmee een gebruiker het Kompas binnenkomt.</t>
  </si>
  <si>
    <t xml:space="preserve">4.2</t>
  </si>
  <si>
    <t xml:space="preserve">keuzelijsttabel</t>
  </si>
  <si>
    <t xml:space="preserve">1</t>
  </si>
  <si>
    <t xml:space="preserve">Niveau waarop een proces speelt: portefeuille, programma, object of project.</t>
  </si>
  <si>
    <t xml:space="preserve">4.3</t>
  </si>
  <si>
    <t xml:space="preserve">Fase binnen een procesniveau (voorstel: P1-P5 en O1-O7).</t>
  </si>
  <si>
    <t xml:space="preserve">4.4</t>
  </si>
  <si>
    <t xml:space="preserve">koppeltabel</t>
  </si>
  <si>
    <t xml:space="preserve">niet ingedeeld</t>
  </si>
  <si>
    <t xml:space="preserve">Verbindt fases aan elkaar zonder één lineair pad af te dwingen.</t>
  </si>
  <si>
    <t xml:space="preserve">4.5</t>
  </si>
  <si>
    <t xml:space="preserve">Centrale navigatie-entiteit: het moment waarop een besluit wordt voorbereid of genomen.</t>
  </si>
  <si>
    <t xml:space="preserve">4.6</t>
  </si>
  <si>
    <t xml:space="preserve">Type besluit.</t>
  </si>
  <si>
    <t xml:space="preserve">4.7</t>
  </si>
  <si>
    <t xml:space="preserve">Generieke rol, los van lokale functietitels.</t>
  </si>
  <si>
    <t xml:space="preserve">4.8</t>
  </si>
  <si>
    <t xml:space="preserve">Cluster van rollen.</t>
  </si>
  <si>
    <t xml:space="preserve">4.9</t>
  </si>
  <si>
    <t xml:space="preserve">Koppelt gemeentelijke functietitels aan generieke rollen.</t>
  </si>
  <si>
    <t xml:space="preserve">4.10</t>
  </si>
  <si>
    <t xml:space="preserve">Type vastgoedeigenaar.</t>
  </si>
  <si>
    <t xml:space="preserve">4.11</t>
  </si>
  <si>
    <t xml:space="preserve">Hiërarchische indeling van vastgoedobjecten.</t>
  </si>
  <si>
    <t xml:space="preserve">5.1</t>
  </si>
  <si>
    <t xml:space="preserve">Financiële vraag die op een beslismoment speelt.</t>
  </si>
  <si>
    <t xml:space="preserve">5.2</t>
  </si>
  <si>
    <t xml:space="preserve">Financieel thema, hiërarchisch.</t>
  </si>
  <si>
    <t xml:space="preserve">5.3</t>
  </si>
  <si>
    <t xml:space="preserve">Informatie die een rol op een beslismoment nodig heeft.</t>
  </si>
  <si>
    <t xml:space="preserve">5.4</t>
  </si>
  <si>
    <t xml:space="preserve">Type informatie.</t>
  </si>
  <si>
    <t xml:space="preserve">5.5</t>
  </si>
  <si>
    <t xml:space="preserve">Output waarmee een beslissing wordt voorbereid of onderbouwd.</t>
  </si>
  <si>
    <t xml:space="preserve">5.6</t>
  </si>
  <si>
    <t xml:space="preserve">Concrete aanbevolen actie ('handelen boven informeren').</t>
  </si>
  <si>
    <t xml:space="preserve">5.7</t>
  </si>
  <si>
    <t xml:space="preserve">Risico of knelpunt in besluitvorming of informatieoverdracht.</t>
  </si>
  <si>
    <t xml:space="preserve">5.8</t>
  </si>
  <si>
    <t xml:space="preserve">Welke rol welke informatie aan welke andere rol moet leveren op een beslismoment.</t>
  </si>
  <si>
    <t xml:space="preserve">6.1</t>
  </si>
  <si>
    <t xml:space="preserve">Instrument uit de catalogus.</t>
  </si>
  <si>
    <t xml:space="preserve">6.2</t>
  </si>
  <si>
    <t xml:space="preserve">Type instrument, gegroepeerd in hoofdgroepen.</t>
  </si>
  <si>
    <t xml:space="preserve">6.3</t>
  </si>
  <si>
    <t xml:space="preserve">Digitale verschijningsvorm van een instrument.</t>
  </si>
  <si>
    <t xml:space="preserve">6.4</t>
  </si>
  <si>
    <t xml:space="preserve">Organisatie (bronhouder, verstrekker, beheerder enzovoort).</t>
  </si>
  <si>
    <t xml:space="preserve">6.5</t>
  </si>
  <si>
    <t xml:space="preserve">Type organisatie.</t>
  </si>
  <si>
    <t xml:space="preserve">6.6</t>
  </si>
  <si>
    <t xml:space="preserve">Rol van een organisatie bij een instrument.</t>
  </si>
  <si>
    <t xml:space="preserve">6.7</t>
  </si>
  <si>
    <t xml:space="preserve">Bron waarop inhoud is gebaseerd.</t>
  </si>
  <si>
    <t xml:space="preserve">6.8</t>
  </si>
  <si>
    <t xml:space="preserve">Type bron.</t>
  </si>
  <si>
    <t xml:space="preserve">6.9</t>
  </si>
  <si>
    <t xml:space="preserve">Bronnen per instrument.</t>
  </si>
  <si>
    <t xml:space="preserve">7.1</t>
  </si>
  <si>
    <t xml:space="preserve">Voor welke rollen een instrument relevant is.</t>
  </si>
  <si>
    <t xml:space="preserve">7.2</t>
  </si>
  <si>
    <t xml:space="preserve">In welke procesfasen een instrument bruikbaar is.</t>
  </si>
  <si>
    <t xml:space="preserve">7.3</t>
  </si>
  <si>
    <t xml:space="preserve">Belangrijkste koppeltabel van de bronnenlaag: welk instrument welk beslismoment ondersteunt.</t>
  </si>
  <si>
    <t xml:space="preserve">7.4</t>
  </si>
  <si>
    <t xml:space="preserve">Instrumenten per opgave.</t>
  </si>
  <si>
    <t xml:space="preserve">7.5</t>
  </si>
  <si>
    <t xml:space="preserve">Welke financiële vragen een instrument beantwoordt.</t>
  </si>
  <si>
    <t xml:space="preserve">7.6</t>
  </si>
  <si>
    <t xml:space="preserve">Toepasbaarheid per eigenaartype.</t>
  </si>
  <si>
    <t xml:space="preserve">7.7</t>
  </si>
  <si>
    <t xml:space="preserve">Toepasbaarheid per objecttype.</t>
  </si>
  <si>
    <t xml:space="preserve">8.1</t>
  </si>
  <si>
    <t xml:space="preserve">Financiële oplossingsrichting.</t>
  </si>
  <si>
    <t xml:space="preserve">8.2</t>
  </si>
  <si>
    <t xml:space="preserve">Instrumenten per financiële route.</t>
  </si>
  <si>
    <t xml:space="preserve">8.3</t>
  </si>
  <si>
    <t xml:space="preserve">3</t>
  </si>
  <si>
    <t xml:space="preserve">Type (financieel) effect van een instrument.</t>
  </si>
  <si>
    <t xml:space="preserve">8.4</t>
  </si>
  <si>
    <t xml:space="preserve">Effecten per instrument. Numerieke waarden alleen als ze expliciet uit een betrouwbare bron komen.</t>
  </si>
  <si>
    <t xml:space="preserve">9.1</t>
  </si>
  <si>
    <t xml:space="preserve">Type toepassingsvoorwaarde.</t>
  </si>
  <si>
    <t xml:space="preserve">9.2</t>
  </si>
  <si>
    <t xml:space="preserve">Gestructureerde toepassingsvoorwaarde per instrument (basis voor vragenboom of persoonlijke adviseur).</t>
  </si>
  <si>
    <t xml:space="preserve">10.1</t>
  </si>
  <si>
    <t xml:space="preserve">Geografisch werkingsgebied, hiërarchisch.</t>
  </si>
  <si>
    <t xml:space="preserve">10.2</t>
  </si>
  <si>
    <t xml:space="preserve">Werkingsgebied per instrument.</t>
  </si>
  <si>
    <t xml:space="preserve">10.3</t>
  </si>
  <si>
    <t xml:space="preserve">Openstellingsperiode van een instrument.</t>
  </si>
  <si>
    <t xml:space="preserve">10.4</t>
  </si>
  <si>
    <t xml:space="preserve">P&amp;C- of kalendermoment.</t>
  </si>
  <si>
    <t xml:space="preserve">11.1</t>
  </si>
  <si>
    <t xml:space="preserve">Betrokkenheid van rollen bij een beslismoment.</t>
  </si>
  <si>
    <t xml:space="preserve">11.2</t>
  </si>
  <si>
    <t xml:space="preserve">Informatiebehoeften per beslismoment (optioneel per rol).</t>
  </si>
  <si>
    <t xml:space="preserve">11.3</t>
  </si>
  <si>
    <t xml:space="preserve">Financiële vragen per beslismoment.</t>
  </si>
  <si>
    <t xml:space="preserve">11.4</t>
  </si>
  <si>
    <t xml:space="preserve">Beslisproducten per beslismoment.</t>
  </si>
  <si>
    <t xml:space="preserve">11.5</t>
  </si>
  <si>
    <t xml:space="preserve">Handelingsperspectieven per beslismoment (optioneel per rol).</t>
  </si>
  <si>
    <t xml:space="preserve">11.6</t>
  </si>
  <si>
    <t xml:space="preserve">Knelpunten per beslismoment (optioneel per rol).</t>
  </si>
  <si>
    <t xml:space="preserve">12.1</t>
  </si>
  <si>
    <t xml:space="preserve">Relatie tussen twee instrumenten.</t>
  </si>
  <si>
    <t xml:space="preserve">12.2</t>
  </si>
  <si>
    <t xml:space="preserve">Type relatie tussen instrumenten.</t>
  </si>
  <si>
    <t xml:space="preserve">13.1</t>
  </si>
  <si>
    <t xml:space="preserve">VMV-product of extern kennisproduct.</t>
  </si>
  <si>
    <t xml:space="preserve">13.2</t>
  </si>
  <si>
    <t xml:space="preserve">Relatie kennisproduct - instrument.</t>
  </si>
  <si>
    <t xml:space="preserve">13.3</t>
  </si>
  <si>
    <t xml:space="preserve">Relatie kennisproduct - beslismoment.</t>
  </si>
  <si>
    <t xml:space="preserve">14.1</t>
  </si>
  <si>
    <t xml:space="preserve">Validatiestatus van inhoud.</t>
  </si>
  <si>
    <t xml:space="preserve">14.2</t>
  </si>
  <si>
    <t xml:space="preserve">Publicatiestatus.</t>
  </si>
  <si>
    <t xml:space="preserve">14.3</t>
  </si>
  <si>
    <t xml:space="preserve">Inhoudelijke status (actualiteit).</t>
  </si>
  <si>
    <t xml:space="preserve">14.4</t>
  </si>
  <si>
    <t xml:space="preserve">Uitgevoerde validatie van een willekeurig inhoudelijk record.</t>
  </si>
  <si>
    <t xml:space="preserve">14.5</t>
  </si>
  <si>
    <t xml:space="preserve">Wijzigingshistorie per record en veld.</t>
  </si>
  <si>
    <t xml:space="preserve">14.6</t>
  </si>
  <si>
    <t xml:space="preserve">Planning van periodieke controle per record.</t>
  </si>
  <si>
    <t xml:space="preserve">15.1</t>
  </si>
  <si>
    <t xml:space="preserve">Geconstateerde witte vlek, overlap of doublure.</t>
  </si>
  <si>
    <t xml:space="preserve">15.2</t>
  </si>
  <si>
    <t xml:space="preserve">Actie op de ontwikkelagenda.</t>
  </si>
  <si>
    <t xml:space="preserve">16.1</t>
  </si>
  <si>
    <t xml:space="preserve">Feedback van gebruikers op een record of op het Kompas.</t>
  </si>
  <si>
    <t xml:space="preserve">Datadictionary</t>
  </si>
  <si>
    <t xml:space="preserve">Eén regel per veld. 'Gevuld' en 'Leeg, verplicht' tellen automatisch mee met de tabeltabbladen.</t>
  </si>
  <si>
    <t xml:space="preserve">Veld</t>
  </si>
  <si>
    <t xml:space="preserve">Type</t>
  </si>
  <si>
    <t xml:space="preserve">Verplicht</t>
  </si>
  <si>
    <t xml:space="preserve">Sleutel</t>
  </si>
  <si>
    <t xml:space="preserve">Verwijst naar</t>
  </si>
  <si>
    <t xml:space="preserve">Keuzelijst</t>
  </si>
  <si>
    <t xml:space="preserve">Toelichting</t>
  </si>
  <si>
    <t xml:space="preserve">Gevuld</t>
  </si>
  <si>
    <t xml:space="preserve">Leeg, verplicht</t>
  </si>
  <si>
    <t xml:space="preserve">opgave_id</t>
  </si>
  <si>
    <t xml:space="preserve">UUID</t>
  </si>
  <si>
    <t xml:space="preserve">ja</t>
  </si>
  <si>
    <t xml:space="preserve">PK</t>
  </si>
  <si>
    <t xml:space="preserve">Primaire sleutel</t>
  </si>
  <si>
    <t xml:space="preserve">opgave_code</t>
  </si>
  <si>
    <t xml:space="preserve">varchar(20)</t>
  </si>
  <si>
    <t xml:space="preserve">Unieke functionele code</t>
  </si>
  <si>
    <t xml:space="preserve">naam</t>
  </si>
  <si>
    <t xml:space="preserve">varchar(200)</t>
  </si>
  <si>
    <t xml:space="preserve">Korte naam</t>
  </si>
  <si>
    <t xml:space="preserve">korte_omschrijving</t>
  </si>
  <si>
    <t xml:space="preserve">varchar(500)</t>
  </si>
  <si>
    <t xml:space="preserve">Tekst voor navigatie</t>
  </si>
  <si>
    <t xml:space="preserve">uitgebreide_omschrijving</t>
  </si>
  <si>
    <t xml:space="preserve">text</t>
  </si>
  <si>
    <t xml:space="preserve">nee</t>
  </si>
  <si>
    <t xml:space="preserve">Nadere inhoud</t>
  </si>
  <si>
    <t xml:space="preserve">aanleiding</t>
  </si>
  <si>
    <t xml:space="preserve">Trigger of probleem</t>
  </si>
  <si>
    <t xml:space="preserve">gewenst_resultaat</t>
  </si>
  <si>
    <t xml:space="preserve">Beoogde uitkomst</t>
  </si>
  <si>
    <t xml:space="preserve">niveau_default</t>
  </si>
  <si>
    <t xml:space="preserve">varchar(30)</t>
  </si>
  <si>
    <t xml:space="preserve">portefeuille; programma; object; project</t>
  </si>
  <si>
    <t xml:space="preserve">Portefeuille, programma, object, project</t>
  </si>
  <si>
    <t xml:space="preserve">primaire_doelgroep</t>
  </si>
  <si>
    <t xml:space="preserve">varchar(100)</t>
  </si>
  <si>
    <t xml:space="preserve">Samenvattend</t>
  </si>
  <si>
    <t xml:space="preserve">sort_order</t>
  </si>
  <si>
    <t xml:space="preserve">integer</t>
  </si>
  <si>
    <t xml:space="preserve">Volgorde in interface</t>
  </si>
  <si>
    <t xml:space="preserve">is_public</t>
  </si>
  <si>
    <t xml:space="preserve">boolean</t>
  </si>
  <si>
    <t xml:space="preserve">ja; nee</t>
  </si>
  <si>
    <t xml:space="preserve">Publiceerbaar</t>
  </si>
  <si>
    <t xml:space="preserve">created_at</t>
  </si>
  <si>
    <t xml:space="preserve">datetime</t>
  </si>
  <si>
    <t xml:space="preserve">Datum en tijd van aanmaak</t>
  </si>
  <si>
    <t xml:space="preserve">created_by</t>
  </si>
  <si>
    <t xml:space="preserve">varchar(255)</t>
  </si>
  <si>
    <t xml:space="preserve">Maker</t>
  </si>
  <si>
    <t xml:space="preserve">updated_at</t>
  </si>
  <si>
    <t xml:space="preserve">Laatste wijziging</t>
  </si>
  <si>
    <t xml:space="preserve">updated_by</t>
  </si>
  <si>
    <t xml:space="preserve">Laatste bewerker</t>
  </si>
  <si>
    <t xml:space="preserve">record_status</t>
  </si>
  <si>
    <t xml:space="preserve">actief; concept; gearchiveerd</t>
  </si>
  <si>
    <t xml:space="preserve">Actief, concept, gearchiveerd</t>
  </si>
  <si>
    <t xml:space="preserve">version_number</t>
  </si>
  <si>
    <t xml:space="preserve">Versienummer van record</t>
  </si>
  <si>
    <t xml:space="preserve">valid_from</t>
  </si>
  <si>
    <t xml:space="preserve">date</t>
  </si>
  <si>
    <t xml:space="preserve">Geldig vanaf</t>
  </si>
  <si>
    <t xml:space="preserve">valid_until</t>
  </si>
  <si>
    <t xml:space="preserve">Geldig tot</t>
  </si>
  <si>
    <t xml:space="preserve">notes_internal</t>
  </si>
  <si>
    <t xml:space="preserve">Interne beheerinformatie</t>
  </si>
  <si>
    <t xml:space="preserve">procesniveau_id</t>
  </si>
  <si>
    <t xml:space="preserve">code</t>
  </si>
  <si>
    <t xml:space="preserve">varchar(10)</t>
  </si>
  <si>
    <t xml:space="preserve">PORT, PROG, OBJ, PROJ</t>
  </si>
  <si>
    <t xml:space="preserve">Naam niveau</t>
  </si>
  <si>
    <t xml:space="preserve">omschrijving</t>
  </si>
  <si>
    <t xml:space="preserve">Afbakening</t>
  </si>
  <si>
    <t xml:space="preserve">Volgorde</t>
  </si>
  <si>
    <t xml:space="preserve">procesfase_id</t>
  </si>
  <si>
    <t xml:space="preserve">UUID, FK</t>
  </si>
  <si>
    <t xml:space="preserve">FK</t>
  </si>
  <si>
    <t xml:space="preserve">procesniveau.code</t>
  </si>
  <si>
    <t xml:space="preserve">Verwijzing naar procesniveau</t>
  </si>
  <si>
    <t xml:space="preserve">fase_code</t>
  </si>
  <si>
    <t xml:space="preserve">Bijvoorbeeld P3 of O4</t>
  </si>
  <si>
    <t xml:space="preserve">Naam fase</t>
  </si>
  <si>
    <t xml:space="preserve">centrale_vraag</t>
  </si>
  <si>
    <t xml:space="preserve">Vraag die in deze fase centraal staat</t>
  </si>
  <si>
    <t xml:space="preserve">Inhoud van de fase</t>
  </si>
  <si>
    <t xml:space="preserve">startcriterium</t>
  </si>
  <si>
    <t xml:space="preserve">Wanneer begint de fase?</t>
  </si>
  <si>
    <t xml:space="preserve">eindcriterium</t>
  </si>
  <si>
    <t xml:space="preserve">Wanneer is zij afgerond?</t>
  </si>
  <si>
    <t xml:space="preserve">standaard_resultaat</t>
  </si>
  <si>
    <t xml:space="preserve">Verwachte output</t>
  </si>
  <si>
    <t xml:space="preserve">Volgorde binnen niveau</t>
  </si>
  <si>
    <t xml:space="preserve">is_work_hypothesis</t>
  </si>
  <si>
    <t xml:space="preserve">Nog te valideren</t>
  </si>
  <si>
    <t xml:space="preserve">validation_status_id</t>
  </si>
  <si>
    <t xml:space="preserve">validation_status.code</t>
  </si>
  <si>
    <t xml:space="preserve">Status inhoudelijke validatie</t>
  </si>
  <si>
    <t xml:space="preserve">procesfase_relatie_id</t>
  </si>
  <si>
    <t xml:space="preserve">van_procesfase_id</t>
  </si>
  <si>
    <t xml:space="preserve">procesfase.fase_code</t>
  </si>
  <si>
    <t xml:space="preserve">naar_procesfase_id</t>
  </si>
  <si>
    <t xml:space="preserve">relatietype</t>
  </si>
  <si>
    <t xml:space="preserve">volgt op; kan volgen op; keert terug naar; leidt parallel tot; activeert; herijkt</t>
  </si>
  <si>
    <t xml:space="preserve">voorwaarde</t>
  </si>
  <si>
    <t xml:space="preserve">is_default_route</t>
  </si>
  <si>
    <t xml:space="preserve">beslismoment_id</t>
  </si>
  <si>
    <t xml:space="preserve">beslismoment_code</t>
  </si>
  <si>
    <t xml:space="preserve">Bijvoorbeeld BM-O4-01</t>
  </si>
  <si>
    <t xml:space="preserve">Hoofdfase</t>
  </si>
  <si>
    <t xml:space="preserve">Herkenbare naam</t>
  </si>
  <si>
    <t xml:space="preserve">Vraag die moet worden beantwoord</t>
  </si>
  <si>
    <t xml:space="preserve">Context</t>
  </si>
  <si>
    <t xml:space="preserve">besluittype_id</t>
  </si>
  <si>
    <t xml:space="preserve">besluittype.code</t>
  </si>
  <si>
    <t xml:space="preserve">Type besluit</t>
  </si>
  <si>
    <t xml:space="preserve">formaliteitsniveau</t>
  </si>
  <si>
    <t xml:space="preserve">informeel; ambtelijk; bestuurlijk; formeel</t>
  </si>
  <si>
    <t xml:space="preserve">Informeel, ambtelijk, bestuurlijk, formeel</t>
  </si>
  <si>
    <t xml:space="preserve">voorbereidend_of_definitief</t>
  </si>
  <si>
    <t xml:space="preserve">voorbereidend; richtinggevend; definitief</t>
  </si>
  <si>
    <t xml:space="preserve">Voorbereidend, richtinggevend, definitief</t>
  </si>
  <si>
    <t xml:space="preserve">verwacht_besluit</t>
  </si>
  <si>
    <t xml:space="preserve">Wat wordt besloten?</t>
  </si>
  <si>
    <t xml:space="preserve">benodigde_input_samenvatting</t>
  </si>
  <si>
    <t xml:space="preserve">Globale informatiebehoefte</t>
  </si>
  <si>
    <t xml:space="preserve">verwachte_output</t>
  </si>
  <si>
    <t xml:space="preserve">Beslisnota, opdracht, krediet enzovoort</t>
  </si>
  <si>
    <t xml:space="preserve">volgende_stap</t>
  </si>
  <si>
    <t xml:space="preserve">Mogelijk vervolg</t>
  </si>
  <si>
    <t xml:space="preserve">mandaat_lokaal_bepaald</t>
  </si>
  <si>
    <t xml:space="preserve">Lokale variatie</t>
  </si>
  <si>
    <t xml:space="preserve">pc_moment_id</t>
  </si>
  <si>
    <t xml:space="preserve">pc_moment.code</t>
  </si>
  <si>
    <t xml:space="preserve">P&amp;C- of kalendermoment</t>
  </si>
  <si>
    <t xml:space="preserve">is_generic</t>
  </si>
  <si>
    <t xml:space="preserve">Generiek herkenbaar</t>
  </si>
  <si>
    <t xml:space="preserve">Nog te toetsen</t>
  </si>
  <si>
    <t xml:space="preserve">Validatiestatus</t>
  </si>
  <si>
    <t xml:space="preserve">rol_id</t>
  </si>
  <si>
    <t xml:space="preserve">rol_code</t>
  </si>
  <si>
    <t xml:space="preserve">Unieke code</t>
  </si>
  <si>
    <t xml:space="preserve">varchar(150)</t>
  </si>
  <si>
    <t xml:space="preserve">Generieke rolnaam</t>
  </si>
  <si>
    <t xml:space="preserve">rolcluster_id</t>
  </si>
  <si>
    <t xml:space="preserve">rolcluster.code</t>
  </si>
  <si>
    <t xml:space="preserve">Vastgoed, financiën, beleid enzovoort</t>
  </si>
  <si>
    <t xml:space="preserve">Definitie</t>
  </si>
  <si>
    <t xml:space="preserve">primaire_verantwoordelijkheid</t>
  </si>
  <si>
    <t xml:space="preserve">Waarvoor staat deze rol?</t>
  </si>
  <si>
    <t xml:space="preserve">typisch_perspectief</t>
  </si>
  <si>
    <t xml:space="preserve">Invalshoek</t>
  </si>
  <si>
    <t xml:space="preserve">informatie_detailniveau</t>
  </si>
  <si>
    <t xml:space="preserve">strategisch; tactisch; operationeel</t>
  </si>
  <si>
    <t xml:space="preserve">Strategisch, tactisch, operationeel</t>
  </si>
  <si>
    <t xml:space="preserve">primaire_gebruiker_v1</t>
  </si>
  <si>
    <t xml:space="preserve">Prioriteit in versie 1.0</t>
  </si>
  <si>
    <t xml:space="preserve">externe_rol</t>
  </si>
  <si>
    <t xml:space="preserve">Binnen of buiten gemeente</t>
  </si>
  <si>
    <t xml:space="preserve">functie_alias_id</t>
  </si>
  <si>
    <t xml:space="preserve">rol.rol_code</t>
  </si>
  <si>
    <t xml:space="preserve">functietitel</t>
  </si>
  <si>
    <t xml:space="preserve">organisatiecontext</t>
  </si>
  <si>
    <t xml:space="preserve">toelichting</t>
  </si>
  <si>
    <t xml:space="preserve">is_preferred_term</t>
  </si>
  <si>
    <t xml:space="preserve">eigenaartype_id</t>
  </si>
  <si>
    <t xml:space="preserve">primaire_scope_v1</t>
  </si>
  <si>
    <t xml:space="preserve">objecttype_id</t>
  </si>
  <si>
    <t xml:space="preserve">objecttype_code</t>
  </si>
  <si>
    <t xml:space="preserve">parent_objecttype_id</t>
  </si>
  <si>
    <t xml:space="preserve">objecttype.objecttype_code</t>
  </si>
  <si>
    <t xml:space="preserve">financiele_vraag_id</t>
  </si>
  <si>
    <t xml:space="preserve">vraag_code</t>
  </si>
  <si>
    <t xml:space="preserve">vraagtekst</t>
  </si>
  <si>
    <t xml:space="preserve">korte_naam</t>
  </si>
  <si>
    <t xml:space="preserve">financieel_thema_id</t>
  </si>
  <si>
    <t xml:space="preserve">financieel_thema.thema_code</t>
  </si>
  <si>
    <t xml:space="preserve">verwacht_antwoordtype</t>
  </si>
  <si>
    <t xml:space="preserve">thema_code</t>
  </si>
  <si>
    <t xml:space="preserve">parent_thema_id</t>
  </si>
  <si>
    <t xml:space="preserve">informatiebehoefte_id</t>
  </si>
  <si>
    <t xml:space="preserve">informatie_code</t>
  </si>
  <si>
    <t xml:space="preserve">informatietype_id</t>
  </si>
  <si>
    <t xml:space="preserve">informatietype.code</t>
  </si>
  <si>
    <t xml:space="preserve">vraagstelling</t>
  </si>
  <si>
    <t xml:space="preserve">vereist_detailniveau</t>
  </si>
  <si>
    <t xml:space="preserve">(geen waarden gegeven in modelbeschrijving)</t>
  </si>
  <si>
    <t xml:space="preserve">vormvoorkeur</t>
  </si>
  <si>
    <t xml:space="preserve">actualiteitseis</t>
  </si>
  <si>
    <t xml:space="preserve">kwaliteitseis</t>
  </si>
  <si>
    <t xml:space="preserve">verplicht_voor_besluit</t>
  </si>
  <si>
    <t xml:space="preserve">vaak_ontbrekend</t>
  </si>
  <si>
    <t xml:space="preserve">beslisproduct_id</t>
  </si>
  <si>
    <t xml:space="preserve">producttype</t>
  </si>
  <si>
    <t xml:space="preserve">is_formeel_document</t>
  </si>
  <si>
    <t xml:space="preserve">template_instrument_id</t>
  </si>
  <si>
    <t xml:space="preserve">instrument.instrument_code</t>
  </si>
  <si>
    <t xml:space="preserve">handelingsperspectief_id</t>
  </si>
  <si>
    <t xml:space="preserve">titel</t>
  </si>
  <si>
    <t xml:space="preserve">samenvatting</t>
  </si>
  <si>
    <t xml:space="preserve">beschrijving</t>
  </si>
  <si>
    <t xml:space="preserve">aanbevolen_actie</t>
  </si>
  <si>
    <t xml:space="preserve">verwacht_resultaat</t>
  </si>
  <si>
    <t xml:space="preserve">waarschuwing</t>
  </si>
  <si>
    <t xml:space="preserve">knelpunt_id</t>
  </si>
  <si>
    <t xml:space="preserve">knelpunttype</t>
  </si>
  <si>
    <t xml:space="preserve">varchar(50)</t>
  </si>
  <si>
    <t xml:space="preserve">ontbrekende informatie; onduidelijke verantwoordelijkheid; overdrachtsprobleem; ontbrekend instrument; onvoldoende capaciteit; kennisprobleem; lokaal procesverschil; mandaatprobleem; timing P&amp;C-cyclus; onvoldoende dekking; fiscale of juridische onzekerheid</t>
  </si>
  <si>
    <t xml:space="preserve">ernst</t>
  </si>
  <si>
    <t xml:space="preserve">frequentie</t>
  </si>
  <si>
    <t xml:space="preserve">bron_type</t>
  </si>
  <si>
    <t xml:space="preserve">is_validated</t>
  </si>
  <si>
    <t xml:space="preserve">informatieoverdracht_id</t>
  </si>
  <si>
    <t xml:space="preserve">beslismoment.beslismoment_code</t>
  </si>
  <si>
    <t xml:space="preserve">van_rol_id</t>
  </si>
  <si>
    <t xml:space="preserve">naar_rol_id</t>
  </si>
  <si>
    <t xml:space="preserve">informatiebehoefte.informatie_code</t>
  </si>
  <si>
    <t xml:space="preserve">beslisproduct.code</t>
  </si>
  <si>
    <t xml:space="preserve">moment_binnen_fase</t>
  </si>
  <si>
    <t xml:space="preserve">vereist_formaat</t>
  </si>
  <si>
    <t xml:space="preserve">overdrachtsrisico</t>
  </si>
  <si>
    <t xml:space="preserve">is_verplicht</t>
  </si>
  <si>
    <t xml:space="preserve">instrument_id</t>
  </si>
  <si>
    <t xml:space="preserve">instrument_code</t>
  </si>
  <si>
    <t xml:space="preserve">Bijvoorbeeld INS-0001</t>
  </si>
  <si>
    <t xml:space="preserve">naam_officieel</t>
  </si>
  <si>
    <t xml:space="preserve">varchar(300)</t>
  </si>
  <si>
    <t xml:space="preserve">Officiële naam</t>
  </si>
  <si>
    <t xml:space="preserve">naam_kort</t>
  </si>
  <si>
    <t xml:space="preserve">Naam voor resultatenlijst</t>
  </si>
  <si>
    <t xml:space="preserve">Samenvatting</t>
  </si>
  <si>
    <t xml:space="preserve">Inhoudelijke toelichting</t>
  </si>
  <si>
    <t xml:space="preserve">primaire_instrumenttype_id</t>
  </si>
  <si>
    <t xml:space="preserve">instrumenttype.code</t>
  </si>
  <si>
    <t xml:space="preserve">Hoofdtype</t>
  </si>
  <si>
    <t xml:space="preserve">doel</t>
  </si>
  <si>
    <t xml:space="preserve">Wat helpt dit instrument bereiken?</t>
  </si>
  <si>
    <t xml:space="preserve">centrale_gebruikersvraag</t>
  </si>
  <si>
    <t xml:space="preserve">Vraag waarop het antwoord geeft</t>
  </si>
  <si>
    <t xml:space="preserve">benodigde_input</t>
  </si>
  <si>
    <t xml:space="preserve">Vereiste gegevens</t>
  </si>
  <si>
    <t xml:space="preserve">beoogde_output</t>
  </si>
  <si>
    <t xml:space="preserve">Resultaat van gebruik</t>
  </si>
  <si>
    <t xml:space="preserve">gebruikstoelichting</t>
  </si>
  <si>
    <t xml:space="preserve">Beknopte instructie</t>
  </si>
  <si>
    <t xml:space="preserve">zelfstandig_bruikbaar</t>
  </si>
  <si>
    <t xml:space="preserve">ja; deels; nee; onbekend</t>
  </si>
  <si>
    <t xml:space="preserve">Ja, deels, nee, onbekend</t>
  </si>
  <si>
    <t xml:space="preserve">complexiteitsniveau</t>
  </si>
  <si>
    <t xml:space="preserve">basis; gemiddeld; specialistisch</t>
  </si>
  <si>
    <t xml:space="preserve">Basis, gemiddeld, specialistisch</t>
  </si>
  <si>
    <t xml:space="preserve">doorlooptijd_categorie</t>
  </si>
  <si>
    <t xml:space="preserve">direct; dagen; weken; maanden</t>
  </si>
  <si>
    <t xml:space="preserve">Direct, dagen, weken, maanden</t>
  </si>
  <si>
    <t xml:space="preserve">digitale_vorm_id</t>
  </si>
  <si>
    <t xml:space="preserve">digitale_vorm.code</t>
  </si>
  <si>
    <t xml:space="preserve">Excel, PDF, website enzovoort</t>
  </si>
  <si>
    <t xml:space="preserve">officiele_url</t>
  </si>
  <si>
    <t xml:space="preserve">Directe URL</t>
  </si>
  <si>
    <t xml:space="preserve">publicatiestatus_id</t>
  </si>
  <si>
    <t xml:space="preserve">publicatiestatus.code</t>
  </si>
  <si>
    <t xml:space="preserve">Concept, intern, publiceerbaar</t>
  </si>
  <si>
    <t xml:space="preserve">inhoudelijke_status_id</t>
  </si>
  <si>
    <t xml:space="preserve">inhoudelijke_status.code</t>
  </si>
  <si>
    <t xml:space="preserve">Actueel, controleren, vervallen</t>
  </si>
  <si>
    <t xml:space="preserve">relevantie_v1</t>
  </si>
  <si>
    <t xml:space="preserve">hoog; middel; laag</t>
  </si>
  <si>
    <t xml:space="preserve">Hoog, middel, laag</t>
  </si>
  <si>
    <t xml:space="preserve">tonen_in_v1</t>
  </si>
  <si>
    <t xml:space="preserve">Interfacefilter</t>
  </si>
  <si>
    <t xml:space="preserve">reden_niet_tonen</t>
  </si>
  <si>
    <t xml:space="preserve">Indien niet zichtbaar</t>
  </si>
  <si>
    <t xml:space="preserve">Gevalideerd of niet</t>
  </si>
  <si>
    <t xml:space="preserve">instrumenttype_id</t>
  </si>
  <si>
    <t xml:space="preserve">hoofdgroep</t>
  </si>
  <si>
    <t xml:space="preserve">organisatie_id</t>
  </si>
  <si>
    <t xml:space="preserve">varchar(250)</t>
  </si>
  <si>
    <t xml:space="preserve">afkorting</t>
  </si>
  <si>
    <t xml:space="preserve">organisatietype_id</t>
  </si>
  <si>
    <t xml:space="preserve">organisatietype.code</t>
  </si>
  <si>
    <t xml:space="preserve">website_url</t>
  </si>
  <si>
    <t xml:space="preserve">contact_url</t>
  </si>
  <si>
    <t xml:space="preserve">email_algemeen</t>
  </si>
  <si>
    <t xml:space="preserve">land</t>
  </si>
  <si>
    <t xml:space="preserve">instrument_organisatie_id</t>
  </si>
  <si>
    <t xml:space="preserve">organisatie.naam</t>
  </si>
  <si>
    <t xml:space="preserve">relatierol</t>
  </si>
  <si>
    <t xml:space="preserve">eigenaar; beheerder; uitvoerder; verstrekker; ontwikkelaar; inhoudelijk verantwoordelijke; actualisatieverantwoordelijke; kennispartner; distributeur</t>
  </si>
  <si>
    <t xml:space="preserve">contactpersoon</t>
  </si>
  <si>
    <t xml:space="preserve">contact_email</t>
  </si>
  <si>
    <t xml:space="preserve">bron_id</t>
  </si>
  <si>
    <t xml:space="preserve">brontype_id</t>
  </si>
  <si>
    <t xml:space="preserve">brontype.code</t>
  </si>
  <si>
    <t xml:space="preserve">url</t>
  </si>
  <si>
    <t xml:space="preserve">documentreferentie</t>
  </si>
  <si>
    <t xml:space="preserve">publicatiedatum</t>
  </si>
  <si>
    <t xml:space="preserve">versiedatum</t>
  </si>
  <si>
    <t xml:space="preserve">geraadpleegd_op</t>
  </si>
  <si>
    <t xml:space="preserve">taal</t>
  </si>
  <si>
    <t xml:space="preserve">primaire_bron</t>
  </si>
  <si>
    <t xml:space="preserve">juridisch_bindend</t>
  </si>
  <si>
    <t xml:space="preserve">bronstatus</t>
  </si>
  <si>
    <t xml:space="preserve">archief_url</t>
  </si>
  <si>
    <t xml:space="preserve">instrument_bron_id</t>
  </si>
  <si>
    <t xml:space="preserve">bron.titel</t>
  </si>
  <si>
    <t xml:space="preserve">bronrol</t>
  </si>
  <si>
    <t xml:space="preserve">officiële bron; gebruiksinstructie; onderbouwing; praktijktoepassing; validatie; actualiteitscontrole; achtergrondinformatie</t>
  </si>
  <si>
    <t xml:space="preserve">is_primary</t>
  </si>
  <si>
    <t xml:space="preserve">ondersteunt_claim</t>
  </si>
  <si>
    <t xml:space="preserve">instrument_rol_id</t>
  </si>
  <si>
    <t xml:space="preserve">relevantie</t>
  </si>
  <si>
    <t xml:space="preserve">rol_bij_gebruik</t>
  </si>
  <si>
    <t xml:space="preserve">gebruiker; adviseur; beslisser; leverancier van input; toetser; beheerder; ontvanger van output</t>
  </si>
  <si>
    <t xml:space="preserve">instrument_procesfase_id</t>
  </si>
  <si>
    <t xml:space="preserve">toepassingsmoment</t>
  </si>
  <si>
    <t xml:space="preserve">instrument_beslismoment_id</t>
  </si>
  <si>
    <t xml:space="preserve">ondersteuningsfunctie</t>
  </si>
  <si>
    <t xml:space="preserve">informeren; analyseren; rekenen; vergelijken; prioriteren; toetsen; financieren; bekostigen; onderbouwen; besluiten voorbereiden; contracteren; monitoren; verantwoorden; herijken</t>
  </si>
  <si>
    <t xml:space="preserve">gebruik_voor_of_na_besluit</t>
  </si>
  <si>
    <t xml:space="preserve">instrument_opgave_id</t>
  </si>
  <si>
    <t xml:space="preserve">opgave.opgave_code</t>
  </si>
  <si>
    <t xml:space="preserve">instrument_financiele_vraag_id</t>
  </si>
  <si>
    <t xml:space="preserve">financiele_vraag.vraag_code</t>
  </si>
  <si>
    <t xml:space="preserve">antwoordniveau</t>
  </si>
  <si>
    <t xml:space="preserve">eerste oriëntatie; indicatief inzicht; volledige onderbouwing; specialistische onderbouwing; verwijzing naar expertise</t>
  </si>
  <si>
    <t xml:space="preserve">instrument_eigenaartype_id</t>
  </si>
  <si>
    <t xml:space="preserve">eigenaartype.code</t>
  </si>
  <si>
    <t xml:space="preserve">toepasbaarheid</t>
  </si>
  <si>
    <t xml:space="preserve">direct toepasbaar; mogelijk toepasbaar; alleen via samenwerking; alleen via andere juridische entiteit; niet toepasbaar; nog te controleren</t>
  </si>
  <si>
    <t xml:space="preserve">instrument_objecttype_id</t>
  </si>
  <si>
    <t xml:space="preserve">financiele_route_id</t>
  </si>
  <si>
    <t xml:space="preserve">route_code</t>
  </si>
  <si>
    <t xml:space="preserve">routecategorie</t>
  </si>
  <si>
    <t xml:space="preserve">startvraag</t>
  </si>
  <si>
    <t xml:space="preserve">instrument_financiele_route_id</t>
  </si>
  <si>
    <t xml:space="preserve">financiele_route.route_code</t>
  </si>
  <si>
    <t xml:space="preserve">positie_in_route</t>
  </si>
  <si>
    <t xml:space="preserve">routefunctie</t>
  </si>
  <si>
    <t xml:space="preserve">effecttype_id</t>
  </si>
  <si>
    <t xml:space="preserve">effectcategorie</t>
  </si>
  <si>
    <t xml:space="preserve">instrument_effect_id</t>
  </si>
  <si>
    <t xml:space="preserve">effecttype.code</t>
  </si>
  <si>
    <t xml:space="preserve">effectrichting</t>
  </si>
  <si>
    <t xml:space="preserve">effectsterkte</t>
  </si>
  <si>
    <t xml:space="preserve">bedrag_min</t>
  </si>
  <si>
    <t xml:space="preserve">decimal(18,2)</t>
  </si>
  <si>
    <t xml:space="preserve">bedrag_max</t>
  </si>
  <si>
    <t xml:space="preserve">percentage_min</t>
  </si>
  <si>
    <t xml:space="preserve">decimal(8,4)</t>
  </si>
  <si>
    <t xml:space="preserve">percentage_max</t>
  </si>
  <si>
    <t xml:space="preserve">valuta</t>
  </si>
  <si>
    <t xml:space="preserve">char(3)</t>
  </si>
  <si>
    <t xml:space="preserve">effect_toelichting</t>
  </si>
  <si>
    <t xml:space="preserve">voorwaardetype_id</t>
  </si>
  <si>
    <t xml:space="preserve">datatype</t>
  </si>
  <si>
    <t xml:space="preserve">instrument_voorwaarde_id</t>
  </si>
  <si>
    <t xml:space="preserve">voorwaardetype.code</t>
  </si>
  <si>
    <t xml:space="preserve">operator</t>
  </si>
  <si>
    <t xml:space="preserve">gelijk aan; niet gelijk aan; groter dan; kleiner dan; minimaal; maximaal; bevat; geldt voor; geldt niet voor; vereist; optioneel</t>
  </si>
  <si>
    <t xml:space="preserve">waarde_tekst</t>
  </si>
  <si>
    <t xml:space="preserve">waarde_getal</t>
  </si>
  <si>
    <t xml:space="preserve">decimal(18,4)</t>
  </si>
  <si>
    <t xml:space="preserve">waarde_datum</t>
  </si>
  <si>
    <t xml:space="preserve">waarde_boolean</t>
  </si>
  <si>
    <t xml:space="preserve">eenheid</t>
  </si>
  <si>
    <t xml:space="preserve">is_uitsluiting</t>
  </si>
  <si>
    <t xml:space="preserve">is_harde_voorwaarde</t>
  </si>
  <si>
    <t xml:space="preserve">werkingsgebied_id</t>
  </si>
  <si>
    <t xml:space="preserve">gebiedstype</t>
  </si>
  <si>
    <t xml:space="preserve">Europees; landelijk; provincie; regio; gemeente; lokaal fonds</t>
  </si>
  <si>
    <t xml:space="preserve">landcode</t>
  </si>
  <si>
    <t xml:space="preserve">char(2)</t>
  </si>
  <si>
    <t xml:space="preserve">parent_werkingsgebied_id</t>
  </si>
  <si>
    <t xml:space="preserve">werkingsgebied.naam</t>
  </si>
  <si>
    <t xml:space="preserve">instrument_werkingsgebied_id</t>
  </si>
  <si>
    <t xml:space="preserve">openstelling_id</t>
  </si>
  <si>
    <t xml:space="preserve">openstelling_status</t>
  </si>
  <si>
    <t xml:space="preserve">open; gesloten; verwacht; doorlopend; uitgeput; beëindigd; onbekend</t>
  </si>
  <si>
    <t xml:space="preserve">startdatum</t>
  </si>
  <si>
    <t xml:space="preserve">einddatum</t>
  </si>
  <si>
    <t xml:space="preserve">volgende_ronde_datum</t>
  </si>
  <si>
    <t xml:space="preserve">periodiciteit</t>
  </si>
  <si>
    <t xml:space="preserve">budgetplafond</t>
  </si>
  <si>
    <t xml:space="preserve">aanvraag_url</t>
  </si>
  <si>
    <t xml:space="preserve">laatst_gecontroleerd_op</t>
  </si>
  <si>
    <t xml:space="preserve">momenttype</t>
  </si>
  <si>
    <t xml:space="preserve">beslismoment_rol_id</t>
  </si>
  <si>
    <t xml:space="preserve">betrokkenheidstype</t>
  </si>
  <si>
    <t xml:space="preserve">initieert; bereidt voor; levert input; adviseert; toetst; besluit; voert uit; monitort; wordt geïnformeerd</t>
  </si>
  <si>
    <t xml:space="preserve">raci_type</t>
  </si>
  <si>
    <t xml:space="preserve">char(1)</t>
  </si>
  <si>
    <t xml:space="preserve">R; A; C; I</t>
  </si>
  <si>
    <t xml:space="preserve">volgorde</t>
  </si>
  <si>
    <t xml:space="preserve">beslismoment_informatie_id</t>
  </si>
  <si>
    <t xml:space="preserve">prioriteit</t>
  </si>
  <si>
    <t xml:space="preserve">verplicht</t>
  </si>
  <si>
    <t xml:space="preserve">beschikbaar_vanaf</t>
  </si>
  <si>
    <t xml:space="preserve">beslismoment_financiele_vraag_id</t>
  </si>
  <si>
    <t xml:space="preserve">beslismoment_beslisproduct_id</t>
  </si>
  <si>
    <t xml:space="preserve">productrol</t>
  </si>
  <si>
    <t xml:space="preserve">input; onderbouwing; besluitdocument; output; overdrachtsproduct; monitoring</t>
  </si>
  <si>
    <t xml:space="preserve">beslismoment_handelingsperspectief_id</t>
  </si>
  <si>
    <t xml:space="preserve">handelingsperspectief.code</t>
  </si>
  <si>
    <t xml:space="preserve">beslismoment_knelpunt_id</t>
  </si>
  <si>
    <t xml:space="preserve">knelpunt.code</t>
  </si>
  <si>
    <t xml:space="preserve">impact</t>
  </si>
  <si>
    <t xml:space="preserve">instrument_relatie_id</t>
  </si>
  <si>
    <t xml:space="preserve">van_instrument_id</t>
  </si>
  <si>
    <t xml:space="preserve">naar_instrument_id</t>
  </si>
  <si>
    <t xml:space="preserve">relatietype_id</t>
  </si>
  <si>
    <t xml:space="preserve">instrument_relatietype.code</t>
  </si>
  <si>
    <t xml:space="preserve">relatiesterkte</t>
  </si>
  <si>
    <t xml:space="preserve">kennisproduct_id</t>
  </si>
  <si>
    <t xml:space="preserve">product_code</t>
  </si>
  <si>
    <t xml:space="preserve">programmaonderdeel</t>
  </si>
  <si>
    <t xml:space="preserve">status</t>
  </si>
  <si>
    <t xml:space="preserve">relatie_met_kompas</t>
  </si>
  <si>
    <t xml:space="preserve">inhoud opnemen; naar verwijzen; onderlegger; mogelijke toekomstige koppeling; buiten scope</t>
  </si>
  <si>
    <t xml:space="preserve">verwachte_opleverdatum</t>
  </si>
  <si>
    <t xml:space="preserve">kennisproduct_instrument_id</t>
  </si>
  <si>
    <t xml:space="preserve">kennisproduct.product_code</t>
  </si>
  <si>
    <t xml:space="preserve">kennisproduct_beslismoment_id</t>
  </si>
  <si>
    <t xml:space="preserve">validatie_id</t>
  </si>
  <si>
    <t xml:space="preserve">entity_type</t>
  </si>
  <si>
    <t xml:space="preserve">entity_id</t>
  </si>
  <si>
    <t xml:space="preserve">validatiemethode</t>
  </si>
  <si>
    <t xml:space="preserve">broncontrole; deskundigenreview; interview; gebruikerssessie; casusvalidatie; kernteam; redactionele controle; technische controle</t>
  </si>
  <si>
    <t xml:space="preserve">validatiedatum</t>
  </si>
  <si>
    <t xml:space="preserve">validator_naam</t>
  </si>
  <si>
    <t xml:space="preserve">validator_organisatie_id</t>
  </si>
  <si>
    <t xml:space="preserve">bevinding</t>
  </si>
  <si>
    <t xml:space="preserve">aanpassing_nodig</t>
  </si>
  <si>
    <t xml:space="preserve">vervolgactie</t>
  </si>
  <si>
    <t xml:space="preserve">wijzigingslog_id</t>
  </si>
  <si>
    <t xml:space="preserve">wijzigingstype</t>
  </si>
  <si>
    <t xml:space="preserve">veldnaam</t>
  </si>
  <si>
    <t xml:space="preserve">oude_waarde</t>
  </si>
  <si>
    <t xml:space="preserve">nieuwe_waarde</t>
  </si>
  <si>
    <t xml:space="preserve">reden</t>
  </si>
  <si>
    <t xml:space="preserve">gewijzigd_op</t>
  </si>
  <si>
    <t xml:space="preserve">gewijzigd_door</t>
  </si>
  <si>
    <t xml:space="preserve">reviewplanning_id</t>
  </si>
  <si>
    <t xml:space="preserve">volgende_controle_op</t>
  </si>
  <si>
    <t xml:space="preserve">reviewfrequentie_maanden</t>
  </si>
  <si>
    <t xml:space="preserve">revieweigenaar_organisatie_id</t>
  </si>
  <si>
    <t xml:space="preserve">revieweigenaar_naam</t>
  </si>
  <si>
    <t xml:space="preserve">reviewreden</t>
  </si>
  <si>
    <t xml:space="preserve">kennisanalyse_id</t>
  </si>
  <si>
    <t xml:space="preserve">analyse_code</t>
  </si>
  <si>
    <t xml:space="preserve">analysetype</t>
  </si>
  <si>
    <t xml:space="preserve">witte vlek; beperkte dekking; mogelijke doublure; inhoudelijke overlap; regionale versnippering; sectorspecifieke variatie; verouderde informatie; onduidelijke bronhouder; ontbrekend handelingsperspectief; ontbrekende bestuurlijke vertaling; ontbrekende praktische toepassing</t>
  </si>
  <si>
    <t xml:space="preserve">aantal_instrumenten</t>
  </si>
  <si>
    <t xml:space="preserve">ontwikkelactie_id</t>
  </si>
  <si>
    <t xml:space="preserve">kennisanalyse.analyse_code</t>
  </si>
  <si>
    <t xml:space="preserve">actietype</t>
  </si>
  <si>
    <t xml:space="preserve">eigenaar</t>
  </si>
  <si>
    <t xml:space="preserve">gewenste_oplevering</t>
  </si>
  <si>
    <t xml:space="preserve">afhankelijkheden</t>
  </si>
  <si>
    <t xml:space="preserve">feedback_id</t>
  </si>
  <si>
    <t xml:space="preserve">feedbacktype</t>
  </si>
  <si>
    <t xml:space="preserve">inhoud onjuist; informatie verouderd; instrument ontbreekt; niet begrijpelijk; route niet herkenbaar; onvoldoende handelingsperspectief; koppeling onjuist; positief praktijkvoorbeeld; verbetersuggestie</t>
  </si>
  <si>
    <t xml:space="preserve">feedbacktekst</t>
  </si>
  <si>
    <t xml:space="preserve">gegeven_op</t>
  </si>
  <si>
    <t xml:space="preserve">bruikbaarheid_score</t>
  </si>
  <si>
    <t xml:space="preserve">gevonden_wat_gezocht</t>
  </si>
  <si>
    <t xml:space="preserve">Keuzelijsten</t>
  </si>
  <si>
    <t xml:space="preserve">Eén kolom per keuzeveld. Nieuwe waarde: onderaan de kolom toevoegen, dan klopt de dropdown direct.</t>
  </si>
  <si>
    <t xml:space="preserve">(alle tabellen).record_status</t>
  </si>
  <si>
    <t xml:space="preserve">opgave.niveau_default</t>
  </si>
  <si>
    <t xml:space="preserve">procesfase_relatie.relatietype</t>
  </si>
  <si>
    <t xml:space="preserve">beslismoment.formaliteitsniveau</t>
  </si>
  <si>
    <t xml:space="preserve">beslismoment.voorbereidend_of_definitief</t>
  </si>
  <si>
    <t xml:space="preserve">rol.informatie_detailniveau</t>
  </si>
  <si>
    <t xml:space="preserve">knelpunt.knelpunttype</t>
  </si>
  <si>
    <t xml:space="preserve">instrument.zelfstandig_bruikbaar</t>
  </si>
  <si>
    <t xml:space="preserve">instrument.complexiteitsniveau</t>
  </si>
  <si>
    <t xml:space="preserve">instrument.doorlooptijd_categorie</t>
  </si>
  <si>
    <t xml:space="preserve">instrument.relevantie_v1</t>
  </si>
  <si>
    <t xml:space="preserve">instrument_organisatie.relatierol</t>
  </si>
  <si>
    <t xml:space="preserve">instrument_bron.bronrol</t>
  </si>
  <si>
    <t xml:space="preserve">instrument_rol.rol_bij_gebruik</t>
  </si>
  <si>
    <t xml:space="preserve">instrument_beslismoment.ondersteuningsfunctie</t>
  </si>
  <si>
    <t xml:space="preserve">instrument_financiele_vraag.antwoordniveau</t>
  </si>
  <si>
    <t xml:space="preserve">instrument_eigenaartype.toepasbaarheid</t>
  </si>
  <si>
    <t xml:space="preserve">instrument_voorwaarde.operator</t>
  </si>
  <si>
    <t xml:space="preserve">werkingsgebied.gebiedstype</t>
  </si>
  <si>
    <t xml:space="preserve">openstelling.openstelling_status</t>
  </si>
  <si>
    <t xml:space="preserve">beslismoment_rol.betrokkenheidstype</t>
  </si>
  <si>
    <t xml:space="preserve">beslismoment_rol.raci_type</t>
  </si>
  <si>
    <t xml:space="preserve">beslismoment_beslisproduct.productrol</t>
  </si>
  <si>
    <t xml:space="preserve">kennisproduct.relatie_met_kompas</t>
  </si>
  <si>
    <t xml:space="preserve">validatie.validatiemethode</t>
  </si>
  <si>
    <t xml:space="preserve">kennisanalyse.analysetype</t>
  </si>
  <si>
    <t xml:space="preserve">gebruikersfeedback.feedbacktype</t>
  </si>
  <si>
    <t xml:space="preserve">actief</t>
  </si>
  <si>
    <t xml:space="preserve">portefeuille</t>
  </si>
  <si>
    <t xml:space="preserve">volgt op</t>
  </si>
  <si>
    <t xml:space="preserve">informeel</t>
  </si>
  <si>
    <t xml:space="preserve">voorbereidend</t>
  </si>
  <si>
    <t xml:space="preserve">strategisch</t>
  </si>
  <si>
    <t xml:space="preserve">ontbrekende informatie</t>
  </si>
  <si>
    <t xml:space="preserve">basis</t>
  </si>
  <si>
    <t xml:space="preserve">direct</t>
  </si>
  <si>
    <t xml:space="preserve">hoog</t>
  </si>
  <si>
    <t xml:space="preserve">officiële bron</t>
  </si>
  <si>
    <t xml:space="preserve">gebruiker</t>
  </si>
  <si>
    <t xml:space="preserve">informeren</t>
  </si>
  <si>
    <t xml:space="preserve">eerste oriëntatie</t>
  </si>
  <si>
    <t xml:space="preserve">direct toepasbaar</t>
  </si>
  <si>
    <t xml:space="preserve">gelijk aan</t>
  </si>
  <si>
    <t xml:space="preserve">Europees</t>
  </si>
  <si>
    <t xml:space="preserve">open</t>
  </si>
  <si>
    <t xml:space="preserve">initieert</t>
  </si>
  <si>
    <t xml:space="preserve">R</t>
  </si>
  <si>
    <t xml:space="preserve">input</t>
  </si>
  <si>
    <t xml:space="preserve">inhoud opnemen</t>
  </si>
  <si>
    <t xml:space="preserve">broncontrole</t>
  </si>
  <si>
    <t xml:space="preserve">witte vlek</t>
  </si>
  <si>
    <t xml:space="preserve">inhoud onjuist</t>
  </si>
  <si>
    <t xml:space="preserve">concept</t>
  </si>
  <si>
    <t xml:space="preserve">programma</t>
  </si>
  <si>
    <t xml:space="preserve">kan volgen op</t>
  </si>
  <si>
    <t xml:space="preserve">ambtelijk</t>
  </si>
  <si>
    <t xml:space="preserve">richtinggevend</t>
  </si>
  <si>
    <t xml:space="preserve">tactisch</t>
  </si>
  <si>
    <t xml:space="preserve">onduidelijke verantwoordelijkheid</t>
  </si>
  <si>
    <t xml:space="preserve">deels</t>
  </si>
  <si>
    <t xml:space="preserve">gemiddeld</t>
  </si>
  <si>
    <t xml:space="preserve">dagen</t>
  </si>
  <si>
    <t xml:space="preserve">middel</t>
  </si>
  <si>
    <t xml:space="preserve">beheerder</t>
  </si>
  <si>
    <t xml:space="preserve">gebruiksinstructie</t>
  </si>
  <si>
    <t xml:space="preserve">adviseur</t>
  </si>
  <si>
    <t xml:space="preserve">analyseren</t>
  </si>
  <si>
    <t xml:space="preserve">indicatief inzicht</t>
  </si>
  <si>
    <t xml:space="preserve">mogelijk toepasbaar</t>
  </si>
  <si>
    <t xml:space="preserve">niet gelijk aan</t>
  </si>
  <si>
    <t xml:space="preserve">landelijk</t>
  </si>
  <si>
    <t xml:space="preserve">gesloten</t>
  </si>
  <si>
    <t xml:space="preserve">bereidt voor</t>
  </si>
  <si>
    <t xml:space="preserve">A</t>
  </si>
  <si>
    <t xml:space="preserve">onderbouwing</t>
  </si>
  <si>
    <t xml:space="preserve">naar verwijzen</t>
  </si>
  <si>
    <t xml:space="preserve">deskundigenreview</t>
  </si>
  <si>
    <t xml:space="preserve">beperkte dekking</t>
  </si>
  <si>
    <t xml:space="preserve">informatie verouderd</t>
  </si>
  <si>
    <t xml:space="preserve">gearchiveerd</t>
  </si>
  <si>
    <t xml:space="preserve">object</t>
  </si>
  <si>
    <t xml:space="preserve">keert terug naar</t>
  </si>
  <si>
    <t xml:space="preserve">bestuurlijk</t>
  </si>
  <si>
    <t xml:space="preserve">definitief</t>
  </si>
  <si>
    <t xml:space="preserve">operationeel</t>
  </si>
  <si>
    <t xml:space="preserve">overdrachtsprobleem</t>
  </si>
  <si>
    <t xml:space="preserve">specialistisch</t>
  </si>
  <si>
    <t xml:space="preserve">weken</t>
  </si>
  <si>
    <t xml:space="preserve">laag</t>
  </si>
  <si>
    <t xml:space="preserve">uitvoerder</t>
  </si>
  <si>
    <t xml:space="preserve">beslisser</t>
  </si>
  <si>
    <t xml:space="preserve">rekenen</t>
  </si>
  <si>
    <t xml:space="preserve">volledige onderbouwing</t>
  </si>
  <si>
    <t xml:space="preserve">alleen via samenwerking</t>
  </si>
  <si>
    <t xml:space="preserve">groter dan</t>
  </si>
  <si>
    <t xml:space="preserve">provincie</t>
  </si>
  <si>
    <t xml:space="preserve">verwacht</t>
  </si>
  <si>
    <t xml:space="preserve">levert input</t>
  </si>
  <si>
    <t xml:space="preserve">C</t>
  </si>
  <si>
    <t xml:space="preserve">besluitdocument</t>
  </si>
  <si>
    <t xml:space="preserve">onderlegger</t>
  </si>
  <si>
    <t xml:space="preserve">interview</t>
  </si>
  <si>
    <t xml:space="preserve">mogelijke doublure</t>
  </si>
  <si>
    <t xml:space="preserve">instrument ontbreekt</t>
  </si>
  <si>
    <t xml:space="preserve">project</t>
  </si>
  <si>
    <t xml:space="preserve">leidt parallel tot</t>
  </si>
  <si>
    <t xml:space="preserve">formeel</t>
  </si>
  <si>
    <t xml:space="preserve">ontbrekend instrument</t>
  </si>
  <si>
    <t xml:space="preserve">onbekend</t>
  </si>
  <si>
    <t xml:space="preserve">maanden</t>
  </si>
  <si>
    <t xml:space="preserve">verstrekker</t>
  </si>
  <si>
    <t xml:space="preserve">praktijktoepassing</t>
  </si>
  <si>
    <t xml:space="preserve">leverancier van input</t>
  </si>
  <si>
    <t xml:space="preserve">vergelijken</t>
  </si>
  <si>
    <t xml:space="preserve">specialistische onderbouwing</t>
  </si>
  <si>
    <t xml:space="preserve">alleen via andere juridische entiteit</t>
  </si>
  <si>
    <t xml:space="preserve">kleiner dan</t>
  </si>
  <si>
    <t xml:space="preserve">regio</t>
  </si>
  <si>
    <t xml:space="preserve">doorlopend</t>
  </si>
  <si>
    <t xml:space="preserve">adviseert</t>
  </si>
  <si>
    <t xml:space="preserve">I</t>
  </si>
  <si>
    <t xml:space="preserve">output</t>
  </si>
  <si>
    <t xml:space="preserve">mogelijke toekomstige koppeling</t>
  </si>
  <si>
    <t xml:space="preserve">gebruikerssessie</t>
  </si>
  <si>
    <t xml:space="preserve">inhoudelijke overlap</t>
  </si>
  <si>
    <t xml:space="preserve">niet begrijpelijk</t>
  </si>
  <si>
    <t xml:space="preserve">activeert</t>
  </si>
  <si>
    <t xml:space="preserve">onvoldoende capaciteit</t>
  </si>
  <si>
    <t xml:space="preserve">ontwikkelaar</t>
  </si>
  <si>
    <t xml:space="preserve">toetser</t>
  </si>
  <si>
    <t xml:space="preserve">prioriteren</t>
  </si>
  <si>
    <t xml:space="preserve">verwijzing naar expertise</t>
  </si>
  <si>
    <t xml:space="preserve">niet toepasbaar</t>
  </si>
  <si>
    <t xml:space="preserve">minimaal</t>
  </si>
  <si>
    <t xml:space="preserve">gemeente</t>
  </si>
  <si>
    <t xml:space="preserve">uitgeput</t>
  </si>
  <si>
    <t xml:space="preserve">toetst</t>
  </si>
  <si>
    <t xml:space="preserve">overdrachtsproduct</t>
  </si>
  <si>
    <t xml:space="preserve">buiten scope</t>
  </si>
  <si>
    <t xml:space="preserve">casusvalidatie</t>
  </si>
  <si>
    <t xml:space="preserve">regionale versnippering</t>
  </si>
  <si>
    <t xml:space="preserve">route niet herkenbaar</t>
  </si>
  <si>
    <t xml:space="preserve">herijkt</t>
  </si>
  <si>
    <t xml:space="preserve">kennisprobleem</t>
  </si>
  <si>
    <t xml:space="preserve">inhoudelijk verantwoordelijke</t>
  </si>
  <si>
    <t xml:space="preserve">actualiteitscontrole</t>
  </si>
  <si>
    <t xml:space="preserve">toetsen</t>
  </si>
  <si>
    <t xml:space="preserve">nog te controleren</t>
  </si>
  <si>
    <t xml:space="preserve">maximaal</t>
  </si>
  <si>
    <t xml:space="preserve">lokaal fonds</t>
  </si>
  <si>
    <t xml:space="preserve">beëindigd</t>
  </si>
  <si>
    <t xml:space="preserve">besluit</t>
  </si>
  <si>
    <t xml:space="preserve">monitoring</t>
  </si>
  <si>
    <t xml:space="preserve">kernteam</t>
  </si>
  <si>
    <t xml:space="preserve">sectorspecifieke variatie</t>
  </si>
  <si>
    <t xml:space="preserve">onvoldoende handelingsperspectief</t>
  </si>
  <si>
    <t xml:space="preserve">lokaal procesverschil</t>
  </si>
  <si>
    <t xml:space="preserve">actualisatieverantwoordelijke</t>
  </si>
  <si>
    <t xml:space="preserve">achtergrondinformatie</t>
  </si>
  <si>
    <t xml:space="preserve">ontvanger van output</t>
  </si>
  <si>
    <t xml:space="preserve">financieren</t>
  </si>
  <si>
    <t xml:space="preserve">bevat</t>
  </si>
  <si>
    <t xml:space="preserve">voert uit</t>
  </si>
  <si>
    <t xml:space="preserve">redactionele controle</t>
  </si>
  <si>
    <t xml:space="preserve">verouderde informatie</t>
  </si>
  <si>
    <t xml:space="preserve">koppeling onjuist</t>
  </si>
  <si>
    <t xml:space="preserve">mandaatprobleem</t>
  </si>
  <si>
    <t xml:space="preserve">kennispartner</t>
  </si>
  <si>
    <t xml:space="preserve">bekostigen</t>
  </si>
  <si>
    <t xml:space="preserve">geldt voor</t>
  </si>
  <si>
    <t xml:space="preserve">monitort</t>
  </si>
  <si>
    <t xml:space="preserve">technische controle</t>
  </si>
  <si>
    <t xml:space="preserve">onduidelijke bronhouder</t>
  </si>
  <si>
    <t xml:space="preserve">positief praktijkvoorbeeld</t>
  </si>
  <si>
    <t xml:space="preserve">timing P&amp;C-cyclus</t>
  </si>
  <si>
    <t xml:space="preserve">distributeur</t>
  </si>
  <si>
    <t xml:space="preserve">onderbouwen</t>
  </si>
  <si>
    <t xml:space="preserve">geldt niet voor</t>
  </si>
  <si>
    <t xml:space="preserve">wordt geïnformeerd</t>
  </si>
  <si>
    <t xml:space="preserve">ontbrekend handelingsperspectief</t>
  </si>
  <si>
    <t xml:space="preserve">verbetersuggestie</t>
  </si>
  <si>
    <t xml:space="preserve">onvoldoende dekking</t>
  </si>
  <si>
    <t xml:space="preserve">besluiten voorbereiden</t>
  </si>
  <si>
    <t xml:space="preserve">vereist</t>
  </si>
  <si>
    <t xml:space="preserve">ontbrekende bestuurlijke vertaling</t>
  </si>
  <si>
    <t xml:space="preserve">fiscale of juridische onzekerheid</t>
  </si>
  <si>
    <t xml:space="preserve">contracteren</t>
  </si>
  <si>
    <t xml:space="preserve">optioneel</t>
  </si>
  <si>
    <t xml:space="preserve">ontbrekende praktische toepassing</t>
  </si>
  <si>
    <t xml:space="preserve">monitoren</t>
  </si>
  <si>
    <t xml:space="preserve">verantwoorden</t>
  </si>
  <si>
    <t xml:space="preserve">herijken</t>
  </si>
  <si>
    <t xml:space="preserve">Afwijkingen en gaten in de modelbeschrijving</t>
  </si>
  <si>
    <t xml:space="preserve">Gaten in de modelbeschrijving, gemeld en niet opgelost; ongewijzigd t.o.v. de lege werkmap. Kolom 'Verwerking' verwijst naar de lege versie.</t>
  </si>
  <si>
    <t xml:space="preserve">Onderwerp</t>
  </si>
  <si>
    <t xml:space="preserve">Bevinding</t>
  </si>
  <si>
    <t xml:space="preserve">Verwerking in deze werkmap</t>
  </si>
  <si>
    <t xml:space="preserve">Beslissing nodig van</t>
  </si>
  <si>
    <t xml:space="preserve">opgave_beslismoment ontbreekt</t>
  </si>
  <si>
    <t xml:space="preserve">Het ER-model (§17) noemt de koppeltabel OPGAVE_BESLISMOMENT, maar die is nergens uitgewerkt. Een opgave is daardoor alleen aan instrument (instrument_opgave) en gebruikersfeedback gekoppeld, niet aan procesniveau, fase of beslismoment. De hoofdrelatie uit §2 (opgave -&gt; procesniveau -&gt; ... -&gt; beslismoment) is zo niet af te leiden.</t>
  </si>
  <si>
    <t xml:space="preserve">Niet opgenomen.</t>
  </si>
  <si>
    <t xml:space="preserve">Kernteam</t>
  </si>
  <si>
    <t xml:space="preserve">Hoofdrelatie §2 niet volledig gedekt</t>
  </si>
  <si>
    <t xml:space="preserve">De keten informatiebehoefte -&gt; financiële vraag -&gt; handelingsperspectief -&gt; instrument heeft geen eigen relaties. Deze vier hangen elk alleen aan beslismoment (en deels aan rol). Welk instrument bij welk handelingsperspectief hoort, is niet vast te leggen.</t>
  </si>
  <si>
    <t xml:space="preserve">Geen extra koppeltabellen toegevoegd.</t>
  </si>
  <si>
    <t xml:space="preserve">procesniveau - beslismoment</t>
  </si>
  <si>
    <t xml:space="preserve">§17 toont PROCESNIVEAU 1-n BESLISMOMENT, maar beslismoment heeft alleen procesfase_id. Het niveau is alleen via de fase af te leiden.</t>
  </si>
  <si>
    <t xml:space="preserve">Tabel conform §4.5.</t>
  </si>
  <si>
    <t xml:space="preserve">Datamodelleur</t>
  </si>
  <si>
    <t xml:space="preserve">Fasen alleen voor twee van vier niveaus</t>
  </si>
  <si>
    <t xml:space="preserve">procesniveau kent vier records (PORT, PROG, OBJ, PROJ), de voorgestelde fasen zijn alleen 'portefeuillefasen' (P) en 'objectfasen' (O). PROG en PROJ hebben geen fasen.</t>
  </si>
  <si>
    <t xml:space="preserve">P-fasen gekoppeld aan PORT, O-fasen aan OBJ.</t>
  </si>
  <si>
    <t xml:space="preserve">Kernteam (beslispunt 1 en 2)</t>
  </si>
  <si>
    <t xml:space="preserve">Verplichte instrumentvelden §19 zonder plek</t>
  </si>
  <si>
    <t xml:space="preserve">§19 verplicht per instrument 'Primair procesniveau' en 'Benodigde expertise'. Het model kent geen relatie instrument-procesniveau en geen veld voor benodigde expertise (alleen als voorwaardetype 'vereiste expertise'). 'Laatste controledatum' bestaat alleen in openstelling en reviewplanning.</t>
  </si>
  <si>
    <t xml:space="preserve">Geen velden toegevoegd.</t>
  </si>
  <si>
    <t xml:space="preserve">Fasering §18 dekt niet alle tabellen</t>
  </si>
  <si>
    <t xml:space="preserve">§18 deelt 42 tabellen in; 23 uitgewerkte tabellen staan in geen enkele fase: procesfase_relatie, besluittype, rolcluster, functie_alias, informatietype, knelpunt, digitale_vorm, organisatietype, instrument_organisatie, brontype, instrument_opgave, financiele_route, instrument_financiele_route, instrument_werkingsgebied, pc_moment, beslismoment_knelpunt, instrument_relatietype, kennisproduct, kennisproduct_instrument, kennisproduct_beslismoment, publicatiestatus, inhoudelijke_status, ontwikkelactie. Daaronder keuzelijsttabellen waar verplichte velden uit fase 1 naar verwijzen (besluittype, rolcluster, organisatietype, brontype, publicatiestatus, inhoudelijke_status).</t>
  </si>
  <si>
    <t xml:space="preserve">Alle tabellen opgenomen; in kolom Fase gemarkeerd als 'niet ingedeeld'.</t>
  </si>
  <si>
    <t xml:space="preserve">Fase 1 versus verplichte velden §19</t>
  </si>
  <si>
    <t xml:space="preserve">§19 verplicht bronhouder en werkingsgebied in versie 1.0, maar instrument_organisatie en instrument_werkingsgebied zijn niet ingedeeld en werkingsgebied staat in fase 3.</t>
  </si>
  <si>
    <t xml:space="preserve">Tabellen opgenomen en gevuld vanuit de catalogus.</t>
  </si>
  <si>
    <t xml:space="preserve">Tabellen zonder veldbeschrijving</t>
  </si>
  <si>
    <t xml:space="preserve">organisatietype, brontype, instrument_relatietype, publicatiestatus en inhoudelijke_status hebben in de tekst alleen waarden, geen velden.</t>
  </si>
  <si>
    <t xml:space="preserve">Aanname: sleutel, code, naam, omschrijving, sort_order plus beheervelden, naar het patroon van de andere keuzelijsttabellen. Dit is de enige structurele aanvulling.</t>
  </si>
  <si>
    <t xml:space="preserve">Keuzevelden zonder waardenlijst</t>
  </si>
  <si>
    <t xml:space="preserve">Voor 42 velden met een beperkte waardenset geeft de tekst geen waarden, waaronder alle velden relevantie, prioriteit, impact, status en entity_type. Zie kolom Keuzelijst op tabblad Velden.</t>
  </si>
  <si>
    <t xml:space="preserve">Geen dropdown; vrij invulbaar. Bij de migratie zijn deze velden leeg gelaten.</t>
  </si>
  <si>
    <t xml:space="preserve">Toepasbaarheid bij objecttype</t>
  </si>
  <si>
    <t xml:space="preserve">De waarden voor toepasbaarheid staan alleen onder §7.6 (eigenaartype). §7.7 (objecttype) heeft hetzelfde veld zonder lijst.</t>
  </si>
  <si>
    <t xml:space="preserve">Aanname: dezelfde lijst gebruikt.</t>
  </si>
  <si>
    <t xml:space="preserve">Verwijzingen via entity_type/entity_id</t>
  </si>
  <si>
    <t xml:space="preserve">validatie, wijzigingslog, reviewplanning en gebruikersfeedback verwijzen naar 'een' record via entity_type en entity_id. Een database kan dat niet als verwijzing afdwingen, en de toegestane waarden voor entity_type zijn niet gegeven.</t>
  </si>
  <si>
    <t xml:space="preserve">Conform tekst; geen dropdown.</t>
  </si>
  <si>
    <t xml:space="preserve">Naamgeving sleutels</t>
  </si>
  <si>
    <t xml:space="preserve">Niet alle sleutels volgen het patroon tabelnaam_id: beslismoment_informatiebehoefte heeft beslismoment_informatie_id, gebruikersfeedback heeft feedback_id, instrument_relatie verwijst met relatietype_id naar instrument_relatietype. validation_status is Engels, de rest Nederlands.</t>
  </si>
  <si>
    <t xml:space="preserve">Namen letterlijk overgenomen.</t>
  </si>
  <si>
    <t xml:space="preserve">wijzigingslog zonder beheervelden</t>
  </si>
  <si>
    <t xml:space="preserve">§14.5 noemt als enige tabel geen 'standaard beheervelden'.</t>
  </si>
  <si>
    <t xml:space="preserve">Conform tekst.</t>
  </si>
  <si>
    <t xml:space="preserve">-</t>
  </si>
  <si>
    <t xml:space="preserve">Startwaarden zonder verplichte velden</t>
  </si>
  <si>
    <t xml:space="preserve">De voorgestelde waardelijsten geven alleen namen. Verplichte velden als rol.rolcluster_id, rol.omschrijving, financiele_vraag.financieel_thema_id, procesfase.centrale_vraag en beslisproduct.producttype zijn daardoor leeg.</t>
  </si>
  <si>
    <t xml:space="preserve">Leeg gelaten; zichtbaar in kolom 'Leeg, verplicht' op tabblad Velden.</t>
  </si>
  <si>
    <t xml:space="preserve">Geen beslismomenten</t>
  </si>
  <si>
    <t xml:space="preserve">De tekst geeft geen voorgestelde beslismomenten (alleen het codevoorbeeld BM-O4-01). De centrale tabel is dus leeg, en daarmee ook instrument_beslismoment, dat §19 per instrument verplicht.</t>
  </si>
  <si>
    <t xml:space="preserve">Tabel leeg.</t>
  </si>
  <si>
    <t xml:space="preserve">Kernteam (beslispunt 3)</t>
  </si>
  <si>
    <t xml:space="preserve">Tabbladnamen §22</t>
  </si>
  <si>
    <t xml:space="preserve">§22 stelt 20 genummerde tabbladen voor (01_Instrumenten ...). Dat dekt niet alle tabellen.</t>
  </si>
  <si>
    <t xml:space="preserve">Tabbladnaam = tabelnaam, zodat import 1-op-1 kan. beslismoment_handelingsperspectief is ingekort tot beslismoment_handelingspersp (Excel-limiet 31 tekens).</t>
  </si>
  <si>
    <t xml:space="preserve">Catalogus v0.1: versie en leeswijzer</t>
  </si>
  <si>
    <t xml:space="preserve">De leeswijzer van de catalogus noemt zichzelf 'Versie 0.3' en verwijst naar een tabblad Keuzelijsten dat niet in het bestand zit. Het versietabblad en de bestandsnaam zeggen v0.1.</t>
  </si>
  <si>
    <t xml:space="preserve">Als v0.1 behandeld.</t>
  </si>
  <si>
    <t xml:space="preserve">Niels</t>
  </si>
  <si>
    <t xml:space="preserve">Catalogus v0.1: Bronnenregister</t>
  </si>
  <si>
    <t xml:space="preserve">Het tabblad Bronnenregister beschrijft bronfamilies met actualisatieadvies. Het model kent geen tabel voor bronfamilies.</t>
  </si>
  <si>
    <t xml:space="preserve">Niet gemigreerd.</t>
  </si>
  <si>
    <t xml:space="preserve">Catalogus v0.1: ander fasemodel</t>
  </si>
  <si>
    <t xml:space="preserve">De catalogus gebruikt fasen 0-6 met 4A Bekostigen en 4B Financieren/inkopen (56 van de 77 instrumenten). In het nieuwe model zijn bekostigen en financieren geen fasen maar financiële routes. Geen enkel instrument is daarom aan een procesfase gekoppeld.</t>
  </si>
  <si>
    <t xml:space="preserve">Oude fase per instrument op Migratie_rest, met voorstel waar de naam overeenkomt.</t>
  </si>
  <si>
    <t xml:space="preserve">Kernteam (beslispunt 2)</t>
  </si>
  <si>
    <t xml:space="preserve">Catalogus v0.1: rollen</t>
  </si>
  <si>
    <t xml:space="preserve">De catalogus kent zeven rollen, waarvan twee eigenaartypen zijn en twee samengesteld (Vastgoedexpert/PM, Financieel medewerker/controller). Alleen 'Wethouder' past eenduidig; 8 rolkoppelingen zijn overgenomen, 129 niet.</t>
  </si>
  <si>
    <t xml:space="preserve">Zie Migratie_rest.</t>
  </si>
  <si>
    <t xml:space="preserve">Kernteam (beslispunt 4)</t>
  </si>
  <si>
    <t xml:space="preserve">edb80e5b-7c99-518b-b3a3-759d248a8884</t>
  </si>
  <si>
    <t xml:space="preserve">OPG-001</t>
  </si>
  <si>
    <t xml:space="preserve">verduurzamingsopgave bepalen</t>
  </si>
  <si>
    <t xml:space="preserve">Bepaal hoe groot de verduurzamingsopgave van het vastgoed is</t>
  </si>
  <si>
    <t xml:space="preserve">Dummy: een onderbouwd antwoord op: verduurzamingsopgave bepalen.</t>
  </si>
  <si>
    <t xml:space="preserve">2026-10-02</t>
  </si>
  <si>
    <t xml:space="preserve">startwaardelijst datamodel</t>
  </si>
  <si>
    <t xml:space="preserve">DUMMY-aanvulling: gewenst_resultaat, is_public, korte_omschrijving, niveau_default</t>
  </si>
  <si>
    <t xml:space="preserve">b81ebeab-5b54-59b4-891d-f4025c6913d0</t>
  </si>
  <si>
    <t xml:space="preserve">OPG-002</t>
  </si>
  <si>
    <t xml:space="preserve">portefeuille prioriteren</t>
  </si>
  <si>
    <t xml:space="preserve">Rangschik de objecten en kies wat eerst komt</t>
  </si>
  <si>
    <t xml:space="preserve">Dummy: een onderbouwd antwoord op: portefeuille prioriteren.</t>
  </si>
  <si>
    <t xml:space="preserve">d905a0f8-2cd6-5974-98fb-476e0c50784d</t>
  </si>
  <si>
    <t xml:space="preserve">OPG-003</t>
  </si>
  <si>
    <t xml:space="preserve">uitvoeringsprogramma opstellen</t>
  </si>
  <si>
    <t xml:space="preserve">Maak een uitvoeringsprogramma binnen het budget</t>
  </si>
  <si>
    <t xml:space="preserve">Dummy: een onderbouwd antwoord op: uitvoeringsprogramma opstellen.</t>
  </si>
  <si>
    <t xml:space="preserve">fd32baca-8921-552c-ad52-bb3e45699f95</t>
  </si>
  <si>
    <t xml:space="preserve">OPG-004</t>
  </si>
  <si>
    <t xml:space="preserve">object verduurzamen</t>
  </si>
  <si>
    <t xml:space="preserve">Pak een gebouw aan en verduurzaam het</t>
  </si>
  <si>
    <t xml:space="preserve">Dummy: een onderbouwd antwoord op: object verduurzamen.</t>
  </si>
  <si>
    <t xml:space="preserve">42faaa98-a334-5a17-a076-7e4adb9060ad</t>
  </si>
  <si>
    <t xml:space="preserve">OPG-005</t>
  </si>
  <si>
    <t xml:space="preserve">accommodatie vernieuwen</t>
  </si>
  <si>
    <t xml:space="preserve">Vernieuw een accommodatie</t>
  </si>
  <si>
    <t xml:space="preserve">Dummy: een onderbouwd antwoord op: accommodatie vernieuwen.</t>
  </si>
  <si>
    <t xml:space="preserve">81f58067-24f9-57d4-9965-81cd84523e78</t>
  </si>
  <si>
    <t xml:space="preserve">OPG-006</t>
  </si>
  <si>
    <t xml:space="preserve">investering voorbereiden</t>
  </si>
  <si>
    <t xml:space="preserve">Bereid een investering voor</t>
  </si>
  <si>
    <t xml:space="preserve">Dummy: een onderbouwd antwoord op: investering voorbereiden.</t>
  </si>
  <si>
    <t xml:space="preserve">cfd5d161-bf93-5067-94e8-3f68474da126</t>
  </si>
  <si>
    <t xml:space="preserve">OPG-007</t>
  </si>
  <si>
    <t xml:space="preserve">financiering of dekking organiseren</t>
  </si>
  <si>
    <t xml:space="preserve">Organiseer financiering of dekking</t>
  </si>
  <si>
    <t xml:space="preserve">Dummy: een onderbouwd antwoord op: financiering of dekking organiseren.</t>
  </si>
  <si>
    <t xml:space="preserve">4ebb3bc7-232d-5a64-bb0d-54fd09a52ee4</t>
  </si>
  <si>
    <t xml:space="preserve">OPG-008</t>
  </si>
  <si>
    <t xml:space="preserve">exploitatie verbeteren</t>
  </si>
  <si>
    <t xml:space="preserve">Verbeter de exploitatie van een gebouw</t>
  </si>
  <si>
    <t xml:space="preserve">Dummy: een onderbouwd antwoord op: exploitatie verbeteren.</t>
  </si>
  <si>
    <t xml:space="preserve">d7f5569c-48f8-5414-a819-7c1bce611e56</t>
  </si>
  <si>
    <t xml:space="preserve">OPG-009</t>
  </si>
  <si>
    <t xml:space="preserve">prestaties monitoren</t>
  </si>
  <si>
    <t xml:space="preserve">Volg de prestaties van het vastgoed</t>
  </si>
  <si>
    <t xml:space="preserve">Dummy: een onderbouwd antwoord op: prestaties monitoren.</t>
  </si>
  <si>
    <t xml:space="preserve">7a0bcf2c-029c-5f0b-af97-854948b9e324</t>
  </si>
  <si>
    <t xml:space="preserve">OPG-010</t>
  </si>
  <si>
    <t xml:space="preserve">strategie herijken</t>
  </si>
  <si>
    <t xml:space="preserve">Herijk de vastgoedstrategie</t>
  </si>
  <si>
    <t xml:space="preserve">Dummy: een onderbouwd antwoord op: strategie herijken.</t>
  </si>
  <si>
    <t xml:space="preserve">6e830033-beab-52ff-af50-47b90185a425</t>
  </si>
  <si>
    <t xml:space="preserve">PORT</t>
  </si>
  <si>
    <t xml:space="preserve">Portefeuille</t>
  </si>
  <si>
    <t xml:space="preserve">Alle objecten van de organisatie samen: strategie, prioritering en meerjarig budget.</t>
  </si>
  <si>
    <t xml:space="preserve">DUMMY-aanvulling: omschrijving</t>
  </si>
  <si>
    <t xml:space="preserve">ce6ba184-fd57-5f93-966f-25855310460f</t>
  </si>
  <si>
    <t xml:space="preserve">PROG</t>
  </si>
  <si>
    <t xml:space="preserve">Programma</t>
  </si>
  <si>
    <t xml:space="preserve">Een samenhangende set projecten met gezamenlijke doelen, planning en budget.</t>
  </si>
  <si>
    <t xml:space="preserve">a271a421-b3e3-5ea3-9e2b-b3caaeffe7c9</t>
  </si>
  <si>
    <t xml:space="preserve">OBJ</t>
  </si>
  <si>
    <t xml:space="preserve">Object</t>
  </si>
  <si>
    <t xml:space="preserve">Eén gebouw of accommodatie, van initiatief tot exploitatie.</t>
  </si>
  <si>
    <t xml:space="preserve">d62e9efa-e217-50c8-9844-9454ec7dc140</t>
  </si>
  <si>
    <t xml:space="preserve">PROJ</t>
  </si>
  <si>
    <t xml:space="preserve">Project</t>
  </si>
  <si>
    <t xml:space="preserve">Een afgebakende ingreep aan een object, zoals een verduurzamingsproject.</t>
  </si>
  <si>
    <t xml:space="preserve">1f3bb4ac-0700-56fc-bb41-1902287c72e8</t>
  </si>
  <si>
    <t xml:space="preserve">P1</t>
  </si>
  <si>
    <t xml:space="preserve">Richting en kaders</t>
  </si>
  <si>
    <t xml:space="preserve">Welke ambitie en financiële kaders gelden voor ons vastgoed?</t>
  </si>
  <si>
    <t xml:space="preserve">Bestuurlijke richting en kaders voor het vastgoedbeleid.</t>
  </si>
  <si>
    <t xml:space="preserve">Aanleiding: nieuw college of nieuwe opgave.</t>
  </si>
  <si>
    <t xml:space="preserve">Kaders zijn vastgesteld.</t>
  </si>
  <si>
    <t xml:space="preserve">Vastgestelde ambitie en kaders</t>
  </si>
  <si>
    <t xml:space="preserve">VS-02</t>
  </si>
  <si>
    <t xml:space="preserve">DUMMY-aanvulling: centrale_vraag, eindcriterium, omschrijving, standaard_resultaat, startcriterium, validation_status_id</t>
  </si>
  <si>
    <t xml:space="preserve">0730b6b8-6f18-59d6-a261-68951875f3d4</t>
  </si>
  <si>
    <t xml:space="preserve">P2</t>
  </si>
  <si>
    <t xml:space="preserve">Inzicht en analyse</t>
  </si>
  <si>
    <t xml:space="preserve">Wat is de stand van de portefeuille en wat kost niets doen?</t>
  </si>
  <si>
    <t xml:space="preserve">Inzicht in staat, kosten en prestaties van alle objecten.</t>
  </si>
  <si>
    <t xml:space="preserve">Nulmeting is geaccordeerd.</t>
  </si>
  <si>
    <t xml:space="preserve">Portefeuilleanalyse met nulmeting</t>
  </si>
  <si>
    <t xml:space="preserve">c3370122-9e82-51c0-ae4a-56dff990586c</t>
  </si>
  <si>
    <t xml:space="preserve">P3</t>
  </si>
  <si>
    <t xml:space="preserve">Portefeuillestrategie en programmering</t>
  </si>
  <si>
    <t xml:space="preserve">Welke prioriteiten en welk programma passen binnen de middelen?</t>
  </si>
  <si>
    <t xml:space="preserve">Prioriteren van objecten en programmeren in de tijd binnen het budget.</t>
  </si>
  <si>
    <t xml:space="preserve">Programma met dekking is vastgesteld.</t>
  </si>
  <si>
    <t xml:space="preserve">Prioriteitenlijst en meerjarenprogramma</t>
  </si>
  <si>
    <t xml:space="preserve">b3319dde-7f4a-5fa3-8bbc-1b150950feaf</t>
  </si>
  <si>
    <t xml:space="preserve">P4</t>
  </si>
  <si>
    <t xml:space="preserve">Uitvoering portefeuille</t>
  </si>
  <si>
    <t xml:space="preserve">Hoe wordt het programma uitgevoerd en gefinancierd?</t>
  </si>
  <si>
    <t xml:space="preserve">Uitvoering van de jaarschijven en inzet van financiering.</t>
  </si>
  <si>
    <t xml:space="preserve">Programma is vastgesteld.</t>
  </si>
  <si>
    <t xml:space="preserve">Jaarschijf is afgerond.</t>
  </si>
  <si>
    <t xml:space="preserve">Uitgevoerde jaarschijf</t>
  </si>
  <si>
    <t xml:space="preserve">039fc579-3c78-5be0-8918-16e085a42591</t>
  </si>
  <si>
    <t xml:space="preserve">P5</t>
  </si>
  <si>
    <t xml:space="preserve">Monitoren en herijken</t>
  </si>
  <si>
    <t xml:space="preserve">Halen we de doelen en moet de strategie worden herijkt?</t>
  </si>
  <si>
    <t xml:space="preserve">Volgen van voortgang en prestaties, bijsturen en herijken.</t>
  </si>
  <si>
    <t xml:space="preserve">Eerste jaarschijf is afgerond.</t>
  </si>
  <si>
    <t xml:space="preserve">Herijking is vastgesteld.</t>
  </si>
  <si>
    <t xml:space="preserve">Monitoringsrapportage en herijkingsvoorstel</t>
  </si>
  <si>
    <t xml:space="preserve">c9cee471-85c8-5e09-bea3-9d8bfdf23178</t>
  </si>
  <si>
    <t xml:space="preserve">O1</t>
  </si>
  <si>
    <t xml:space="preserve">Trigger en initiatief</t>
  </si>
  <si>
    <t xml:space="preserve">Is er aanleiding om dit object aan te pakken?</t>
  </si>
  <si>
    <t xml:space="preserve">Trigger en initiatief voor een object.</t>
  </si>
  <si>
    <t xml:space="preserve">Er is een aanleiding of opdracht.</t>
  </si>
  <si>
    <t xml:space="preserve">Projectopdracht verkenning is verstrekt.</t>
  </si>
  <si>
    <t xml:space="preserve">Projectopdracht verkenning</t>
  </si>
  <si>
    <t xml:space="preserve">90e47428-c6bb-5ee9-aee2-433b0d46f925</t>
  </si>
  <si>
    <t xml:space="preserve">O2</t>
  </si>
  <si>
    <t xml:space="preserve">Verkenning en haalbaarheid</t>
  </si>
  <si>
    <t xml:space="preserve">Is het haalbaar en welke varianten zijn er?</t>
  </si>
  <si>
    <t xml:space="preserve">Verkenning van varianten en haalbaarheid.</t>
  </si>
  <si>
    <t xml:space="preserve">Projectopdracht is verstrekt.</t>
  </si>
  <si>
    <t xml:space="preserve">Varianten zijn beoordeeld.</t>
  </si>
  <si>
    <t xml:space="preserve">Scenariovergelijking</t>
  </si>
  <si>
    <t xml:space="preserve">bd67a801-9c90-510a-bf78-31663f607f42</t>
  </si>
  <si>
    <t xml:space="preserve">O3</t>
  </si>
  <si>
    <t xml:space="preserve">Definitie en voorkeurskeuze</t>
  </si>
  <si>
    <t xml:space="preserve">Welke variant heeft de voorkeur en wat is het budget?</t>
  </si>
  <si>
    <t xml:space="preserve">Definitie van het project en keuze van de voorkeursvariant.</t>
  </si>
  <si>
    <t xml:space="preserve">Voorkeursbesluit is genomen.</t>
  </si>
  <si>
    <t xml:space="preserve">Voorkeursbesluit en budget</t>
  </si>
  <si>
    <t xml:space="preserve">83dfd909-b86c-5b6b-9aca-48c3ddcc5de2</t>
  </si>
  <si>
    <t xml:space="preserve">O4</t>
  </si>
  <si>
    <t xml:space="preserve">Ontwerp en investeringsbesluit</t>
  </si>
  <si>
    <t xml:space="preserve">Is de investering onderbouwd en gedekt zodat het besluit genomen kan worden?</t>
  </si>
  <si>
    <t xml:space="preserve">Ontwerp, financiële onderbouwing en investeringsbesluit.</t>
  </si>
  <si>
    <t xml:space="preserve">Krediet is beschikbaar gesteld.</t>
  </si>
  <si>
    <t xml:space="preserve">Investeringsvoorstel en krediet</t>
  </si>
  <si>
    <t xml:space="preserve">dc6aaf7b-7621-52eb-a006-e152df1bde2b</t>
  </si>
  <si>
    <t xml:space="preserve">O5</t>
  </si>
  <si>
    <t xml:space="preserve">Contractering en realisatie</t>
  </si>
  <si>
    <t xml:space="preserve">Hoe wordt gecontracteerd en wat kost de realisatie?</t>
  </si>
  <si>
    <t xml:space="preserve">Aanbesteding, contractering en realisatie.</t>
  </si>
  <si>
    <t xml:space="preserve">Project is gerealiseerd.</t>
  </si>
  <si>
    <t xml:space="preserve">Contract en gerealiseerd project</t>
  </si>
  <si>
    <t xml:space="preserve">7dcb0b2f-1cf3-5032-a045-ec438705e570</t>
  </si>
  <si>
    <t xml:space="preserve">O6</t>
  </si>
  <si>
    <t xml:space="preserve">Oplevering en ingebruikname</t>
  </si>
  <si>
    <t xml:space="preserve">Is het opgeleverd conform afspraken en wat zijn de beheerkosten?</t>
  </si>
  <si>
    <t xml:space="preserve">Oplevering, acceptatie en ingebruikname.</t>
  </si>
  <si>
    <t xml:space="preserve">Realisatie is gereed.</t>
  </si>
  <si>
    <t xml:space="preserve">Object is in gebruik genomen.</t>
  </si>
  <si>
    <t xml:space="preserve">Opleverdossier</t>
  </si>
  <si>
    <t xml:space="preserve">27a18e93-6a34-5e33-aed2-bb296bc9fec5</t>
  </si>
  <si>
    <t xml:space="preserve">O7</t>
  </si>
  <si>
    <t xml:space="preserve">Exploitatie, beheer en evaluatie</t>
  </si>
  <si>
    <t xml:space="preserve">Presteert het object zoals bedoeld en wat leren we?</t>
  </si>
  <si>
    <t xml:space="preserve">Exploitatie, beheer en evaluatie.</t>
  </si>
  <si>
    <t xml:space="preserve">Object is in gebruik.</t>
  </si>
  <si>
    <t xml:space="preserve">Evaluatie is afgerond.</t>
  </si>
  <si>
    <t xml:space="preserve">Evaluatie en prestatiegegevens</t>
  </si>
  <si>
    <t xml:space="preserve">1371438d-0004-5bb2-88bd-72c29e14a8b1</t>
  </si>
  <si>
    <t xml:space="preserve">2026-10-03</t>
  </si>
  <si>
    <t xml:space="preserve">dummy-generator</t>
  </si>
  <si>
    <t xml:space="preserve">8a4852a9-eb1b-5c87-b731-840b39a01862</t>
  </si>
  <si>
    <t xml:space="preserve">c93db876-841c-5932-b776-d876505b91f4</t>
  </si>
  <si>
    <t xml:space="preserve">fd68bec1-107d-532d-91a4-d34285923952</t>
  </si>
  <si>
    <t xml:space="preserve">6d18511e-9738-50d8-a4cd-b276d4cde4ca</t>
  </si>
  <si>
    <t xml:space="preserve">1bdb4df5-f8bf-5152-bc21-b4b64d2bf214</t>
  </si>
  <si>
    <t xml:space="preserve">367da0c6-c5cc-51fa-acf9-3b0f468989a7</t>
  </si>
  <si>
    <t xml:space="preserve">Dummy: alleen als het object in het programma is opgenomen</t>
  </si>
  <si>
    <t xml:space="preserve">ce89a7d5-4eae-5724-a3e8-713cf90d1a0d</t>
  </si>
  <si>
    <t xml:space="preserve">b0c806bd-8eda-5eeb-9b6b-462d6e477634</t>
  </si>
  <si>
    <t xml:space="preserve">65268cea-3ce2-5fd5-a598-0fc7d92127d0</t>
  </si>
  <si>
    <t xml:space="preserve">c73360a4-fb18-5b27-b228-1092ffdcfdea</t>
  </si>
  <si>
    <t xml:space="preserve">b18d1a4e-2645-568c-8cb7-3758831044dc</t>
  </si>
  <si>
    <t xml:space="preserve">a9458a2e-2bff-56fb-8dc3-66813d99f978</t>
  </si>
  <si>
    <t xml:space="preserve">bcc79bbd-962d-5e59-9fdc-9eb1e688de4c</t>
  </si>
  <si>
    <t xml:space="preserve">6c942830-bfc9-528a-a079-4b507daed2c7</t>
  </si>
  <si>
    <t xml:space="preserve">e733d728-fc1b-58b5-90a5-a1744ccbea5c</t>
  </si>
  <si>
    <t xml:space="preserve">6156f938-eb57-5d0a-aca9-92688e9bcaab</t>
  </si>
  <si>
    <t xml:space="preserve">BM-P1-01</t>
  </si>
  <si>
    <t xml:space="preserve">Ambitie en financiële kaders vaststellen</t>
  </si>
  <si>
    <t xml:space="preserve">Dummy: vaststellen van ambitie en kaders.</t>
  </si>
  <si>
    <t xml:space="preserve">BT-03</t>
  </si>
  <si>
    <t xml:space="preserve">Vaststellen van ambitie en kaders</t>
  </si>
  <si>
    <t xml:space="preserve">Beleidskaders, ambities, financiële ruimte</t>
  </si>
  <si>
    <t xml:space="preserve">Raadsvoorstel kaders vastgoed</t>
  </si>
  <si>
    <t xml:space="preserve">Inzicht en analyse opstarten</t>
  </si>
  <si>
    <t xml:space="preserve">PC-01</t>
  </si>
  <si>
    <t xml:space="preserve">98f00286-5111-5f2a-9044-b3254bc5b88d</t>
  </si>
  <si>
    <t xml:space="preserve">BM-P2-01</t>
  </si>
  <si>
    <t xml:space="preserve">Opgave en nulmeting accorderen</t>
  </si>
  <si>
    <t xml:space="preserve">Dummy: accorderen van de nulmeting.</t>
  </si>
  <si>
    <t xml:space="preserve">BT-01</t>
  </si>
  <si>
    <t xml:space="preserve">Accorderen van de nulmeting</t>
  </si>
  <si>
    <t xml:space="preserve">Portefeuilledata, onderhoudsstaat, energielabels</t>
  </si>
  <si>
    <t xml:space="preserve">Prioriteiten stellen</t>
  </si>
  <si>
    <t xml:space="preserve">PC-10</t>
  </si>
  <si>
    <t xml:space="preserve">e82f7080-2cfc-5f28-9944-8f427118fd8d</t>
  </si>
  <si>
    <t xml:space="preserve">BM-P3-01</t>
  </si>
  <si>
    <t xml:space="preserve">Welke objecten pakken we eerst aan en op basis waarvan?</t>
  </si>
  <si>
    <t xml:space="preserve">Dummy: vaststellen van de prioriteitenlijst.</t>
  </si>
  <si>
    <t xml:space="preserve">BT-04</t>
  </si>
  <si>
    <t xml:space="preserve">Vaststellen van de prioriteitenlijst</t>
  </si>
  <si>
    <t xml:space="preserve">Nulmeting, afwegingscriteria, maatschappelijke waarde</t>
  </si>
  <si>
    <t xml:space="preserve">Prioriteitenlijst</t>
  </si>
  <si>
    <t xml:space="preserve">Meerjarenprogramma opstellen</t>
  </si>
  <si>
    <t xml:space="preserve">51475306-097e-5cb8-bef7-0519fbd30abd</t>
  </si>
  <si>
    <t xml:space="preserve">BM-P3-02</t>
  </si>
  <si>
    <t xml:space="preserve">Meerjarenprogramma en dekking vaststellen</t>
  </si>
  <si>
    <t xml:space="preserve">Welk programma past binnen de beschikbare middelen en hoe is het gedekt?</t>
  </si>
  <si>
    <t xml:space="preserve">Dummy: vaststellen van programma en dekking.</t>
  </si>
  <si>
    <t xml:space="preserve">BT-05</t>
  </si>
  <si>
    <t xml:space="preserve">Vaststellen van programma en dekking</t>
  </si>
  <si>
    <t xml:space="preserve">Begrotingsruimte, boekwaarde, ramingen</t>
  </si>
  <si>
    <t xml:space="preserve">Collegevoorstel programma</t>
  </si>
  <si>
    <t xml:space="preserve">Jaarschijf vrijgeven</t>
  </si>
  <si>
    <t xml:space="preserve">PC-02</t>
  </si>
  <si>
    <t xml:space="preserve">cafef713-5fb3-5519-a769-8b45ceedf668</t>
  </si>
  <si>
    <t xml:space="preserve">BM-P4-01</t>
  </si>
  <si>
    <t xml:space="preserve">Jaarschijf en uitvoeringsbudget vrijgeven</t>
  </si>
  <si>
    <t xml:space="preserve">Welk budget geven we dit jaar vrij en hoe financieren we het?</t>
  </si>
  <si>
    <t xml:space="preserve">Dummy: vrijgeven van jaarschijf.</t>
  </si>
  <si>
    <t xml:space="preserve">BT-08</t>
  </si>
  <si>
    <t xml:space="preserve">Vrijgeven van jaarschijf</t>
  </si>
  <si>
    <t xml:space="preserve">Programma, ramingen, subsidiemogelijkheden</t>
  </si>
  <si>
    <t xml:space="preserve">Kredietaanvraag jaarschijf</t>
  </si>
  <si>
    <t xml:space="preserve">Uitvoering starten</t>
  </si>
  <si>
    <t xml:space="preserve">PC-04</t>
  </si>
  <si>
    <t xml:space="preserve">8ae20795-1191-5505-8e12-d9d75fdc5689</t>
  </si>
  <si>
    <t xml:space="preserve">BM-P5-01</t>
  </si>
  <si>
    <t xml:space="preserve">Voortgang en prestaties beoordelen</t>
  </si>
  <si>
    <t xml:space="preserve">Halen we de doelen en blijft het binnen budget?</t>
  </si>
  <si>
    <t xml:space="preserve">Dummy: bijsturen van het programma.</t>
  </si>
  <si>
    <t xml:space="preserve">BT-12</t>
  </si>
  <si>
    <t xml:space="preserve">Bijsturen van het programma</t>
  </si>
  <si>
    <t xml:space="preserve">Voortgangs- en prestatiegegevens</t>
  </si>
  <si>
    <t xml:space="preserve">Monitoringsrapportage</t>
  </si>
  <si>
    <t xml:space="preserve">Strategie herijken</t>
  </si>
  <si>
    <t xml:space="preserve">PC-06</t>
  </si>
  <si>
    <t xml:space="preserve">16f6beb3-d778-5595-a11b-2f796ba15a47</t>
  </si>
  <si>
    <t xml:space="preserve">BM-P5-02</t>
  </si>
  <si>
    <t xml:space="preserve">Moeten ambitie, kaders of programma worden aangepast?</t>
  </si>
  <si>
    <t xml:space="preserve">Dummy: herijken van strategie.</t>
  </si>
  <si>
    <t xml:space="preserve">BT-13</t>
  </si>
  <si>
    <t xml:space="preserve">Herijken van strategie</t>
  </si>
  <si>
    <t xml:space="preserve">Monitoringsrapportage, beleidskaders</t>
  </si>
  <si>
    <t xml:space="preserve">Herijkingsvoorstel</t>
  </si>
  <si>
    <t xml:space="preserve">Nieuwe kaders vaststellen</t>
  </si>
  <si>
    <t xml:space="preserve">6fa07aba-e44a-57f3-8dcc-f08cb18e7af6</t>
  </si>
  <si>
    <t xml:space="preserve">BM-O1-01</t>
  </si>
  <si>
    <t xml:space="preserve">Initiatief starten</t>
  </si>
  <si>
    <t xml:space="preserve">Dummy: starten van verkenning.</t>
  </si>
  <si>
    <t xml:space="preserve">Starten van verkenning</t>
  </si>
  <si>
    <t xml:space="preserve">Onderhoudsstaat, gebruikerswensen</t>
  </si>
  <si>
    <t xml:space="preserve">Haalbaarheid onderzoeken</t>
  </si>
  <si>
    <t xml:space="preserve">PC-11</t>
  </si>
  <si>
    <t xml:space="preserve">89a2c493-046c-5938-87f3-635fbac99248</t>
  </si>
  <si>
    <t xml:space="preserve">BM-O2-01</t>
  </si>
  <si>
    <t xml:space="preserve">Haalbaarheid en varianten beoordelen</t>
  </si>
  <si>
    <t xml:space="preserve">Dummy: beoordelen van varianten.</t>
  </si>
  <si>
    <t xml:space="preserve">BT-06</t>
  </si>
  <si>
    <t xml:space="preserve">Beoordelen van varianten</t>
  </si>
  <si>
    <t xml:space="preserve">Ramingen, exploitatie, juridische afspraken</t>
  </si>
  <si>
    <t xml:space="preserve">Voorkeursvariant kiezen</t>
  </si>
  <si>
    <t xml:space="preserve">e58bb9c6-4ed0-540b-ae41-7a7971ec2ed8</t>
  </si>
  <si>
    <t xml:space="preserve">BM-O3-01</t>
  </si>
  <si>
    <t xml:space="preserve">Dummy: kiezen van voorkeursvariant.</t>
  </si>
  <si>
    <t xml:space="preserve">BT-02</t>
  </si>
  <si>
    <t xml:space="preserve">Kiezen van voorkeursvariant</t>
  </si>
  <si>
    <t xml:space="preserve">Scenariovergelijking, maatschappelijk effect</t>
  </si>
  <si>
    <t xml:space="preserve">Voorkeursbesluit</t>
  </si>
  <si>
    <t xml:space="preserve">Ontwerp en financiële beoordeling</t>
  </si>
  <si>
    <t xml:space="preserve">6988526b-d463-523d-afaf-955c812cc5db</t>
  </si>
  <si>
    <t xml:space="preserve">BM-O4-01</t>
  </si>
  <si>
    <t xml:space="preserve">Voorkeursvariant financieel beoordelen</t>
  </si>
  <si>
    <t xml:space="preserve">Welke variant is over de levensduur het meest betaalbaar?</t>
  </si>
  <si>
    <t xml:space="preserve">Dummy: financiële toets van de voorkeursvariant.</t>
  </si>
  <si>
    <t xml:space="preserve">Financiële toets van de voorkeursvariant</t>
  </si>
  <si>
    <t xml:space="preserve">Ramingen, TCO, boekwaarde, fiscale positie, risico's</t>
  </si>
  <si>
    <t xml:space="preserve">Investeringsvoorstel</t>
  </si>
  <si>
    <t xml:space="preserve">Investeringsbesluit voorbereiden</t>
  </si>
  <si>
    <t xml:space="preserve">49658117-4a7a-5431-a76a-d0409513ed1b</t>
  </si>
  <si>
    <t xml:space="preserve">BM-O4-02</t>
  </si>
  <si>
    <t xml:space="preserve">Investeringsbesluit nemen</t>
  </si>
  <si>
    <t xml:space="preserve">Nemen we het investeringsbesluit en onder welke voorwaarden?</t>
  </si>
  <si>
    <t xml:space="preserve">Dummy: nemen van investeringsbesluit.</t>
  </si>
  <si>
    <t xml:space="preserve">BT-07</t>
  </si>
  <si>
    <t xml:space="preserve">Nemen van investeringsbesluit</t>
  </si>
  <si>
    <t xml:space="preserve">Investeringsvoorstel, bestuurlijke beslisinformatie</t>
  </si>
  <si>
    <t xml:space="preserve">Collegevoorstel en raadsvoorstel</t>
  </si>
  <si>
    <t xml:space="preserve">Krediet en dekking regelen</t>
  </si>
  <si>
    <t xml:space="preserve">PC-05</t>
  </si>
  <si>
    <t xml:space="preserve">c7eb949e-1c44-52b7-95d9-5726d80bec34</t>
  </si>
  <si>
    <t xml:space="preserve">BM-O4-03</t>
  </si>
  <si>
    <t xml:space="preserve">Is het krediet beschikbaar en is de dekking geregeld?</t>
  </si>
  <si>
    <t xml:space="preserve">Dummy: beschikbaar stellen van krediet.</t>
  </si>
  <si>
    <t xml:space="preserve">Beschikbaar stellen van krediet</t>
  </si>
  <si>
    <t xml:space="preserve">Begrotingsruimte, subsidiebeschikkingen, leningaanbod</t>
  </si>
  <si>
    <t xml:space="preserve">Kredietaanvraag</t>
  </si>
  <si>
    <t xml:space="preserve">Aanbesteden</t>
  </si>
  <si>
    <t xml:space="preserve">db17631f-2449-54e2-b4d7-ebfc8c45ca12</t>
  </si>
  <si>
    <t xml:space="preserve">BM-O5-01</t>
  </si>
  <si>
    <t xml:space="preserve">Opdracht verlenen aan uitvoerder</t>
  </si>
  <si>
    <t xml:space="preserve">Aan wie verlenen we de opdracht en tegen welke kosten?</t>
  </si>
  <si>
    <t xml:space="preserve">Dummy: gunnen van opdracht.</t>
  </si>
  <si>
    <t xml:space="preserve">BT-10</t>
  </si>
  <si>
    <t xml:space="preserve">Gunnen van opdracht</t>
  </si>
  <si>
    <t xml:space="preserve">Raming, aanbestedingsstrategie, juridische afspraken</t>
  </si>
  <si>
    <t xml:space="preserve">Gunningsbesluit</t>
  </si>
  <si>
    <t xml:space="preserve">Realisatie bewaken</t>
  </si>
  <si>
    <t xml:space="preserve">1331e508-d2d5-57a0-b71a-339da74d3b20</t>
  </si>
  <si>
    <t xml:space="preserve">BM-O6-01</t>
  </si>
  <si>
    <t xml:space="preserve">Oplevering accepteren</t>
  </si>
  <si>
    <t xml:space="preserve">Dummy: accepteren van oplevering.</t>
  </si>
  <si>
    <t xml:space="preserve">BT-11</t>
  </si>
  <si>
    <t xml:space="preserve">Accepteren van oplevering</t>
  </si>
  <si>
    <t xml:space="preserve">Technische staat, exploitatiegegevens</t>
  </si>
  <si>
    <t xml:space="preserve">In gebruik nemen</t>
  </si>
  <si>
    <t xml:space="preserve">2e2c89d9-0a51-5230-9d92-c0de821b80a1</t>
  </si>
  <si>
    <t xml:space="preserve">BM-O7-01</t>
  </si>
  <si>
    <t xml:space="preserve">Exploitatie en prestaties evalueren</t>
  </si>
  <si>
    <t xml:space="preserve">Dummy: evalueren en bijsturen.</t>
  </si>
  <si>
    <t xml:space="preserve">Evalueren en bijsturen</t>
  </si>
  <si>
    <t xml:space="preserve">Verbruik, exploitatie, voortgang, gebruik</t>
  </si>
  <si>
    <t xml:space="preserve">Evaluatie en monitoringsrapportage</t>
  </si>
  <si>
    <t xml:space="preserve">Terugkoppelen naar portefeuille</t>
  </si>
  <si>
    <t xml:space="preserve">PC-07</t>
  </si>
  <si>
    <t xml:space="preserve">e5d229a1-26b1-58fc-8f15-f48996c7c9ef</t>
  </si>
  <si>
    <t xml:space="preserve">verkennend</t>
  </si>
  <si>
    <t xml:space="preserve">a6589a86-6c2d-5d1f-ac92-7157cb398233</t>
  </si>
  <si>
    <t xml:space="preserve">a5c66e9a-5ac6-5c1a-84f0-d2f8fa665d89</t>
  </si>
  <si>
    <t xml:space="preserve">kaderstellend</t>
  </si>
  <si>
    <t xml:space="preserve">f11e278c-42f9-5067-a1ad-4946e767a6a9</t>
  </si>
  <si>
    <t xml:space="preserve">prioriterend</t>
  </si>
  <si>
    <t xml:space="preserve">6e065eab-74fb-50c5-adb0-f173920b38a2</t>
  </si>
  <si>
    <t xml:space="preserve">programmerend</t>
  </si>
  <si>
    <t xml:space="preserve">c1204c95-2f13-529f-bfaa-98af8667dca6</t>
  </si>
  <si>
    <t xml:space="preserve">financieel toetsend</t>
  </si>
  <si>
    <t xml:space="preserve">13b42bbe-207e-5dba-8de6-67238edf4976</t>
  </si>
  <si>
    <t xml:space="preserve">investeringsbesluit</t>
  </si>
  <si>
    <t xml:space="preserve">cd348d5e-85cf-56a7-a8b7-314f894d7d4f</t>
  </si>
  <si>
    <t xml:space="preserve">kredietbesluit</t>
  </si>
  <si>
    <t xml:space="preserve">312bae80-63f0-5bb7-ad11-b4980413b9e7</t>
  </si>
  <si>
    <t xml:space="preserve">BT-09</t>
  </si>
  <si>
    <t xml:space="preserve">uitvoeringsbesluit</t>
  </si>
  <si>
    <t xml:space="preserve">2bd3d1b3-653d-5198-ac0d-01a01dab41b2</t>
  </si>
  <si>
    <t xml:space="preserve">contractbesluit</t>
  </si>
  <si>
    <t xml:space="preserve">a6a030b1-fcc9-59f2-9a0b-c838cad042c2</t>
  </si>
  <si>
    <t xml:space="preserve">acceptatiebesluit</t>
  </si>
  <si>
    <t xml:space="preserve">ce985b68-3037-5156-b829-118d3e4c60fe</t>
  </si>
  <si>
    <t xml:space="preserve">bijsturingsbesluit</t>
  </si>
  <si>
    <t xml:space="preserve">7210a115-3ea2-5482-b1f5-9b58b7c3b80e</t>
  </si>
  <si>
    <t xml:space="preserve">herijkingsbesluit</t>
  </si>
  <si>
    <t xml:space="preserve">cbec7d03-a1ff-5339-b5bc-59643ead2463</t>
  </si>
  <si>
    <t xml:space="preserve">BT-14</t>
  </si>
  <si>
    <t xml:space="preserve">beëindigingsbesluit</t>
  </si>
  <si>
    <t xml:space="preserve">5cb94d0d-d9c3-58ae-9787-fa878d7c8443</t>
  </si>
  <si>
    <t xml:space="preserve">ROL-001</t>
  </si>
  <si>
    <t xml:space="preserve">beleidsopdrachtgever</t>
  </si>
  <si>
    <t xml:space="preserve">RC-04</t>
  </si>
  <si>
    <t xml:space="preserve">Dummy: de rol beleidsopdrachtgever in vastgoedbesluitvorming.</t>
  </si>
  <si>
    <t xml:space="preserve">Dummy: verantwoordelijk voor het aandeel van de beleidsopdrachtgever in het besluit.</t>
  </si>
  <si>
    <t xml:space="preserve">DUMMY-aanvulling: externe_rol, informatie_detailniveau, omschrijving, primaire_gebruiker_v1, primaire_verantwoordelijkheid, rolcluster_id, validation_status_id</t>
  </si>
  <si>
    <t xml:space="preserve">c4d89414-041c-5a14-a5d7-d80c1293318b</t>
  </si>
  <si>
    <t xml:space="preserve">ROL-002</t>
  </si>
  <si>
    <t xml:space="preserve">portefeuilleregisseur</t>
  </si>
  <si>
    <t xml:space="preserve">RC-01</t>
  </si>
  <si>
    <t xml:space="preserve">Dummy: de rol portefeuilleregisseur in vastgoedbesluitvorming.</t>
  </si>
  <si>
    <t xml:space="preserve">Dummy: verantwoordelijk voor het aandeel van de portefeuilleregisseur in het besluit.</t>
  </si>
  <si>
    <t xml:space="preserve">78fde774-e707-585a-9717-02694381c956</t>
  </si>
  <si>
    <t xml:space="preserve">ROL-003</t>
  </si>
  <si>
    <t xml:space="preserve">vastgoedmanager</t>
  </si>
  <si>
    <t xml:space="preserve">Dummy: de rol vastgoedmanager in vastgoedbesluitvorming.</t>
  </si>
  <si>
    <t xml:space="preserve">Dummy: verantwoordelijk voor het aandeel van de vastgoedmanager in het besluit.</t>
  </si>
  <si>
    <t xml:space="preserve">a75f1ece-f3e5-5633-9b37-3537f763539b</t>
  </si>
  <si>
    <t xml:space="preserve">ROL-004</t>
  </si>
  <si>
    <t xml:space="preserve">assetmanager</t>
  </si>
  <si>
    <t xml:space="preserve">Dummy: de rol assetmanager in vastgoedbesluitvorming.</t>
  </si>
  <si>
    <t xml:space="preserve">Dummy: verantwoordelijk voor het aandeel van de assetmanager in het besluit.</t>
  </si>
  <si>
    <t xml:space="preserve">cc3e6744-260b-5c55-86fd-8935039c6e55</t>
  </si>
  <si>
    <t xml:space="preserve">ROL-005</t>
  </si>
  <si>
    <t xml:space="preserve">projectverantwoordelijke</t>
  </si>
  <si>
    <t xml:space="preserve">Dummy: de rol projectverantwoordelijke in vastgoedbesluitvorming.</t>
  </si>
  <si>
    <t xml:space="preserve">Dummy: verantwoordelijk voor het aandeel van de projectverantwoordelijke in het besluit.</t>
  </si>
  <si>
    <t xml:space="preserve">926c6640-e74d-58e3-b7c4-aa4de3c82eae</t>
  </si>
  <si>
    <t xml:space="preserve">ROL-006</t>
  </si>
  <si>
    <t xml:space="preserve">RC-05</t>
  </si>
  <si>
    <t xml:space="preserve">Dummy: de rol beheerder in vastgoedbesluitvorming.</t>
  </si>
  <si>
    <t xml:space="preserve">Dummy: verantwoordelijk voor het aandeel van de beheerder in het besluit.</t>
  </si>
  <si>
    <t xml:space="preserve">ea258ed3-d0f1-5306-93e0-6c7d58cb6230</t>
  </si>
  <si>
    <t xml:space="preserve">ROL-007</t>
  </si>
  <si>
    <t xml:space="preserve">exploitant</t>
  </si>
  <si>
    <t xml:space="preserve">Dummy: de rol exploitant in vastgoedbesluitvorming.</t>
  </si>
  <si>
    <t xml:space="preserve">Dummy: verantwoordelijk voor het aandeel van de exploitant in het besluit.</t>
  </si>
  <si>
    <t xml:space="preserve">06ac82e4-0414-5d3f-b8ed-11b07cd17e56</t>
  </si>
  <si>
    <t xml:space="preserve">ROL-008</t>
  </si>
  <si>
    <t xml:space="preserve">beleidsadviseur</t>
  </si>
  <si>
    <t xml:space="preserve">RC-03</t>
  </si>
  <si>
    <t xml:space="preserve">Dummy: de rol beleidsadviseur in vastgoedbesluitvorming.</t>
  </si>
  <si>
    <t xml:space="preserve">Dummy: verantwoordelijk voor het aandeel van de beleidsadviseur in het besluit.</t>
  </si>
  <si>
    <t xml:space="preserve">6f8b2ba2-f64c-57b3-9b63-fe9b4a05a21d</t>
  </si>
  <si>
    <t xml:space="preserve">ROL-009</t>
  </si>
  <si>
    <t xml:space="preserve">strategisch adviseur</t>
  </si>
  <si>
    <t xml:space="preserve">Dummy: de rol strategisch adviseur in vastgoedbesluitvorming.</t>
  </si>
  <si>
    <t xml:space="preserve">Dummy: verantwoordelijk voor het aandeel van de strategisch adviseur in het besluit.</t>
  </si>
  <si>
    <t xml:space="preserve">0c3ca78c-b51f-5fdb-8126-f05d6d9d0e56</t>
  </si>
  <si>
    <t xml:space="preserve">ROL-010</t>
  </si>
  <si>
    <t xml:space="preserve">programmamanager</t>
  </si>
  <si>
    <t xml:space="preserve">Dummy: de rol programmamanager in vastgoedbesluitvorming.</t>
  </si>
  <si>
    <t xml:space="preserve">Dummy: verantwoordelijk voor het aandeel van de programmamanager in het besluit.</t>
  </si>
  <si>
    <t xml:space="preserve">2e734299-91ac-5f36-ae56-8042318bcd8c</t>
  </si>
  <si>
    <t xml:space="preserve">ROL-011</t>
  </si>
  <si>
    <t xml:space="preserve">financieel adviseur</t>
  </si>
  <si>
    <t xml:space="preserve">RC-02</t>
  </si>
  <si>
    <t xml:space="preserve">Dummy: de rol financieel adviseur in vastgoedbesluitvorming.</t>
  </si>
  <si>
    <t xml:space="preserve">Dummy: verantwoordelijk voor het aandeel van de financieel adviseur in het besluit.</t>
  </si>
  <si>
    <t xml:space="preserve">fb39ef16-74a0-5129-8359-b224431707f6</t>
  </si>
  <si>
    <t xml:space="preserve">ROL-012</t>
  </si>
  <si>
    <t xml:space="preserve">controller</t>
  </si>
  <si>
    <t xml:space="preserve">Dummy: de rol controller in vastgoedbesluitvorming.</t>
  </si>
  <si>
    <t xml:space="preserve">Dummy: verantwoordelijk voor het aandeel van de controller in het besluit.</t>
  </si>
  <si>
    <t xml:space="preserve">4dffa8df-005a-52bc-ba7c-dc3a01affbc9</t>
  </si>
  <si>
    <t xml:space="preserve">ROL-013</t>
  </si>
  <si>
    <t xml:space="preserve">inkoopadviseur</t>
  </si>
  <si>
    <t xml:space="preserve">RC-08</t>
  </si>
  <si>
    <t xml:space="preserve">Dummy: de rol inkoopadviseur in vastgoedbesluitvorming.</t>
  </si>
  <si>
    <t xml:space="preserve">Dummy: verantwoordelijk voor het aandeel van de inkoopadviseur in het besluit.</t>
  </si>
  <si>
    <t xml:space="preserve">91dc39f9-227f-5421-a012-64f493dcaa8b</t>
  </si>
  <si>
    <t xml:space="preserve">ROL-014</t>
  </si>
  <si>
    <t xml:space="preserve">juridisch adviseur</t>
  </si>
  <si>
    <t xml:space="preserve">RC-07</t>
  </si>
  <si>
    <t xml:space="preserve">Dummy: de rol juridisch adviseur in vastgoedbesluitvorming.</t>
  </si>
  <si>
    <t xml:space="preserve">Dummy: verantwoordelijk voor het aandeel van de juridisch adviseur in het besluit.</t>
  </si>
  <si>
    <t xml:space="preserve">d1b2e53d-b320-55e0-b856-a5af4aaad7c4</t>
  </si>
  <si>
    <t xml:space="preserve">ROL-015</t>
  </si>
  <si>
    <t xml:space="preserve">fiscaal adviseur</t>
  </si>
  <si>
    <t xml:space="preserve">Dummy: de rol fiscaal adviseur in vastgoedbesluitvorming.</t>
  </si>
  <si>
    <t xml:space="preserve">Dummy: verantwoordelijk voor het aandeel van de fiscaal adviseur in het besluit.</t>
  </si>
  <si>
    <t xml:space="preserve">b3e18116-f07c-5341-9557-1d0e1826f697</t>
  </si>
  <si>
    <t xml:space="preserve">ROL-016</t>
  </si>
  <si>
    <t xml:space="preserve">bestuurlijk opdrachtgever</t>
  </si>
  <si>
    <t xml:space="preserve">Dummy: de rol bestuurlijk opdrachtgever in vastgoedbesluitvorming.</t>
  </si>
  <si>
    <t xml:space="preserve">Dummy: verantwoordelijk voor het aandeel van de bestuurlijk opdrachtgever in het besluit.</t>
  </si>
  <si>
    <t xml:space="preserve">0ab16d57-52d5-5e58-9523-327026bb1582</t>
  </si>
  <si>
    <t xml:space="preserve">ROL-017</t>
  </si>
  <si>
    <t xml:space="preserve">wethouder</t>
  </si>
  <si>
    <t xml:space="preserve">Dummy: de rol wethouder in vastgoedbesluitvorming.</t>
  </si>
  <si>
    <t xml:space="preserve">Dummy: verantwoordelijk voor het aandeel van de wethouder in het besluit.</t>
  </si>
  <si>
    <t xml:space="preserve">769fb3b0-a0f4-5dba-ba04-27a1f0381954</t>
  </si>
  <si>
    <t xml:space="preserve">ROL-018</t>
  </si>
  <si>
    <t xml:space="preserve">gemeenteraad</t>
  </si>
  <si>
    <t xml:space="preserve">Dummy: de rol gemeenteraad in vastgoedbesluitvorming.</t>
  </si>
  <si>
    <t xml:space="preserve">Dummy: verantwoordelijk voor het aandeel van de gemeenteraad in het besluit.</t>
  </si>
  <si>
    <t xml:space="preserve">53511347-9569-5c92-ade7-c62e9b605db8</t>
  </si>
  <si>
    <t xml:space="preserve">ROL-019</t>
  </si>
  <si>
    <t xml:space="preserve">gebruiker of huurder</t>
  </si>
  <si>
    <t xml:space="preserve">RC-06</t>
  </si>
  <si>
    <t xml:space="preserve">Dummy: de rol gebruiker of huurder in vastgoedbesluitvorming.</t>
  </si>
  <si>
    <t xml:space="preserve">Dummy: verantwoordelijk voor het aandeel van de gebruiker of huurder in het besluit.</t>
  </si>
  <si>
    <t xml:space="preserve">8fc561dc-f966-5fd6-8874-33c5634e3e8e</t>
  </si>
  <si>
    <t xml:space="preserve">ROL-020</t>
  </si>
  <si>
    <t xml:space="preserve">mede-eigenaar</t>
  </si>
  <si>
    <t xml:space="preserve">Dummy: de rol mede-eigenaar in vastgoedbesluitvorming.</t>
  </si>
  <si>
    <t xml:space="preserve">Dummy: verantwoordelijk voor het aandeel van de mede-eigenaar in het besluit.</t>
  </si>
  <si>
    <t xml:space="preserve">337a67e6-be28-50f8-9867-3e494bfbcd74</t>
  </si>
  <si>
    <t xml:space="preserve">ROL-021</t>
  </si>
  <si>
    <t xml:space="preserve">marktpartner</t>
  </si>
  <si>
    <t xml:space="preserve">RC-09</t>
  </si>
  <si>
    <t xml:space="preserve">Dummy: de rol marktpartner in vastgoedbesluitvorming.</t>
  </si>
  <si>
    <t xml:space="preserve">Dummy: verantwoordelijk voor het aandeel van de marktpartner in het besluit.</t>
  </si>
  <si>
    <t xml:space="preserve">8a2c2eb1-f023-5c28-b84f-027594af6442</t>
  </si>
  <si>
    <t xml:space="preserve">ROL-022</t>
  </si>
  <si>
    <t xml:space="preserve">Dummy: de rol kennispartner in vastgoedbesluitvorming.</t>
  </si>
  <si>
    <t xml:space="preserve">Dummy: verantwoordelijk voor het aandeel van de kennispartner in het besluit.</t>
  </si>
  <si>
    <t xml:space="preserve">fed0b311-e32d-5d87-a5fa-c7fc31b281e3</t>
  </si>
  <si>
    <t xml:space="preserve">vastgoed</t>
  </si>
  <si>
    <t xml:space="preserve">2f357169-a0ed-5344-93c2-6c1888fcb0e2</t>
  </si>
  <si>
    <t xml:space="preserve">financiën en control</t>
  </si>
  <si>
    <t xml:space="preserve">e16560bc-a3da-5c5f-9270-bff12c54670f</t>
  </si>
  <si>
    <t xml:space="preserve">beleid</t>
  </si>
  <si>
    <t xml:space="preserve">e1541d9b-3f83-5295-addc-ca6ae16c8ebd</t>
  </si>
  <si>
    <t xml:space="preserve">bestuur</t>
  </si>
  <si>
    <t xml:space="preserve">9fb9ef4c-67ba-5131-b20d-ca03bcad039a</t>
  </si>
  <si>
    <t xml:space="preserve">beheer en exploitatie</t>
  </si>
  <si>
    <t xml:space="preserve">427327f3-64ce-5373-9664-e4cdc932ad57</t>
  </si>
  <si>
    <t xml:space="preserve">gebruiker en eigenaar</t>
  </si>
  <si>
    <t xml:space="preserve">21ddf6a9-4877-56c6-aae7-fec0da07a213</t>
  </si>
  <si>
    <t xml:space="preserve">juridisch en fiscaal</t>
  </si>
  <si>
    <t xml:space="preserve">7e55d5aa-947e-5a8f-ad4c-1aa9fe546ae4</t>
  </si>
  <si>
    <t xml:space="preserve">inkoop en contractering</t>
  </si>
  <si>
    <t xml:space="preserve">005da926-88a2-540e-aad5-59d75e656909</t>
  </si>
  <si>
    <t xml:space="preserve">markt en kennis</t>
  </si>
  <si>
    <t xml:space="preserve">cc5e53e1-df17-5398-ab6d-4c60c676a7ec</t>
  </si>
  <si>
    <t xml:space="preserve">Vastgoedregisseur</t>
  </si>
  <si>
    <t xml:space="preserve">Dummy-gemeente</t>
  </si>
  <si>
    <t xml:space="preserve">af131c2f-8e05-5743-9353-c25af1f2542e</t>
  </si>
  <si>
    <t xml:space="preserve">Accountmanager vastgoed</t>
  </si>
  <si>
    <t xml:space="preserve">d87c9fb5-cc9f-56e9-9375-5901498bf45a</t>
  </si>
  <si>
    <t xml:space="preserve">Assetmanager</t>
  </si>
  <si>
    <t xml:space="preserve">1b9ff2a1-ddd9-507f-ad53-0119bd0b3b54</t>
  </si>
  <si>
    <t xml:space="preserve">Portefeuillemanager vastgoed</t>
  </si>
  <si>
    <t xml:space="preserve">609aca0c-c239-5c6a-83d7-4ea79b1f611f</t>
  </si>
  <si>
    <t xml:space="preserve">Projectleider vastgoed</t>
  </si>
  <si>
    <t xml:space="preserve">9e45ded6-e079-5bc3-9e51-c566f867a365</t>
  </si>
  <si>
    <t xml:space="preserve">Projectmanager</t>
  </si>
  <si>
    <t xml:space="preserve">7317c829-b6e3-52d4-b64a-d8eabbf07022</t>
  </si>
  <si>
    <t xml:space="preserve">Beheerder gebouwen</t>
  </si>
  <si>
    <t xml:space="preserve">a1c30f2e-db3d-5b02-abe7-d7e4e3ca2221</t>
  </si>
  <si>
    <t xml:space="preserve">Facilitair beheerder</t>
  </si>
  <si>
    <t xml:space="preserve">e8387b0d-5079-5d1e-b79c-14c5954fb45a</t>
  </si>
  <si>
    <t xml:space="preserve">Financieel adviseur</t>
  </si>
  <si>
    <t xml:space="preserve">378b7bfc-6de8-5f26-b224-e207ce5f78b2</t>
  </si>
  <si>
    <t xml:space="preserve">Business controller</t>
  </si>
  <si>
    <t xml:space="preserve">924cde10-6f45-5b39-b801-018eb3f4539f</t>
  </si>
  <si>
    <t xml:space="preserve">Concerncontroller</t>
  </si>
  <si>
    <t xml:space="preserve">5d9a785b-c7d0-54bc-8985-5689a39443b5</t>
  </si>
  <si>
    <t xml:space="preserve">Afdelingscontroller</t>
  </si>
  <si>
    <t xml:space="preserve">2275f2fa-4329-5aaa-952b-87c014a9679b</t>
  </si>
  <si>
    <t xml:space="preserve">Beleidsadviseur maatschappelijk vastgoed</t>
  </si>
  <si>
    <t xml:space="preserve">a4730d8f-125e-5e4b-80fb-cf9a77c5197d</t>
  </si>
  <si>
    <t xml:space="preserve">Beleidsmedewerker sport</t>
  </si>
  <si>
    <t xml:space="preserve">3a4cd890-8d47-5c47-86be-054ba3106759</t>
  </si>
  <si>
    <t xml:space="preserve">Inkoopadviseur</t>
  </si>
  <si>
    <t xml:space="preserve">e274d42c-4441-5a77-ae2f-7ec6360b1000</t>
  </si>
  <si>
    <t xml:space="preserve">Contractmanager</t>
  </si>
  <si>
    <t xml:space="preserve">60567b95-aa81-59fc-85ac-d61786677e1d</t>
  </si>
  <si>
    <t xml:space="preserve">Wethouder vastgoed en financiën</t>
  </si>
  <si>
    <t xml:space="preserve">616b2ab4-e431-5d89-a839-92f50cd7430e</t>
  </si>
  <si>
    <t xml:space="preserve">Programmaleider verduurzaming</t>
  </si>
  <si>
    <t xml:space="preserve">078c79c9-e872-5cf9-86ca-86cee134ed0e</t>
  </si>
  <si>
    <t xml:space="preserve">ET-01</t>
  </si>
  <si>
    <t xml:space="preserve">7880bbc3-8ca6-5a8b-ac49-7751b310e86d</t>
  </si>
  <si>
    <t xml:space="preserve">ET-02</t>
  </si>
  <si>
    <t xml:space="preserve">eigenaar met gemeentelijke subsidierelatie</t>
  </si>
  <si>
    <t xml:space="preserve">cd8a3340-e6a7-5923-8b74-82369ee823f1</t>
  </si>
  <si>
    <t xml:space="preserve">ET-03</t>
  </si>
  <si>
    <t xml:space="preserve">eigenaar zonder gemeentelijke subsidierelatie</t>
  </si>
  <si>
    <t xml:space="preserve">05920de7-e9a9-5532-ae36-58f28e15ec69</t>
  </si>
  <si>
    <t xml:space="preserve">ET-04</t>
  </si>
  <si>
    <t xml:space="preserve">schoolbestuur</t>
  </si>
  <si>
    <t xml:space="preserve">b7773c08-7b62-506a-aaf9-098f38d327ab</t>
  </si>
  <si>
    <t xml:space="preserve">ET-05</t>
  </si>
  <si>
    <t xml:space="preserve">zorginstelling</t>
  </si>
  <si>
    <t xml:space="preserve">df6af6ff-fd4c-5b1a-b5c2-0a6b6e63983d</t>
  </si>
  <si>
    <t xml:space="preserve">ET-06</t>
  </si>
  <si>
    <t xml:space="preserve">gemeenschappelijke regeling</t>
  </si>
  <si>
    <t xml:space="preserve">460cb315-5aad-5fd8-b74d-488d7a87ee6f</t>
  </si>
  <si>
    <t xml:space="preserve">ET-07</t>
  </si>
  <si>
    <t xml:space="preserve">stichting</t>
  </si>
  <si>
    <t xml:space="preserve">3a4905cd-2dd8-5b16-ae70-6154444062d1</t>
  </si>
  <si>
    <t xml:space="preserve">ET-08</t>
  </si>
  <si>
    <t xml:space="preserve">vereniging</t>
  </si>
  <si>
    <t xml:space="preserve">80298eea-2dd0-598a-bd99-71de7ef4e58a</t>
  </si>
  <si>
    <t xml:space="preserve">ET-09</t>
  </si>
  <si>
    <t xml:space="preserve">publiek-private entiteit</t>
  </si>
  <si>
    <t xml:space="preserve">cbba3ce9-0d48-5e98-9680-997b1690e834</t>
  </si>
  <si>
    <t xml:space="preserve">ET-10</t>
  </si>
  <si>
    <t xml:space="preserve">overig</t>
  </si>
  <si>
    <t xml:space="preserve">bb593c1e-8f69-5c36-85ff-1e2af5dd4915</t>
  </si>
  <si>
    <t xml:space="preserve">OT-01</t>
  </si>
  <si>
    <t xml:space="preserve">maatschappelijk vastgoed</t>
  </si>
  <si>
    <t xml:space="preserve">0cf2fa28-5439-5e96-ad44-1b8262df0ad2</t>
  </si>
  <si>
    <t xml:space="preserve">OT-02</t>
  </si>
  <si>
    <t xml:space="preserve">sportvastgoed</t>
  </si>
  <si>
    <t xml:space="preserve">a0868aaf-a2ad-52ec-82d9-355bc12de3ee</t>
  </si>
  <si>
    <t xml:space="preserve">OT-03</t>
  </si>
  <si>
    <t xml:space="preserve">sporthal</t>
  </si>
  <si>
    <t xml:space="preserve">dca58d0b-825e-59b0-9d6c-f4b083ae03f9</t>
  </si>
  <si>
    <t xml:space="preserve">OT-04</t>
  </si>
  <si>
    <t xml:space="preserve">zwembad</t>
  </si>
  <si>
    <t xml:space="preserve">fd592021-5b5d-5d93-b59e-5a4d8ce9b966</t>
  </si>
  <si>
    <t xml:space="preserve">OT-05</t>
  </si>
  <si>
    <t xml:space="preserve">buitensportaccommodatie</t>
  </si>
  <si>
    <t xml:space="preserve">c8e8cf33-830a-559f-b6a5-291f1a77a320</t>
  </si>
  <si>
    <t xml:space="preserve">OT-06</t>
  </si>
  <si>
    <t xml:space="preserve">onderwijsvastgoed</t>
  </si>
  <si>
    <t xml:space="preserve">2b4b81d5-8240-5c7e-afae-8925be43b0bc</t>
  </si>
  <si>
    <t xml:space="preserve">OT-07</t>
  </si>
  <si>
    <t xml:space="preserve">basisschool</t>
  </si>
  <si>
    <t xml:space="preserve">57a7ebd4-625b-5045-8929-becbe2b89b27</t>
  </si>
  <si>
    <t xml:space="preserve">OT-08</t>
  </si>
  <si>
    <t xml:space="preserve">voortgezet onderwijs</t>
  </si>
  <si>
    <t xml:space="preserve">35ad4c44-208c-5982-8c6e-803b1db8979f</t>
  </si>
  <si>
    <t xml:space="preserve">OT-09</t>
  </si>
  <si>
    <t xml:space="preserve">cultuurvastgoed</t>
  </si>
  <si>
    <t xml:space="preserve">74ed2318-9704-5d82-91cb-31c03ff4ea27</t>
  </si>
  <si>
    <t xml:space="preserve">OT-10</t>
  </si>
  <si>
    <t xml:space="preserve">theater</t>
  </si>
  <si>
    <t xml:space="preserve">f6b11a85-4cce-55b8-8298-04d3c1f09c43</t>
  </si>
  <si>
    <t xml:space="preserve">OT-11</t>
  </si>
  <si>
    <t xml:space="preserve">museum</t>
  </si>
  <si>
    <t xml:space="preserve">c17db46f-95b7-5c4f-9091-32a671dbf086</t>
  </si>
  <si>
    <t xml:space="preserve">OT-12</t>
  </si>
  <si>
    <t xml:space="preserve">bibliotheek</t>
  </si>
  <si>
    <t xml:space="preserve">3a6774e7-1410-5ee7-8f8d-6f701d8c4ca4</t>
  </si>
  <si>
    <t xml:space="preserve">OT-13</t>
  </si>
  <si>
    <t xml:space="preserve">welzijnsvastgoed</t>
  </si>
  <si>
    <t xml:space="preserve">48d45b35-4383-514d-8641-f29862eb11e8</t>
  </si>
  <si>
    <t xml:space="preserve">OT-14</t>
  </si>
  <si>
    <t xml:space="preserve">buurthuis</t>
  </si>
  <si>
    <t xml:space="preserve">c3280404-6300-5d5d-b23b-e968cf878be9</t>
  </si>
  <si>
    <t xml:space="preserve">OT-15</t>
  </si>
  <si>
    <t xml:space="preserve">wijkcentrum</t>
  </si>
  <si>
    <t xml:space="preserve">3c85178b-bd55-5e77-9045-3a555a27ce58</t>
  </si>
  <si>
    <t xml:space="preserve">OT-16</t>
  </si>
  <si>
    <t xml:space="preserve">dorpshuis</t>
  </si>
  <si>
    <t xml:space="preserve">ed78535c-ad61-5839-897f-8ee85dc1e539</t>
  </si>
  <si>
    <t xml:space="preserve">OT-17</t>
  </si>
  <si>
    <t xml:space="preserve">zorgvastgoed</t>
  </si>
  <si>
    <t xml:space="preserve">f023084d-0014-54c5-b3fa-b22f9d1878e9</t>
  </si>
  <si>
    <t xml:space="preserve">OT-18</t>
  </si>
  <si>
    <t xml:space="preserve">gemeentelijke huisvesting</t>
  </si>
  <si>
    <t xml:space="preserve">28cbe5e5-8028-5a8b-8df0-b5fa5c03b9ae</t>
  </si>
  <si>
    <t xml:space="preserve">OT-19</t>
  </si>
  <si>
    <t xml:space="preserve">multifunctionele accommodatie</t>
  </si>
  <si>
    <t xml:space="preserve">75db2000-6ea7-5ebd-b9b2-17c4656c11f4</t>
  </si>
  <si>
    <t xml:space="preserve">OT-20</t>
  </si>
  <si>
    <t xml:space="preserve">monument</t>
  </si>
  <si>
    <t xml:space="preserve">ad0061b1-4aa0-5f4a-8345-ece6c26c5313</t>
  </si>
  <si>
    <t xml:space="preserve">OT-21</t>
  </si>
  <si>
    <t xml:space="preserve">3386974c-aa28-56ac-bf93-bbc5bc7694fa</t>
  </si>
  <si>
    <t xml:space="preserve">FV-001</t>
  </si>
  <si>
    <t xml:space="preserve">Wat kost niets doen?</t>
  </si>
  <si>
    <t xml:space="preserve">Kosten niets doen</t>
  </si>
  <si>
    <t xml:space="preserve">TH-02</t>
  </si>
  <si>
    <t xml:space="preserve">bedrag</t>
  </si>
  <si>
    <t xml:space="preserve">DUMMY-aanvulling: financieel_thema_id, korte_naam, verwacht_antwoordtype</t>
  </si>
  <si>
    <t xml:space="preserve">d9f6ca41-4b54-5819-896e-6b44a084c8bf</t>
  </si>
  <si>
    <t xml:space="preserve">FV-002</t>
  </si>
  <si>
    <t xml:space="preserve">Wat is de totale investeringsbehoefte?</t>
  </si>
  <si>
    <t xml:space="preserve">Investeringsbehoefte</t>
  </si>
  <si>
    <t xml:space="preserve">TH-03</t>
  </si>
  <si>
    <t xml:space="preserve">1a4217e4-4442-5265-b755-0fe8f80c8449</t>
  </si>
  <si>
    <t xml:space="preserve">FV-003</t>
  </si>
  <si>
    <t xml:space="preserve">Welke structurele lasten ontstaan?</t>
  </si>
  <si>
    <t xml:space="preserve">Structurele lasten</t>
  </si>
  <si>
    <t xml:space="preserve">TH-06</t>
  </si>
  <si>
    <t xml:space="preserve">7ca525e4-2bfe-56d6-9f5e-64033df231f9</t>
  </si>
  <si>
    <t xml:space="preserve">FV-004</t>
  </si>
  <si>
    <t xml:space="preserve">Welke dekking is beschikbaar?</t>
  </si>
  <si>
    <t xml:space="preserve">Dekking</t>
  </si>
  <si>
    <t xml:space="preserve">TH-09</t>
  </si>
  <si>
    <t xml:space="preserve">overzicht</t>
  </si>
  <si>
    <t xml:space="preserve">43b9b0e9-16b1-5cd5-821a-e4e2c5c391ba</t>
  </si>
  <si>
    <t xml:space="preserve">FV-005</t>
  </si>
  <si>
    <t xml:space="preserve">Welke subsidies zijn beschikbaar?</t>
  </si>
  <si>
    <t xml:space="preserve">Subsidies</t>
  </si>
  <si>
    <t xml:space="preserve">TH-01</t>
  </si>
  <si>
    <t xml:space="preserve">fac9f842-8386-5651-899c-3efb296dcf82</t>
  </si>
  <si>
    <t xml:space="preserve">FV-006</t>
  </si>
  <si>
    <t xml:space="preserve">Hoe landt de investering in begroting en MIP?</t>
  </si>
  <si>
    <t xml:space="preserve">Begroting en MIP</t>
  </si>
  <si>
    <t xml:space="preserve">TH-04</t>
  </si>
  <si>
    <t xml:space="preserve">4a97989c-e48f-5c0f-b05d-f2eb442c6a73</t>
  </si>
  <si>
    <t xml:space="preserve">FV-007</t>
  </si>
  <si>
    <t xml:space="preserve">Welke fiscale gevolgen zijn er?</t>
  </si>
  <si>
    <t xml:space="preserve">Fiscale gevolgen</t>
  </si>
  <si>
    <t xml:space="preserve">TH-08</t>
  </si>
  <si>
    <t xml:space="preserve">b17a8b26-548f-537f-87eb-d19b376870d4</t>
  </si>
  <si>
    <t xml:space="preserve">FV-008</t>
  </si>
  <si>
    <t xml:space="preserve">Welke risico’s moeten worden meegenomen?</t>
  </si>
  <si>
    <t xml:space="preserve">Risico's</t>
  </si>
  <si>
    <t xml:space="preserve">TH-17</t>
  </si>
  <si>
    <t xml:space="preserve">a7fbdd0c-e118-5074-9705-99e2c08e8aba</t>
  </si>
  <si>
    <t xml:space="preserve">FV-009</t>
  </si>
  <si>
    <t xml:space="preserve">Welke scenario’s zijn financieel vergelijkbaar?</t>
  </si>
  <si>
    <t xml:space="preserve">132ae9ef-e910-5827-9682-3d42146cbaaa</t>
  </si>
  <si>
    <t xml:space="preserve">FV-010</t>
  </si>
  <si>
    <t xml:space="preserve">Welke huur- of subsidieafspraken zijn nodig?</t>
  </si>
  <si>
    <t xml:space="preserve">Huur- en subsidieafspraken</t>
  </si>
  <si>
    <t xml:space="preserve">TH-07</t>
  </si>
  <si>
    <t xml:space="preserve">c4b284ef-df54-576e-8f29-b591a1481436</t>
  </si>
  <si>
    <t xml:space="preserve">FV-011</t>
  </si>
  <si>
    <t xml:space="preserve">Welke financieringsconstructie past?</t>
  </si>
  <si>
    <t xml:space="preserve">Financieringsconstructie</t>
  </si>
  <si>
    <t xml:space="preserve">TH-14</t>
  </si>
  <si>
    <t xml:space="preserve">a3a60b60-fa9b-594a-93c8-5194b4df1d65</t>
  </si>
  <si>
    <t xml:space="preserve">FV-012</t>
  </si>
  <si>
    <t xml:space="preserve">Hoe worden maatschappelijke effecten meegewogen?</t>
  </si>
  <si>
    <t xml:space="preserve">Maatschappelijke effecten</t>
  </si>
  <si>
    <t xml:space="preserve">TH-13</t>
  </si>
  <si>
    <t xml:space="preserve">c65f5d0f-5866-53f5-b249-68d83f4c4f77</t>
  </si>
  <si>
    <t xml:space="preserve">subsidies</t>
  </si>
  <si>
    <t xml:space="preserve">290083a1-0bd9-537a-9f5b-c44fe862ddd1</t>
  </si>
  <si>
    <t xml:space="preserve">TCO</t>
  </si>
  <si>
    <t xml:space="preserve">7ae6f15d-0003-5d19-9151-14c9ec9d7ab0</t>
  </si>
  <si>
    <t xml:space="preserve">investeringsopgave</t>
  </si>
  <si>
    <t xml:space="preserve">1eca9eab-098d-50d2-8baa-d8c96b9d58c6</t>
  </si>
  <si>
    <t xml:space="preserve">begroting</t>
  </si>
  <si>
    <t xml:space="preserve">e0449d32-09b9-50be-a4af-c9c111f9d1b0</t>
  </si>
  <si>
    <t xml:space="preserve">TH-05</t>
  </si>
  <si>
    <t xml:space="preserve">MIP</t>
  </si>
  <si>
    <t xml:space="preserve">DUMMY-aanvulling: parent_thema_id</t>
  </si>
  <si>
    <t xml:space="preserve">9d83abb2-c1a8-5d8e-9773-1bb01eedb2b5</t>
  </si>
  <si>
    <t xml:space="preserve">exploitatie</t>
  </si>
  <si>
    <t xml:space="preserve">4633f308-1200-5ae5-bbe5-9d28f29abbf1</t>
  </si>
  <si>
    <t xml:space="preserve">kostprijsdekkende huur</t>
  </si>
  <si>
    <t xml:space="preserve">e1ad742d-7ef3-5e44-ac03-70110ec150d0</t>
  </si>
  <si>
    <t xml:space="preserve">BTW en fiscaliteit</t>
  </si>
  <si>
    <t xml:space="preserve">55604a17-c234-5a0c-bb2a-e06d5c028f49</t>
  </si>
  <si>
    <t xml:space="preserve">reserves</t>
  </si>
  <si>
    <t xml:space="preserve">34756948-4e30-56db-85f6-aa4a12a42a1a</t>
  </si>
  <si>
    <t xml:space="preserve">TH-10</t>
  </si>
  <si>
    <t xml:space="preserve">voorzieningen</t>
  </si>
  <si>
    <t xml:space="preserve">b71abfe9-ae17-53c9-b7f8-fa5d984095a7</t>
  </si>
  <si>
    <t xml:space="preserve">TH-11</t>
  </si>
  <si>
    <t xml:space="preserve">afschrijving</t>
  </si>
  <si>
    <t xml:space="preserve">98cbc02f-d8b5-571e-bc56-acbc5e81dde8</t>
  </si>
  <si>
    <t xml:space="preserve">TH-12</t>
  </si>
  <si>
    <t xml:space="preserve">circulaire restwaarde</t>
  </si>
  <si>
    <t xml:space="preserve">7414ab79-8980-53f2-aaeb-c620ed8f7ca7</t>
  </si>
  <si>
    <t xml:space="preserve">maatschappelijke kosten en baten</t>
  </si>
  <si>
    <t xml:space="preserve">5125fa67-e38d-5fc9-a8e5-bad9e2ca6fdc</t>
  </si>
  <si>
    <t xml:space="preserve">financieringsconstructies</t>
  </si>
  <si>
    <t xml:space="preserve">582b5230-9708-5380-af6e-83606ac74dbc</t>
  </si>
  <si>
    <t xml:space="preserve">TH-15</t>
  </si>
  <si>
    <t xml:space="preserve">leningen</t>
  </si>
  <si>
    <t xml:space="preserve">3ce9196c-22fe-5742-87b4-bf16d2e6434c</t>
  </si>
  <si>
    <t xml:space="preserve">TH-16</t>
  </si>
  <si>
    <t xml:space="preserve">borgstellingen en waarborgfondsen</t>
  </si>
  <si>
    <t xml:space="preserve">c665d8e6-87aa-5f60-a722-c2042d12816f</t>
  </si>
  <si>
    <t xml:space="preserve">investeringsafweging</t>
  </si>
  <si>
    <t xml:space="preserve">87d8ebdf-26d1-5165-b2cc-5c840763391f</t>
  </si>
  <si>
    <t xml:space="preserve">TH-18</t>
  </si>
  <si>
    <t xml:space="preserve">voorzieningenbeleid</t>
  </si>
  <si>
    <t xml:space="preserve">94318e78-8bc1-5314-89ce-fcb4e7c6083d</t>
  </si>
  <si>
    <t xml:space="preserve">TH-19</t>
  </si>
  <si>
    <t xml:space="preserve">monitoring en verantwoording</t>
  </si>
  <si>
    <t xml:space="preserve">c426e4c2-8f2f-5cae-b57a-a85c790e25eb</t>
  </si>
  <si>
    <t xml:space="preserve">IB-01</t>
  </si>
  <si>
    <t xml:space="preserve">Beleidskaders en ambities</t>
  </si>
  <si>
    <t xml:space="preserve">IT-02</t>
  </si>
  <si>
    <t xml:space="preserve">Is beleidskaders en ambities beschikbaar, actueel en in een bruikbare vorm?</t>
  </si>
  <si>
    <t xml:space="preserve">Excel of dashboard</t>
  </si>
  <si>
    <t xml:space="preserve">Maximaal 12 maanden oud</t>
  </si>
  <si>
    <t xml:space="preserve">69cfe2f0-7416-54cd-afed-8df20cb1b519</t>
  </si>
  <si>
    <t xml:space="preserve">IB-02</t>
  </si>
  <si>
    <t xml:space="preserve">Portefeuilleoverzicht met objecten</t>
  </si>
  <si>
    <t xml:space="preserve">IT-03</t>
  </si>
  <si>
    <t xml:space="preserve">Is portefeuilleoverzicht met objecten beschikbaar, actueel en in een bruikbare vorm?</t>
  </si>
  <si>
    <t xml:space="preserve">113a43c1-1aa9-59eb-849b-80d9342eb5c7</t>
  </si>
  <si>
    <t xml:space="preserve">IB-03</t>
  </si>
  <si>
    <t xml:space="preserve">Technische staat en onderhoudsopgave per object</t>
  </si>
  <si>
    <t xml:space="preserve">IT-05</t>
  </si>
  <si>
    <t xml:space="preserve">Is technische staat en onderhoudsopgave per object beschikbaar, actueel en in een bruikbare vorm?</t>
  </si>
  <si>
    <t xml:space="preserve">per object</t>
  </si>
  <si>
    <t xml:space="preserve">407aefc8-401d-54af-a469-22ba1dc63319</t>
  </si>
  <si>
    <t xml:space="preserve">IB-04</t>
  </si>
  <si>
    <t xml:space="preserve">Meerjarenonderhoudsplanning (MJOP)</t>
  </si>
  <si>
    <t xml:space="preserve">IT-06</t>
  </si>
  <si>
    <t xml:space="preserve">Is meerjarenonderhoudsplanning (MJOP) beschikbaar, actueel en in een bruikbare vorm?</t>
  </si>
  <si>
    <t xml:space="preserve">d6439a52-2a51-554e-bb14-946385063c80</t>
  </si>
  <si>
    <t xml:space="preserve">IB-05</t>
  </si>
  <si>
    <t xml:space="preserve">Energielabels en verbruiksgegevens</t>
  </si>
  <si>
    <t xml:space="preserve">IT-07</t>
  </si>
  <si>
    <t xml:space="preserve">Is energielabels en verbruiksgegevens beschikbaar, actueel en in een bruikbare vorm?</t>
  </si>
  <si>
    <t xml:space="preserve">e774ed8a-7657-54fc-ad5c-c07f5bd2182b</t>
  </si>
  <si>
    <t xml:space="preserve">IB-06</t>
  </si>
  <si>
    <t xml:space="preserve">Investeringsramingen per variant</t>
  </si>
  <si>
    <t xml:space="preserve">IT-08</t>
  </si>
  <si>
    <t xml:space="preserve">Is investeringsramingen per variant beschikbaar, actueel en in een bruikbare vorm?</t>
  </si>
  <si>
    <t xml:space="preserve">dc86d818-49f5-58b9-9452-a8b85c8aad1d</t>
  </si>
  <si>
    <t xml:space="preserve">IB-07</t>
  </si>
  <si>
    <t xml:space="preserve">Exploitatiebegroting en huurinkomsten</t>
  </si>
  <si>
    <t xml:space="preserve">IT-09</t>
  </si>
  <si>
    <t xml:space="preserve">Is exploitatiebegroting en huurinkomsten beschikbaar, actueel en in een bruikbare vorm?</t>
  </si>
  <si>
    <t xml:space="preserve">221ef3bb-85f3-58a6-87ef-fd4e6a0041a4</t>
  </si>
  <si>
    <t xml:space="preserve">IB-08</t>
  </si>
  <si>
    <t xml:space="preserve">Beschikbare begrotings- en MIP-ruimte</t>
  </si>
  <si>
    <t xml:space="preserve">IT-10</t>
  </si>
  <si>
    <t xml:space="preserve">Is beschikbare begrotings- en MIP-ruimte beschikbaar, actueel en in een bruikbare vorm?</t>
  </si>
  <si>
    <t xml:space="preserve">d54beaa9-436c-57f6-9026-162f75105efe</t>
  </si>
  <si>
    <t xml:space="preserve">IB-09</t>
  </si>
  <si>
    <t xml:space="preserve">Boekwaarde en afschrijvingstermijnen</t>
  </si>
  <si>
    <t xml:space="preserve">IT-11</t>
  </si>
  <si>
    <t xml:space="preserve">Is boekwaarde en afschrijvingstermijnen beschikbaar, actueel en in een bruikbare vorm?</t>
  </si>
  <si>
    <t xml:space="preserve">62491782-ff70-5eab-a686-d5cf5277cb5d</t>
  </si>
  <si>
    <t xml:space="preserve">IB-10</t>
  </si>
  <si>
    <t xml:space="preserve">BTW- en fiscale positie</t>
  </si>
  <si>
    <t xml:space="preserve">IT-12</t>
  </si>
  <si>
    <t xml:space="preserve">Is bTW- en fiscale positie beschikbaar, actueel en in een bruikbare vorm?</t>
  </si>
  <si>
    <t xml:space="preserve">68e2d9bf-43b9-585f-8014-8cea232ef7a6</t>
  </si>
  <si>
    <t xml:space="preserve">IB-11</t>
  </si>
  <si>
    <t xml:space="preserve">Eigendoms-, huur- en subsidieafspraken</t>
  </si>
  <si>
    <t xml:space="preserve">IT-13</t>
  </si>
  <si>
    <t xml:space="preserve">Is eigendoms-, huur- en subsidieafspraken beschikbaar, actueel en in een bruikbare vorm?</t>
  </si>
  <si>
    <t xml:space="preserve">9c52e1ad-5c08-5975-97c1-b3b714b74d5c</t>
  </si>
  <si>
    <t xml:space="preserve">IB-12</t>
  </si>
  <si>
    <t xml:space="preserve">Risico's en onzekerheden per variant</t>
  </si>
  <si>
    <t xml:space="preserve">IT-14</t>
  </si>
  <si>
    <t xml:space="preserve">Is risico's en onzekerheden per variant beschikbaar, actueel en in een bruikbare vorm?</t>
  </si>
  <si>
    <t xml:space="preserve">f3692562-2a98-5fcf-a4a5-7c2614da759d</t>
  </si>
  <si>
    <t xml:space="preserve">IB-13</t>
  </si>
  <si>
    <t xml:space="preserve">Maatschappelijk effect en gebruik</t>
  </si>
  <si>
    <t xml:space="preserve">IT-15</t>
  </si>
  <si>
    <t xml:space="preserve">Is maatschappelijk effect en gebruik beschikbaar, actueel en in een bruikbare vorm?</t>
  </si>
  <si>
    <t xml:space="preserve">18be5221-076c-5d30-9c76-fc323b98cc19</t>
  </si>
  <si>
    <t xml:space="preserve">IB-14</t>
  </si>
  <si>
    <t xml:space="preserve">Bestuurlijke beslisinformatie</t>
  </si>
  <si>
    <t xml:space="preserve">IT-16</t>
  </si>
  <si>
    <t xml:space="preserve">Is bestuurlijke beslisinformatie beschikbaar, actueel en in een bruikbare vorm?</t>
  </si>
  <si>
    <t xml:space="preserve">877a2b26-7ef3-50e0-8a3b-972e68bc2334</t>
  </si>
  <si>
    <t xml:space="preserve">IB-15</t>
  </si>
  <si>
    <t xml:space="preserve">IT-17</t>
  </si>
  <si>
    <t xml:space="preserve">Is voortgangs- en prestatiegegevens beschikbaar, actueel en in een bruikbare vorm?</t>
  </si>
  <si>
    <t xml:space="preserve">2e734fbb-1bd3-5749-8643-5312029c1559</t>
  </si>
  <si>
    <t xml:space="preserve">IT-01</t>
  </si>
  <si>
    <t xml:space="preserve">basiskennis</t>
  </si>
  <si>
    <t xml:space="preserve">1f36d831-4d6c-5bc5-b44e-fb7722098845</t>
  </si>
  <si>
    <t xml:space="preserve">beleidsinformatie</t>
  </si>
  <si>
    <t xml:space="preserve">d81b30a5-1531-5510-a91c-89a67b055d13</t>
  </si>
  <si>
    <t xml:space="preserve">portefeuilledata</t>
  </si>
  <si>
    <t xml:space="preserve">06afb507-a9e5-5652-9e06-ca3950a55988</t>
  </si>
  <si>
    <t xml:space="preserve">IT-04</t>
  </si>
  <si>
    <t xml:space="preserve">objectdata</t>
  </si>
  <si>
    <t xml:space="preserve">704464f8-0341-5bb0-9912-0702f1d3e335</t>
  </si>
  <si>
    <t xml:space="preserve">technische informatie</t>
  </si>
  <si>
    <t xml:space="preserve">ee764348-48c6-5d06-88be-24aa6b287f15</t>
  </si>
  <si>
    <t xml:space="preserve">onderhoudsinformatie</t>
  </si>
  <si>
    <t xml:space="preserve">f48bc6b3-0a37-5e05-abf0-d1ff0ad57ecb</t>
  </si>
  <si>
    <t xml:space="preserve">energie- en prestatiegegevens</t>
  </si>
  <si>
    <t xml:space="preserve">98c7aa97-82ea-5cdd-917b-56d40a20e1b4</t>
  </si>
  <si>
    <t xml:space="preserve">investeringskosten</t>
  </si>
  <si>
    <t xml:space="preserve">08866568-b381-5d1c-9c51-b54d22fe2304</t>
  </si>
  <si>
    <t xml:space="preserve">exploitatiegegevens</t>
  </si>
  <si>
    <t xml:space="preserve">0f1272d9-ebd4-56ae-b9a0-5eec21f652cb</t>
  </si>
  <si>
    <t xml:space="preserve">begrotingsinformatie</t>
  </si>
  <si>
    <t xml:space="preserve">b978c8ec-9dcf-5a85-9521-dfa1dd2b57a4</t>
  </si>
  <si>
    <t xml:space="preserve">boekhoudkundige informatie</t>
  </si>
  <si>
    <t xml:space="preserve">358d3dc4-e8a6-5930-8ea3-9564385e81bd</t>
  </si>
  <si>
    <t xml:space="preserve">fiscale informatie</t>
  </si>
  <si>
    <t xml:space="preserve">96c0c22e-40dc-5161-8252-12ad9c8aad51</t>
  </si>
  <si>
    <t xml:space="preserve">juridische informatie</t>
  </si>
  <si>
    <t xml:space="preserve">d318921c-98eb-5dfa-90df-a688038fbb07</t>
  </si>
  <si>
    <t xml:space="preserve">risico-informatie</t>
  </si>
  <si>
    <t xml:space="preserve">ac765120-a435-51e1-a5d6-eb09fc758ad3</t>
  </si>
  <si>
    <t xml:space="preserve">maatschappelijke effecten</t>
  </si>
  <si>
    <t xml:space="preserve">ffa40441-654a-537d-8b01-a0f5bddce0bd</t>
  </si>
  <si>
    <t xml:space="preserve">bestuurlijke beslisinformatie</t>
  </si>
  <si>
    <t xml:space="preserve">2da9cdb9-9e80-5c21-9a27-1b0bd0fc1de5</t>
  </si>
  <si>
    <t xml:space="preserve">monitoringsinformatie</t>
  </si>
  <si>
    <t xml:space="preserve">fbe1ec78-8075-5d8b-a703-eff9354bbfe5</t>
  </si>
  <si>
    <t xml:space="preserve">IT-18</t>
  </si>
  <si>
    <t xml:space="preserve">verantwoordingsinformatie</t>
  </si>
  <si>
    <t xml:space="preserve">7b6f49bb-e435-549f-a1c0-40d1497e1026</t>
  </si>
  <si>
    <t xml:space="preserve">BP-01</t>
  </si>
  <si>
    <t xml:space="preserve">portefeuilleanalyse</t>
  </si>
  <si>
    <t xml:space="preserve">analyse</t>
  </si>
  <si>
    <t xml:space="preserve">I-025</t>
  </si>
  <si>
    <t xml:space="preserve">DUMMY-aanvulling: is_formeel_document, producttype, template_instrument_id</t>
  </si>
  <si>
    <t xml:space="preserve">9218c2c9-9a21-5ec4-ab33-ef6d01069893</t>
  </si>
  <si>
    <t xml:space="preserve">BP-02</t>
  </si>
  <si>
    <t xml:space="preserve">prioriteitenlijst</t>
  </si>
  <si>
    <t xml:space="preserve">DUMMY-aanvulling: is_formeel_document, producttype</t>
  </si>
  <si>
    <t xml:space="preserve">a49d11f9-9a55-5edc-a8e4-84974bda69c0</t>
  </si>
  <si>
    <t xml:space="preserve">BP-03</t>
  </si>
  <si>
    <t xml:space="preserve">scenariovergelijking</t>
  </si>
  <si>
    <t xml:space="preserve">I-024</t>
  </si>
  <si>
    <t xml:space="preserve">d2424690-1901-536d-a059-42f3dc9feeb5</t>
  </si>
  <si>
    <t xml:space="preserve">BP-04</t>
  </si>
  <si>
    <t xml:space="preserve">businesscase</t>
  </si>
  <si>
    <t xml:space="preserve">I-040</t>
  </si>
  <si>
    <t xml:space="preserve">5ce7020c-b609-5c41-8211-547aa620e2fe</t>
  </si>
  <si>
    <t xml:space="preserve">BP-05</t>
  </si>
  <si>
    <t xml:space="preserve">investeringsvoorstel</t>
  </si>
  <si>
    <t xml:space="preserve">voorstel</t>
  </si>
  <si>
    <t xml:space="preserve">2abdd2f5-8cec-56b1-b829-81805ae6e7ac</t>
  </si>
  <si>
    <t xml:space="preserve">BP-06</t>
  </si>
  <si>
    <t xml:space="preserve">collegevoorstel</t>
  </si>
  <si>
    <t xml:space="preserve">36b71e88-d66a-574b-971d-9360e1559a83</t>
  </si>
  <si>
    <t xml:space="preserve">BP-07</t>
  </si>
  <si>
    <t xml:space="preserve">raadsvoorstel</t>
  </si>
  <si>
    <t xml:space="preserve">ae123b2a-27ff-592f-9838-6d4ac70165b5</t>
  </si>
  <si>
    <t xml:space="preserve">BP-08</t>
  </si>
  <si>
    <t xml:space="preserve">kredietaanvraag</t>
  </si>
  <si>
    <t xml:space="preserve">977b9844-4b4d-504d-8bc9-4065447f2d03</t>
  </si>
  <si>
    <t xml:space="preserve">BP-09</t>
  </si>
  <si>
    <t xml:space="preserve">projectopdracht</t>
  </si>
  <si>
    <t xml:space="preserve">opdracht</t>
  </si>
  <si>
    <t xml:space="preserve">302f2512-d6c5-53fe-ab8b-83ab19eeece1</t>
  </si>
  <si>
    <t xml:space="preserve">BP-10</t>
  </si>
  <si>
    <t xml:space="preserve">exploitatiebegroting</t>
  </si>
  <si>
    <t xml:space="preserve">a37b7cd3-2463-5558-8123-b02eb50bac76</t>
  </si>
  <si>
    <t xml:space="preserve">BP-11</t>
  </si>
  <si>
    <t xml:space="preserve">subsidieaanvraag</t>
  </si>
  <si>
    <t xml:space="preserve">aanvraag</t>
  </si>
  <si>
    <t xml:space="preserve">c4326e6e-58ba-5c57-b87d-a35bf98a973e</t>
  </si>
  <si>
    <t xml:space="preserve">BP-12</t>
  </si>
  <si>
    <t xml:space="preserve">aanbestedingsstrategie</t>
  </si>
  <si>
    <t xml:space="preserve">strategie</t>
  </si>
  <si>
    <t xml:space="preserve">95c6da25-ad1d-5096-8857-021194acf1db</t>
  </si>
  <si>
    <t xml:space="preserve">BP-13</t>
  </si>
  <si>
    <t xml:space="preserve">opleverdossier</t>
  </si>
  <si>
    <t xml:space="preserve">dossier</t>
  </si>
  <si>
    <t xml:space="preserve">d98eb67a-ff6f-5a99-be15-8b9f0a53498d</t>
  </si>
  <si>
    <t xml:space="preserve">BP-14</t>
  </si>
  <si>
    <t xml:space="preserve">monitoringsrapportage</t>
  </si>
  <si>
    <t xml:space="preserve">rapportage</t>
  </si>
  <si>
    <t xml:space="preserve">I-029</t>
  </si>
  <si>
    <t xml:space="preserve">3220ef3d-e7a8-58b4-8265-d9d78c0a382e</t>
  </si>
  <si>
    <t xml:space="preserve">BP-15</t>
  </si>
  <si>
    <t xml:space="preserve">herijkingsvoorstel</t>
  </si>
  <si>
    <t xml:space="preserve">4528d86c-8fba-5bf7-b849-ad0e392e65ff</t>
  </si>
  <si>
    <t xml:space="preserve">HP-01</t>
  </si>
  <si>
    <t xml:space="preserve">Maak de kosten van niets doen zichtbaar</t>
  </si>
  <si>
    <t xml:space="preserve">Reken door wat uitstel kost aan onderhoud, energie en leegstand.</t>
  </si>
  <si>
    <t xml:space="preserve">Stel een nulmeting op met de kosten van niets doen per object.</t>
  </si>
  <si>
    <t xml:space="preserve">Een startpunt waar varianten mee worden vergeleken</t>
  </si>
  <si>
    <t xml:space="preserve">Gebruik actuele onderhoudsdata; verouderde data vertekent het beeld.</t>
  </si>
  <si>
    <t xml:space="preserve">6505fcb6-23d3-594f-92ac-02bf33e69423</t>
  </si>
  <si>
    <t xml:space="preserve">HP-02</t>
  </si>
  <si>
    <t xml:space="preserve">Stel prioriteiten met een vaste afwegingsmethode</t>
  </si>
  <si>
    <t xml:space="preserve">Kies vooraf de criteria waarmee objecten worden gerangschikt.</t>
  </si>
  <si>
    <t xml:space="preserve">Leg afwegingscriteria vast en pas ze toe op alle objecten.</t>
  </si>
  <si>
    <t xml:space="preserve">Een uitlegbare prioriteitenlijst</t>
  </si>
  <si>
    <t xml:space="preserve">Wijzig criteria niet achteraf om een uitkomst te sturen.</t>
  </si>
  <si>
    <t xml:space="preserve">0d0391d3-4667-5288-b9ea-3c32cf8aa086</t>
  </si>
  <si>
    <t xml:space="preserve">HP-03</t>
  </si>
  <si>
    <t xml:space="preserve">Reken varianten door op levensduurkosten</t>
  </si>
  <si>
    <t xml:space="preserve">Vergelijk varianten op totale kosten over de levensduur, niet alleen op investering.</t>
  </si>
  <si>
    <t xml:space="preserve">Maak een TCO-vergelijking van minimaal drie varianten.</t>
  </si>
  <si>
    <t xml:space="preserve">Een financieel vergelijkbare scenariovergelijking</t>
  </si>
  <si>
    <t xml:space="preserve">Neem onderhoud en energie mee in de exploitatie.</t>
  </si>
  <si>
    <t xml:space="preserve">ec5208b3-97d2-5253-8675-626942112705</t>
  </si>
  <si>
    <t xml:space="preserve">HP-04</t>
  </si>
  <si>
    <t xml:space="preserve">Zoek dekking in subsidies en leningen vóór reservering</t>
  </si>
  <si>
    <t xml:space="preserve">Inventariseer wat extern beschikbaar is voordat eigen middelen worden gereserveerd.</t>
  </si>
  <si>
    <t xml:space="preserve">Controleer subsidies, fondsen en leningen die voor dit object gelden.</t>
  </si>
  <si>
    <t xml:space="preserve">Een dekkingsplan met externe middelen</t>
  </si>
  <si>
    <t xml:space="preserve">Let op stapelbaarheid en deadlines van rondes.</t>
  </si>
  <si>
    <t xml:space="preserve">add457f6-7bb7-5347-b697-fd96abd9b252</t>
  </si>
  <si>
    <t xml:space="preserve">HP-05</t>
  </si>
  <si>
    <t xml:space="preserve">Leg structurele dekking van kapitaallasten vast</t>
  </si>
  <si>
    <t xml:space="preserve">Zorg dat de jaarlijkse lasten na de investering gedekt zijn.</t>
  </si>
  <si>
    <t xml:space="preserve">Regel dekking via begroting, huur of reserve voordat het krediet wordt aangevraagd.</t>
  </si>
  <si>
    <t xml:space="preserve">Een sluitende meerjarenbegroting</t>
  </si>
  <si>
    <t xml:space="preserve">Een financierbaar plan is niet automatisch begrotingshaalbaar.</t>
  </si>
  <si>
    <t xml:space="preserve">42b94ed9-40b6-5c22-be7b-087e044e669d</t>
  </si>
  <si>
    <t xml:space="preserve">HP-06</t>
  </si>
  <si>
    <t xml:space="preserve">Controleer BTW- en fiscale gevolgen voor het besluit</t>
  </si>
  <si>
    <t xml:space="preserve">Fiscale gevolgen veranderen de businesscase.</t>
  </si>
  <si>
    <t xml:space="preserve">Laat een fiscaal adviseur de BTW-positie toetsen.</t>
  </si>
  <si>
    <t xml:space="preserve">Een fiscaal getoetste businesscase</t>
  </si>
  <si>
    <t xml:space="preserve">Late fiscale uitkomsten leiden tot herziening van het besluit.</t>
  </si>
  <si>
    <t xml:space="preserve">63e7f245-3d74-5feb-83e1-77c4f3926652</t>
  </si>
  <si>
    <t xml:space="preserve">HP-07</t>
  </si>
  <si>
    <t xml:space="preserve">Bundel kleine projecten tot een programma</t>
  </si>
  <si>
    <t xml:space="preserve">Schaalvoordeel bij inkoop en financiering.</t>
  </si>
  <si>
    <t xml:space="preserve">Groepeer vergelijkbare projecten en bepaal een gezamenlijke inkoopstrategie.</t>
  </si>
  <si>
    <t xml:space="preserve">Lagere kosten per project</t>
  </si>
  <si>
    <t xml:space="preserve">Bundelen vraagt eerst een gedeeld programma van eisen.</t>
  </si>
  <si>
    <t xml:space="preserve">fae6e7cd-cb01-5232-a972-edfdbeb121fd</t>
  </si>
  <si>
    <t xml:space="preserve">HP-08</t>
  </si>
  <si>
    <t xml:space="preserve">Organiseer huurafspraken met gebruikers</t>
  </si>
  <si>
    <t xml:space="preserve">Kosten en baten komen vaak bij verschillende partijen terecht.</t>
  </si>
  <si>
    <t xml:space="preserve">Maak afspraken over huur, onderhoud en energie met de gebruiker.</t>
  </si>
  <si>
    <t xml:space="preserve">Een sluitende verdeling van kosten en baten</t>
  </si>
  <si>
    <t xml:space="preserve">Split incentive: een positieve businesscase kan per partij negatief zijn.</t>
  </si>
  <si>
    <t xml:space="preserve">1c9cea93-9ba3-5584-acbe-3364df2eeae3</t>
  </si>
  <si>
    <t xml:space="preserve">HP-09</t>
  </si>
  <si>
    <t xml:space="preserve">Maak monitoring onderdeel van het besluit</t>
  </si>
  <si>
    <t xml:space="preserve">Leg vooraf vast hoe prestaties worden gevolgd.</t>
  </si>
  <si>
    <t xml:space="preserve">Voeg indicatoren en een meetmoment toe aan het besluit.</t>
  </si>
  <si>
    <t xml:space="preserve">Een besluit dat later toetsbaar is</t>
  </si>
  <si>
    <t xml:space="preserve">Zonder meetmoment verdwijnt monitoring uit beeld.</t>
  </si>
  <si>
    <t xml:space="preserve">23db3bc7-a89d-5bc5-8a8f-198dc493221f</t>
  </si>
  <si>
    <t xml:space="preserve">HP-10</t>
  </si>
  <si>
    <t xml:space="preserve">Vraag ontzorging aan voor kleine eigenaren</t>
  </si>
  <si>
    <t xml:space="preserve">Kleine eigenaren missen vaak capaciteit.</t>
  </si>
  <si>
    <t xml:space="preserve">Verwijs naar een ontzorgingsprogramma of adviseur.</t>
  </si>
  <si>
    <t xml:space="preserve">Een uitvoerbaar plan voor kleine eigenaren</t>
  </si>
  <si>
    <t xml:space="preserve">Ontzorging is niet altijd gratis of landelijk beschikbaar.</t>
  </si>
  <si>
    <t xml:space="preserve">8ee518c2-b99b-5bb5-acf7-4fa4586b3c0e</t>
  </si>
  <si>
    <t xml:space="preserve">K-01</t>
  </si>
  <si>
    <t xml:space="preserve">Onderhoudsdata ontbreekt of is verouderd</t>
  </si>
  <si>
    <t xml:space="preserve">Objectgegevens zijn niet actueel of niet digitaal beschikbaar.</t>
  </si>
  <si>
    <t xml:space="preserve">vaak</t>
  </si>
  <si>
    <t xml:space="preserve">f1f7f852-a1d2-5c91-8da9-cbb53f24eaf8</t>
  </si>
  <si>
    <t xml:space="preserve">K-02</t>
  </si>
  <si>
    <t xml:space="preserve">Onduidelijk wie eigenaar is van de businesscase</t>
  </si>
  <si>
    <t xml:space="preserve">Vastgoed, financiën en beleid wijzen naar elkaar.</t>
  </si>
  <si>
    <t xml:space="preserve">soms</t>
  </si>
  <si>
    <t xml:space="preserve">werksessie</t>
  </si>
  <si>
    <t xml:space="preserve">505677e2-9bab-5324-9553-ec7d50f84294</t>
  </si>
  <si>
    <t xml:space="preserve">K-03</t>
  </si>
  <si>
    <t xml:space="preserve">Informatie loopt vast tussen vastgoed en financiën</t>
  </si>
  <si>
    <t xml:space="preserve">Ramingen en exploitatiedata komen laat of in een ander formaat.</t>
  </si>
  <si>
    <t xml:space="preserve">f13a04cc-e076-5412-b5c2-41e3666861d4</t>
  </si>
  <si>
    <t xml:space="preserve">K-04</t>
  </si>
  <si>
    <t xml:space="preserve">Geen instrument voor structurele dekking</t>
  </si>
  <si>
    <t xml:space="preserve">Er zijn subsidies en leningen maar weinig middelen voor kapitaallasten.</t>
  </si>
  <si>
    <t xml:space="preserve">documentanalyse</t>
  </si>
  <si>
    <t xml:space="preserve">8ee061b9-cf0e-5d3e-b928-e6155dad7b7b</t>
  </si>
  <si>
    <t xml:space="preserve">K-05</t>
  </si>
  <si>
    <t xml:space="preserve">Te weinig capaciteit voor subsidieaanvragen</t>
  </si>
  <si>
    <t xml:space="preserve">Kleine eigenaren kunnen aanvragen niet bijhouden.</t>
  </si>
  <si>
    <t xml:space="preserve">b497cd72-feb0-5a85-8efd-2d2318722f6d</t>
  </si>
  <si>
    <t xml:space="preserve">K-06</t>
  </si>
  <si>
    <t xml:space="preserve">Beslismoment valt buiten de P&amp;C-cyclus</t>
  </si>
  <si>
    <t xml:space="preserve">Het besluit komt te laat voor kadernota of begroting.</t>
  </si>
  <si>
    <t xml:space="preserve">477fcc7d-0ab9-5416-971c-8ac7e6688ac4</t>
  </si>
  <si>
    <t xml:space="preserve">K-07</t>
  </si>
  <si>
    <t xml:space="preserve">BTW-gevolgen pas laat bekend</t>
  </si>
  <si>
    <t xml:space="preserve">Fiscale toets vindt pas na het voorkeursbesluit plaats.</t>
  </si>
  <si>
    <t xml:space="preserve">096e0851-6da5-591f-8a64-74bd0497c108</t>
  </si>
  <si>
    <t xml:space="preserve">K-08</t>
  </si>
  <si>
    <t xml:space="preserve">Lokaal mandaat verschilt per gemeente</t>
  </si>
  <si>
    <t xml:space="preserve">Wie waarover mag besluiten verschilt per gemeente.</t>
  </si>
  <si>
    <t xml:space="preserve">89ff24fd-4560-5532-8d54-cc0c26f0fe16</t>
  </si>
  <si>
    <t xml:space="preserve">Voor de ambtelijke toets</t>
  </si>
  <si>
    <t xml:space="preserve">Excel of PDF</t>
  </si>
  <si>
    <t xml:space="preserve">Actueel en gecontroleerd door afzender</t>
  </si>
  <si>
    <t xml:space="preserve">Data komt laat of in een ander formaat</t>
  </si>
  <si>
    <t xml:space="preserve">58c3269f-efca-5df5-9218-a0a36231731a</t>
  </si>
  <si>
    <t xml:space="preserve">c6103cd3-8773-554b-b652-da20b2eb63bd</t>
  </si>
  <si>
    <t xml:space="preserve">eaca765e-5620-584d-9f1e-f7b7f678e716</t>
  </si>
  <si>
    <t xml:space="preserve">6e66ea78-9bab-5e10-9827-82e4769754f9</t>
  </si>
  <si>
    <t xml:space="preserve">8e51af6b-2ab2-572d-a0a1-b54037d4882c</t>
  </si>
  <si>
    <t xml:space="preserve">c54af4b7-72bd-5d3c-a6b9-7023b5156d42</t>
  </si>
  <si>
    <t xml:space="preserve">e47f3865-2c16-5cad-9dd4-3fcbbdc5ed9e</t>
  </si>
  <si>
    <t xml:space="preserve">2d08d5cd-22c1-58d2-aee3-8ac6a6bbcc56</t>
  </si>
  <si>
    <t xml:space="preserve">9b01c507-397c-51a7-9876-860a1fcf3414</t>
  </si>
  <si>
    <t xml:space="preserve">63273341-e969-5a62-905d-bbaf6efe5c73</t>
  </si>
  <si>
    <t xml:space="preserve">53917737-f299-5c2a-ad7f-0d6b4221a486</t>
  </si>
  <si>
    <t xml:space="preserve">I-001</t>
  </si>
  <si>
    <t xml:space="preserve">DUMAVA</t>
  </si>
  <si>
    <t xml:space="preserve">Subsidie verduurzaming maatschappelijk vastgoed: 20% bij 1-3 losse maatregelen, 30-40% bij integraal project; ook voor energieadvies en label; aanvragen vóór opdrachtverlening; niet voor wettelijk verplichte maatregelen; stapelbaar tot 100%</t>
  </si>
  <si>
    <t xml:space="preserve">Subsidie verduurzaming maatschappelijk vastgoed: 20% bij 1-3 losse maatregelen, 30-40% bij integraal project; ook voor energieadvies en label; aanvragen vóór opdrachtverlening; niet voor wettelijk verplichte maatregelen; stapelbaar tot 100% Dummy-uitbreiding voor het website-prototype; niet gecontroleerd.</t>
  </si>
  <si>
    <t xml:space="preserve">ITY-01</t>
  </si>
  <si>
    <t xml:space="preserve">Helpt bij: investering voorbereiden</t>
  </si>
  <si>
    <t xml:space="preserve">Projectomschrijving, kosten en eigenaargegevens</t>
  </si>
  <si>
    <t xml:space="preserve">Subsidiebeschikking of toekenning</t>
  </si>
  <si>
    <t xml:space="preserve">Dummy: lees eerst de bron en controleer actuele voorwaarden.</t>
  </si>
  <si>
    <t xml:space="preserve">DV-01</t>
  </si>
  <si>
    <t xml:space="preserve">PS-04</t>
  </si>
  <si>
    <t xml:space="preserve">IS-01</t>
  </si>
  <si>
    <t xml:space="preserve">migratie catalogus v0.1</t>
  </si>
  <si>
    <t xml:space="preserve">Volgorde van binnenkomst; niet met BOSA voor zelfde maatregel; 2026: budget 405 mln (70% integraal, apart plafond scholen), Wgr-lichamen toegelaten, netcongestie-uitzondering (voorbereid op aardgasvrij volstaat), IB/VPB-plichtig uitgesloten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</si>
  <si>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818d28c2-d14a-5098-a016-bdc067bb47f0</t>
  </si>
  <si>
    <t xml:space="preserve">I-002</t>
  </si>
  <si>
    <t xml:space="preserve">ISDE zakelijk</t>
  </si>
  <si>
    <t xml:space="preserve">Investeringssubsidie warmtepompen en zonneboilers voor zakelijke gebruikers en maatschappelijke instellingen</t>
  </si>
  <si>
    <t xml:space="preserve">Investeringssubsidie warmtepompen en zonneboilers voor zakelijke gebruikers en maatschappelijke instellingen Dummy-uitbreiding voor het website-prototype; niet gecontroleerd.</t>
  </si>
  <si>
    <t xml:space="preserve">PS-02</t>
  </si>
  <si>
    <t xml:space="preserve">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</si>
  <si>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40b3f423-9bf0-5393-a4a2-a031d3342a00</t>
  </si>
  <si>
    <t xml:space="preserve">I-003</t>
  </si>
  <si>
    <t xml:space="preserve">SDE++</t>
  </si>
  <si>
    <t xml:space="preserve">Exploitatiesubsidie grootschalige duurzame opwek (m.n. zon op dak)</t>
  </si>
  <si>
    <t xml:space="preserve">Exploitatiesubsidie grootschalige duurzame opwek (m.n. zon op dak) Dummy-uitbreiding voor het website-prototype; niet gecontroleerd.</t>
  </si>
  <si>
    <t xml:space="preserve">Netcongestie meewegen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</si>
  <si>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231b26d3-de95-532a-b596-ea3518b8143c</t>
  </si>
  <si>
    <t xml:space="preserve">I-004</t>
  </si>
  <si>
    <t xml:space="preserve">EIA / MIA-Vamil</t>
  </si>
  <si>
    <t xml:space="preserve">Fiscale aftrek energie- en milieu-investeringen; alleen bij winstbelastingplicht</t>
  </si>
  <si>
    <t xml:space="preserve">Fiscale aftrek energie- en milieu-investeringen; alleen bij winstbelastingplicht Dummy-uitbreiding voor het website-prototype; niet gecontroleerd.</t>
  </si>
  <si>
    <t xml:space="preserve">ITY-05</t>
  </si>
  <si>
    <t xml:space="preserve">Investeringsgegevens en fiscale status</t>
  </si>
  <si>
    <t xml:space="preserve">Fiscaal voordeel in de aangifte</t>
  </si>
  <si>
    <t xml:space="preserve">Niet voor gemeenten/meeste stichtingen; wel exploitatie-BV's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</si>
  <si>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727952b5-e058-5e2e-aa69-59cfda2bb5ed</t>
  </si>
  <si>
    <t xml:space="preserve">I-005</t>
  </si>
  <si>
    <t xml:space="preserve">BOSA</t>
  </si>
  <si>
    <t xml:space="preserve">Subsidie bouw en onderhoud sportaccommodaties voor amateursport; verduurzaming bestaande accommodaties loopt via DUMAVA</t>
  </si>
  <si>
    <t xml:space="preserve">Subsidie bouw en onderhoud sportaccommodaties voor amateursport; verduurzaming bestaande accommodaties loopt via DUMAVA Dummy-uitbreiding voor het website-prototype; niet gecontroleerd.</t>
  </si>
  <si>
    <t xml:space="preserve">Niet combineren met SPUK voor zelfde accommodatie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</si>
  <si>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e5b10513-764f-50b1-a4f5-82461c128590</t>
  </si>
  <si>
    <t xml:space="preserve">I-006</t>
  </si>
  <si>
    <t xml:space="preserve">SPUK stimulering sport</t>
  </si>
  <si>
    <t xml:space="preserve">Specifieke uitkering voor gemeentelijke sportbedrijven (bouw, onderhoud, exploitatie)</t>
  </si>
  <si>
    <t xml:space="preserve">Specifieke uitkering voor gemeentelijke sportbedrijven (bouw, onderhoud, exploitatie) Dummy-uitbreiding voor het website-prototype; niet gecontroleerd.</t>
  </si>
  <si>
    <t xml:space="preserve">Helpt bij: uitvoeringsprogramma opstellen</t>
  </si>
  <si>
    <t xml:space="preserve">PS-01</t>
  </si>
  <si>
    <t xml:space="preserve">IS-02</t>
  </si>
  <si>
    <t xml:space="preserve">Niet samen met BOSA voor zelfde accommodatie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</si>
  <si>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f5e9f9b9-aa10-58ea-b3ad-01cc9943eb4c</t>
  </si>
  <si>
    <t xml:space="preserve">I-007</t>
  </si>
  <si>
    <t xml:space="preserve">SIM</t>
  </si>
  <si>
    <t xml:space="preserve">Instandhoudingssubsidie rijksmonumenten</t>
  </si>
  <si>
    <t xml:space="preserve">Instandhoudingssubsidie rijksmonumenten Dummy-uitbreiding voor het website-prototype; niet gecontroleerd.</t>
  </si>
  <si>
    <t xml:space="preserve">4fa5861c-ba81-5bc2-902a-e95ec8b64e86</t>
  </si>
  <si>
    <t xml:space="preserve">I-008</t>
  </si>
  <si>
    <t xml:space="preserve">Provinciaal ontzorgingsprogramma</t>
  </si>
  <si>
    <t xml:space="preserve">Kosteloos advies en begeleiding voor kleine maatschappelijk vastgoedeigenaren en gemeenten tot 50.000 inwoners; advies bruikbaar als onderlegger DUMAVA</t>
  </si>
  <si>
    <t xml:space="preserve">Kosteloos advies en begeleiding voor kleine maatschappelijk vastgoedeigenaren en gemeenten tot 50.000 inwoners; advies bruikbaar als onderlegger DUMAVA Dummy-uitbreiding voor het website-prototype; niet gecontroleerd.</t>
  </si>
  <si>
    <t xml:space="preserve">ITY-30</t>
  </si>
  <si>
    <t xml:space="preserve">Helpt bij: strategie herijken</t>
  </si>
  <si>
    <t xml:space="preserve">Intake en objectgegevens</t>
  </si>
  <si>
    <t xml:space="preserve">Advies of uitvoeringsondersteuning</t>
  </si>
  <si>
    <t xml:space="preserve">DV-12</t>
  </si>
  <si>
    <t xml:space="preserve">ce057252-d645-5a30-9ed4-db7e0d19c3bc</t>
  </si>
  <si>
    <t xml:space="preserve">I-009</t>
  </si>
  <si>
    <t xml:space="preserve">BNG reguliere financiering</t>
  </si>
  <si>
    <t xml:space="preserve">Leningen aan decentrale overheden en instellingen, gekoppeld aan SDG's 3, 4, 7 en 11</t>
  </si>
  <si>
    <t xml:space="preserve">Leningen aan decentrale overheden en instellingen, gekoppeld aan SDG's 3, 4, 7 en 11 Dummy-uitbreiding voor het website-prototype; niet gecontroleerd.</t>
  </si>
  <si>
    <t xml:space="preserve">ITY-02</t>
  </si>
  <si>
    <t xml:space="preserve">Investeringsbedrag, kasstroom en zekerheden</t>
  </si>
  <si>
    <t xml:space="preserve">Financieringsaanbod</t>
  </si>
  <si>
    <t xml:space="preserve">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</si>
  <si>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1e7453cb-3224-5cdf-8983-7a9ee90539a4</t>
  </si>
  <si>
    <t xml:space="preserve">I-010</t>
  </si>
  <si>
    <t xml:space="preserve">BNG Duurzaamheidsfonds</t>
  </si>
  <si>
    <t xml:space="preserve">Leningen aan zakelijke initiatiefnemers voor projecten die bijdragen aan gemeentelijke duurzaamheidsdoelen</t>
  </si>
  <si>
    <t xml:space="preserve">Leningen aan zakelijke initiatiefnemers voor projecten die bijdragen aan gemeentelijke duurzaamheidsdoelen Dummy-uitbreiding voor het website-prototype; niet gecontroleerd.</t>
  </si>
  <si>
    <t xml:space="preserve">2f69cd32-7644-5cb8-b94c-9c1073af6913</t>
  </si>
  <si>
    <t xml:space="preserve">I-011</t>
  </si>
  <si>
    <t xml:space="preserve">BNG Maatschappelijk Vastgoed Scan</t>
  </si>
  <si>
    <t xml:space="preserve">Scan van gemeentelijk vastgoed: labels, maatregelen per gebouw, investering, terugverdientijd, CO2-reductie</t>
  </si>
  <si>
    <t xml:space="preserve">Scan van gemeentelijk vastgoed: labels, maatregelen per gebouw, investering, terugverdientijd, CO2-reductie Dummy-uitbreiding voor het website-prototype; niet gecontroleerd.</t>
  </si>
  <si>
    <t xml:space="preserve">ITY-15</t>
  </si>
  <si>
    <t xml:space="preserve">Helpt bij: verduurzamingsopgave bepalen</t>
  </si>
  <si>
    <t xml:space="preserve">Basisgegevens object</t>
  </si>
  <si>
    <t xml:space="preserve">Indicatief resultaat na invoer</t>
  </si>
  <si>
    <t xml:space="preserve">DV-08</t>
  </si>
  <si>
    <t xml:space="preserve">7671e620-9ee5-5684-be49-fe448ee0cdf3</t>
  </si>
  <si>
    <t xml:space="preserve">I-012</t>
  </si>
  <si>
    <t xml:space="preserve">Waarborgfonds Sport (SWS)</t>
  </si>
  <si>
    <t xml:space="preserve">Borgstelling voor leningen van sportverenigingen</t>
  </si>
  <si>
    <t xml:space="preserve">Borgstelling voor leningen van sportverenigingen Dummy-uitbreiding voor het website-prototype; niet gecontroleerd.</t>
  </si>
  <si>
    <t xml:space="preserve">ITY-03</t>
  </si>
  <si>
    <t xml:space="preserve">Financieringsaanvraag en jaarcijfers</t>
  </si>
  <si>
    <t xml:space="preserve">Borgstelling of garantie</t>
  </si>
  <si>
    <t xml:space="preserve">03f4c6c0-2d20-5c4e-8a9f-407c43a5d1fb</t>
  </si>
  <si>
    <t xml:space="preserve">I-013</t>
  </si>
  <si>
    <t xml:space="preserve">ESCo / energieprestatiecontract (EPC)</t>
  </si>
  <si>
    <t xml:space="preserve">Derde partij investeert, onderhoudt en garandeert energiebesparing; ontzorgt maar contractueel complex (6 bekende nadelen + mitigaties in handreiking 2022)</t>
  </si>
  <si>
    <t xml:space="preserve">Derde partij investeert, onderhoudt en garandeert energiebesparing; ontzorgt maar contractueel complex (6 bekende nadelen + mitigaties in handreiking 2022) Dummy-uitbreiding voor het website-prototype; niet gecontroleerd.</t>
  </si>
  <si>
    <t xml:space="preserve">ITY-12</t>
  </si>
  <si>
    <t xml:space="preserve">Programma van eisen en risicoverdeling</t>
  </si>
  <si>
    <t xml:space="preserve">Contract met uitvoerder of financier</t>
  </si>
  <si>
    <t xml:space="preserve">DV-04</t>
  </si>
  <si>
    <t xml:space="preserve">Voorbeeld Gooise Meren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</si>
  <si>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d1f2b57e-80a1-565a-ba25-df33dc9a58a6</t>
  </si>
  <si>
    <t xml:space="preserve">I-014</t>
  </si>
  <si>
    <t xml:space="preserve">DBFMO</t>
  </si>
  <si>
    <t xml:space="preserve">Design Build Finance Maintain Operate: gebouw als dienst, 20-30 jaar, vereist stabiele huisvestingsvraag en sluitende businesscase</t>
  </si>
  <si>
    <t xml:space="preserve">Design Build Finance Maintain Operate: gebouw als dienst, 20-30 jaar, vereist stabiele huisvestingsvraag en sluitende businesscase Dummy-uitbreiding voor het website-prototype; niet gecontroleerd.</t>
  </si>
  <si>
    <t xml:space="preserve">77eb90fd-d32d-5851-97b1-08e74facbc21</t>
  </si>
  <si>
    <t xml:space="preserve">I-015</t>
  </si>
  <si>
    <t xml:space="preserve">Sale-and-leaseback (off-balance)</t>
  </si>
  <si>
    <t xml:space="preserve">Verkoop aan investeerder en terughuren; verkort balans, verbetert liquiditeit; afspraken over onderhoud, risico's en terugkoop cruciaal</t>
  </si>
  <si>
    <t xml:space="preserve">Verkoop aan investeerder en terughuren; verkort balans, verbetert liquiditeit; afspraken over onderhoud, risico's en terugkoop cruciaal Dummy-uitbreiding voor het website-prototype; niet gecontroleerd.</t>
  </si>
  <si>
    <t xml:space="preserve">5bdea8ca-300a-5cf7-9a6d-c171922128bb</t>
  </si>
  <si>
    <t xml:space="preserve">I-016</t>
  </si>
  <si>
    <t xml:space="preserve">Programmatisch bundelen/aanbesteden</t>
  </si>
  <si>
    <t xml:space="preserve">Meerjarig deel van de portefeuille met budget in de markt zetten en samen optimaliseren per object</t>
  </si>
  <si>
    <t xml:space="preserve">Meerjarig deel van de portefeuille met budget in de markt zetten en samen optimaliseren per object Dummy-uitbreiding voor het website-prototype; niet gecontroleerd.</t>
  </si>
  <si>
    <t xml:space="preserve">Contact via TwynstraGudde (programmatisch inkopen VMV)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</si>
  <si>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d01dddce-80ec-56e0-a0ea-916394c475df</t>
  </si>
  <si>
    <t xml:space="preserve">I-017</t>
  </si>
  <si>
    <t xml:space="preserve">Kwalificatie investering vs onderhoud (BBV)</t>
  </si>
  <si>
    <t xml:space="preserve">Investering bij kwaliteitsverbetering, levensduurverlenging of wet- en regelgeving (activeren); onderhoud t.l.v. exploitatie of voorziening. Bepaalt waar de last valt</t>
  </si>
  <si>
    <t xml:space="preserve">Investering bij kwaliteitsverbetering, levensduurverlenging of wet- en regelgeving (activeren); onderhoud t.l.v. exploitatie of voorziening. Bepaalt waar de last valt Dummy-uitbreiding voor het website-prototype; niet gecontroleerd.</t>
  </si>
  <si>
    <t xml:space="preserve">ITY-11</t>
  </si>
  <si>
    <t xml:space="preserve">Boekwaarde, afschrijvingstermijn, begrotingsruimte</t>
  </si>
  <si>
    <t xml:space="preserve">Dekking in begroting of exploitatie</t>
  </si>
  <si>
    <t xml:space="preserve">36a311fd-0561-5409-bcdd-88ce839bff6e</t>
  </si>
  <si>
    <t xml:space="preserve">I-018</t>
  </si>
  <si>
    <t xml:space="preserve">Afschrijvingstermijn verlengen / componentenbenadering</t>
  </si>
  <si>
    <t xml:space="preserve">BBV stelt geen inhoudelijke eisen: ruimte zit in eigen financiële verordening, consistent per zelf te kiezen vastgoedcategorie; wijziging via de raad</t>
  </si>
  <si>
    <t xml:space="preserve">BBV stelt geen inhoudelijke eisen: ruimte zit in eigen financiële verordening, consistent per zelf te kiezen vastgoedcategorie; wijziging via de raad Dummy-uitbreiding voor het website-prototype; niet gecontroleerd.</t>
  </si>
  <si>
    <t xml:space="preserve">Helpt bij: portefeuille prioriteren</t>
  </si>
  <si>
    <t xml:space="preserve">8a10d55d-9f4b-5873-86a9-4d72096a3bf0</t>
  </si>
  <si>
    <t xml:space="preserve">I-019</t>
  </si>
  <si>
    <t xml:space="preserve">Restwaarde hanteren (incl. circulair afschrijven)</t>
  </si>
  <si>
    <t xml:space="preserve">Positieve restwaarde na renovatie of bij circulair bouwen verlaagt kapitaallasten; afstemming accountant vereist</t>
  </si>
  <si>
    <t xml:space="preserve">Positieve restwaarde na renovatie of bij circulair bouwen verlaagt kapitaallasten; afstemming accountant vereist Dummy-uitbreiding voor het website-prototype; niet gecontroleerd.</t>
  </si>
  <si>
    <t xml:space="preserve">a606340f-c817-5f52-9e24-2865a2862ac2</t>
  </si>
  <si>
    <t xml:space="preserve">I-020</t>
  </si>
  <si>
    <t xml:space="preserve">Reserve dekking kapitaallasten / voorziening groot onderhoud</t>
  </si>
  <si>
    <t xml:space="preserve">Keuze reserve vs voorziening; voeding en onttrekking via financiële verordening; voorziening vereist actueel beheerplan</t>
  </si>
  <si>
    <t xml:space="preserve">Keuze reserve vs voorziening; voeding en onttrekking via financiële verordening; voorziening vereist actueel beheerplan Dummy-uitbreiding voor het website-prototype; niet gecontroleerd.</t>
  </si>
  <si>
    <t xml:space="preserve">Voorbeeld Haarlemmermeer: reserve gevoed uit verkoopopbrengsten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</si>
  <si>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0c9edc33-1044-5cc0-9033-578f03f54d54</t>
  </si>
  <si>
    <t xml:space="preserve">I-021</t>
  </si>
  <si>
    <t xml:space="preserve">Kostprijsdekkende huur (KPD)</t>
  </si>
  <si>
    <t xml:space="preserve">Huur die alle eigenaarlasten dekt; varianten en ingroeipad; doorwerking naar subsidies sociaal domein (indexatiekloof)</t>
  </si>
  <si>
    <t xml:space="preserve">Huur die alle eigenaarlasten dekt; varianten en ingroeipad; doorwerking naar subsidies sociaal domein (indexatiekloof) Dummy-uitbreiding voor het website-prototype; niet gecontroleerd.</t>
  </si>
  <si>
    <t xml:space="preserve">IS-03</t>
  </si>
  <si>
    <t xml:space="preserve">Dummy: instrument nog in ontwikkeling</t>
  </si>
  <si>
    <t xml:space="preserve">Prioritair hiaat projectplan | Actualiteitsdatum v0.1: 2026-09 | DUMMY-aanvulling: benodigde_input, beoogde_output, centrale_gebruikersvraag, complexiteitsniveau, digitale_vorm_id, doel, doorlooptijd_categorie, gebruikstoelichting, publicatiestatus_id, reden_niet_tonen, relevantie_v1, tonen_in_v1, uitgebreide_omschrijving</t>
  </si>
  <si>
    <t xml:space="preserve">73a3f140-a5db-501d-98ac-500c907e0d89</t>
  </si>
  <si>
    <t xml:space="preserve">I-022</t>
  </si>
  <si>
    <t xml:space="preserve">Split naar shared incentive</t>
  </si>
  <si>
    <t xml:space="preserve">Kosten en baten eigenaar-huurder gezamenlijk in kaart; langere huurperiode = lagere huurverhoging; allonges</t>
  </si>
  <si>
    <t xml:space="preserve">Kosten en baten eigenaar-huurder gezamenlijk in kaart; langere huurperiode = lagere huurverhoging; allonges Dummy-uitbreiding voor het website-prototype; niet gecontroleerd.</t>
  </si>
  <si>
    <t xml:space="preserve">5edc3fdd-bc8c-5532-85de-83a68ff78673</t>
  </si>
  <si>
    <t xml:space="preserve">I-023</t>
  </si>
  <si>
    <t xml:space="preserve">CO2-reductiemethode</t>
  </si>
  <si>
    <t xml:space="preserve">Investeringen onder 875 euro per vermeden ton CO2 gelden als maatschappelijk verantwoord; alternatief voor terugverdientijd</t>
  </si>
  <si>
    <t xml:space="preserve">Investeringen onder 875 euro per vermeden ton CO2 gelden als maatschappelijk verantwoord; alternatief voor terugverdientijd Dummy-uitbreiding voor het website-prototype; niet gecontroleerd.</t>
  </si>
  <si>
    <t xml:space="preserve">ITY-16</t>
  </si>
  <si>
    <t xml:space="preserve">Varianten met kosten en effecten</t>
  </si>
  <si>
    <t xml:space="preserve">Onderbouwde keuze tussen varianten</t>
  </si>
  <si>
    <t xml:space="preserve">4ee0562c-469d-571e-b3bc-01ad3eac023c</t>
  </si>
  <si>
    <t xml:space="preserve">MKBA / scenariovergelijking</t>
  </si>
  <si>
    <t xml:space="preserve">Maatschappelijke kosten-batenanalyse of scenario's doorrekenen als besluitonderlegger</t>
  </si>
  <si>
    <t xml:space="preserve">Maatschappelijke kosten-batenanalyse of scenario's doorrekenen als besluitonderlegger Dummy-uitbreiding voor het website-prototype; niet gecontroleerd.</t>
  </si>
  <si>
    <t xml:space="preserve">Route uitwerken | Actualiteitsdatum v0.1: 2026-09 | DUMMY-aanvulling: benodigde_input, beoogde_output, centrale_gebruikersvraag, complexiteitsniveau, digitale_vorm_id, doel, doorlooptijd_categorie, gebruikstoelichting, primaire_instrumenttype_id, publicatiestatus_id, reden_niet_tonen, relevantie_v1, tonen_in_v1, uitgebreide_omschrijving</t>
  </si>
  <si>
    <t xml:space="preserve">5a2ae9cf-9a19-5df8-8b65-3fac7683c685</t>
  </si>
  <si>
    <t xml:space="preserve">VNG Rekenmodel Verduurzaming MV 2.0</t>
  </si>
  <si>
    <t xml:space="preserve">Doorrekening portefeuille: invoer m2 per functie, afschrijvingstermijnen, rente, vernieuwingsgraad, monumentaal %, circulariteitsopslag; output totale investering en opbouw kapitaallasten</t>
  </si>
  <si>
    <t xml:space="preserve">Doorrekening portefeuille: invoer m2 per functie, afschrijvingstermijnen, rente, vernieuwingsgraad, monumentaal %, circulariteitsopslag; output totale investering en opbouw kapitaallasten Dummy-uitbreiding voor het website-prototype; niet gecontroleerd.</t>
  </si>
  <si>
    <t xml:space="preserve">ITY-14</t>
  </si>
  <si>
    <t xml:space="preserve">Kosten, levensduur en exploitatiegegevens</t>
  </si>
  <si>
    <t xml:space="preserve">Doorrekening van varianten</t>
  </si>
  <si>
    <t xml:space="preserve">DV-03</t>
  </si>
  <si>
    <t xml:space="preserve">Versie checken bij VNG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</si>
  <si>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b94247f2-b259-5d1c-9ef6-6f659122fa5b</t>
  </si>
  <si>
    <t xml:space="preserve">I-026</t>
  </si>
  <si>
    <t xml:space="preserve">RVO Wegwijzer financiering</t>
  </si>
  <si>
    <t xml:space="preserve">Per type maatschappelijk vastgoed een stappenplan voor de financieringsroute en subsidies</t>
  </si>
  <si>
    <t xml:space="preserve">Per type maatschappelijk vastgoed een stappenplan voor de financieringsroute en subsidies Dummy-uitbreiding voor het website-prototype; niet gecontroleerd.</t>
  </si>
  <si>
    <t xml:space="preserve">ITY-24</t>
  </si>
  <si>
    <t xml:space="preserve">Geen</t>
  </si>
  <si>
    <t xml:space="preserve">Inzicht en werkwijze</t>
  </si>
  <si>
    <t xml:space="preserve">8031cb7f-7dd0-5d13-bd9c-9d2e6663670b</t>
  </si>
  <si>
    <t xml:space="preserve">I-027</t>
  </si>
  <si>
    <t xml:space="preserve">RVO Subsidie- en financieringswijzer</t>
  </si>
  <si>
    <t xml:space="preserve">Filtertool voor beschikbare regelingen per organisatie- en vastgoedtype</t>
  </si>
  <si>
    <t xml:space="preserve">Filtertool voor beschikbare regelingen per organisatie- en vastgoedtype Dummy-uitbreiding voor het website-prototype; niet gecontroleerd.</t>
  </si>
  <si>
    <t xml:space="preserve">Functioneel de dichtstbijzijnde bestaande 'kompas'-voorloper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</si>
  <si>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8d32aa9c-213e-55aa-ba33-65e835863920</t>
  </si>
  <si>
    <t xml:space="preserve">I-028</t>
  </si>
  <si>
    <t xml:space="preserve">Regeling Groenprojecten</t>
  </si>
  <si>
    <t xml:space="preserve">Groenverklaring geeft rentekorting via groenbanken; fiscaal voordeel groen beleggen wordt afgebouwd richting 2027</t>
  </si>
  <si>
    <t xml:space="preserve">Groenverklaring geeft rentekorting via groenbanken; fiscaal voordeel groen beleggen wordt afgebouwd richting 2027 Dummy-uitbreiding voor het website-prototype; niet gecontroleerd.</t>
  </si>
  <si>
    <t xml:space="preserve">9e55809b-a0ec-5175-8e57-da2567157305</t>
  </si>
  <si>
    <t xml:space="preserve">Paragraaf vastgoed / Meerjarenperspectief Vastgoed</t>
  </si>
  <si>
    <t xml:space="preserve">Transparante presentatie kosten, baten en beleidsbijdrage van vastgoed in begroting en jaarrekening; raadsinstrument</t>
  </si>
  <si>
    <t xml:space="preserve">Transparante presentatie kosten, baten en beleidsbijdrage van vastgoed in begroting en jaarrekening; raadsinstrument Dummy-uitbreiding voor het website-prototype; niet gecontroleerd.</t>
  </si>
  <si>
    <t xml:space="preserve">ITY-23</t>
  </si>
  <si>
    <t xml:space="preserve">Helpt bij: prestaties monitoren</t>
  </si>
  <si>
    <t xml:space="preserve">Beleids- en portefeuillegegevens</t>
  </si>
  <si>
    <t xml:space="preserve">Ingevuld format</t>
  </si>
  <si>
    <t xml:space="preserve">DV-05</t>
  </si>
  <si>
    <t xml:space="preserve">3701b66e-4173-5925-bc35-a5ffe5851e3c</t>
  </si>
  <si>
    <t xml:space="preserve">I-030</t>
  </si>
  <si>
    <t xml:space="preserve">EED-rapportageplicht</t>
  </si>
  <si>
    <t xml:space="preserve">Jaarlijkse energierapportage + 4-jaarlijkse maatregelenrapportage; gefaseerd: &gt;50.000 inw. 2025, 5.000-50.000 in 2027, &lt;5.000 in 2030</t>
  </si>
  <si>
    <t xml:space="preserve">Jaarlijkse energierapportage + 4-jaarlijkse maatregelenrapportage; gefaseerd: &gt;50.000 inw. 2025, 5.000-50.000 in 2027, &lt;5.000 in 2030 Dummy-uitbreiding voor het website-prototype; niet gecontroleerd.</t>
  </si>
  <si>
    <t xml:space="preserve">ITY-26</t>
  </si>
  <si>
    <t xml:space="preserve">Gebouwgegevens en energielabel</t>
  </si>
  <si>
    <t xml:space="preserve">Vastgestelde verplichting en deadline</t>
  </si>
  <si>
    <t xml:space="preserve">Onderwijshuisvesting uitgezonderd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</si>
  <si>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6562981b-1a29-5a8b-b3db-c987a08a3e2b</t>
  </si>
  <si>
    <t xml:space="preserve">I-031</t>
  </si>
  <si>
    <t xml:space="preserve">BNG Maatschappelijk Vastgoedlening</t>
  </si>
  <si>
    <t xml:space="preserve">Nieuwe lening (mei 2026) via BNG Duurzaamheidsfonds/SVn voor scholen, kleine zorg, sport, kerken e.a.: 50.000-1 mln, looptijd tot 20 jaar, tot 100% financiering zonder eigen inbreng; rentekorting 2,65% bij leningen tot 250.000 (rijkssubsidie 32,6 mln op 130 mln leningen)</t>
  </si>
  <si>
    <t xml:space="preserve">Nieuwe lening (mei 2026) via BNG Duurzaamheidsfonds/SVn voor scholen, kleine zorg, sport, kerken e.a.: 50.000-1 mln, looptijd tot 20 jaar, tot 100% financiering zonder eigen inbreng; rentekorting 2,65% bij leningen tot 250.000 (rijkssubsidie 32,6 mln op 130 mln leningen) Dummy-uitbreiding voor het website-prototype; niet gecontroleerd.</t>
  </si>
  <si>
    <t xml:space="preserve">Combineerbaar met DUMAVA; niet voor gemeenten; ook zonder subsidierelatie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</si>
  <si>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9707e8a4-adc5-5dec-806a-c57cc6ff4b65</t>
  </si>
  <si>
    <t xml:space="preserve">I-032</t>
  </si>
  <si>
    <t xml:space="preserve">Fonds Verduurzaming Maatschappelijk Vastgoed (Gelderland/SVn)</t>
  </si>
  <si>
    <t xml:space="preserve">Provinciale lening 10.000-250.000 voor energiebesparing en opwek, looptijd 15 jaar, rente 2%; energieadvies vereist vanaf 50.000; niet voor gemeenten en corporaties. Voorbeeld van provinciale MV-fondsen</t>
  </si>
  <si>
    <t xml:space="preserve">Provinciale lening 10.000-250.000 voor energiebesparing en opwek, looptijd 15 jaar, rente 2%; energieadvies vereist vanaf 50.000; niet voor gemeenten en corporaties. Voorbeeld van provinciale MV-fondsen Dummy-uitbreiding voor het website-prototype; niet gecontroleerd.</t>
  </si>
  <si>
    <t xml:space="preserve">Per provincie verschillend; check eigen provincie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</si>
  <si>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69daceb2-596d-55c4-8f68-59cffcb18fba</t>
  </si>
  <si>
    <t xml:space="preserve">I-033</t>
  </si>
  <si>
    <t xml:space="preserve">Regionale energiefondsen (overzicht REFS)</t>
  </si>
  <si>
    <t xml:space="preserve">Provinciale en regionale energiefondsen (o.a. Energiefonds Drenthe) financieren besparing en opwek, ook vastgoedprojecten; overzicht op refs.nu</t>
  </si>
  <si>
    <t xml:space="preserve">Provinciale en regionale energiefondsen (o.a. Energiefonds Drenthe) financieren besparing en opwek, ook vastgoedprojecten; overzicht op refs.nu Dummy-uitbreiding voor het website-prototype; niet gecontroleerd.</t>
  </si>
  <si>
    <t xml:space="preserve">Voorwaarden per fonds sterk verschillend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</si>
  <si>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d7c25398-97bd-5d1e-ab2d-33c04cc5057a</t>
  </si>
  <si>
    <t xml:space="preserve">I-034</t>
  </si>
  <si>
    <t xml:space="preserve">ELENA (EIB)</t>
  </si>
  <si>
    <t xml:space="preserve">Europese projectontwikkelingssteun (ca. 90% van de ontwikkelkosten) voor het bundelen van grotere investeringsprogramma's energie-efficientie in gebouwen; geschikt voor gemeentelijke of regionale programma's</t>
  </si>
  <si>
    <t xml:space="preserve">Europese projectontwikkelingssteun (ca. 90% van de ontwikkelkosten) voor het bundelen van grotere investeringsprogramma's energie-efficientie in gebouwen; geschikt voor gemeentelijke of regionale programma's Dummy-uitbreiding voor het website-prototype; niet gecontroleerd.</t>
  </si>
  <si>
    <t xml:space="preserve">Vereist schaal (bundeling); lange doorlooptijd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</si>
  <si>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4fe1fbd7-b026-55f8-92a2-8f8b53f7b274</t>
  </si>
  <si>
    <t xml:space="preserve">I-035</t>
  </si>
  <si>
    <t xml:space="preserve">EU-subsidies (EFRO/JTF e.a.)</t>
  </si>
  <si>
    <t xml:space="preserve">Europese fondsen waarmee duurzaamheidsprojecten gefinancierd kunnen worden; aanvraag via landsdelige managementautoriteiten; door VNG genoemd als aanvullende bron</t>
  </si>
  <si>
    <t xml:space="preserve">Europese fondsen waarmee duurzaamheidsprojecten gefinancierd kunnen worden; aanvraag via landsdelige managementautoriteiten; door VNG genoemd als aanvullende bron Dummy-uitbreiding voor het website-prototype; niet gecontroleerd.</t>
  </si>
  <si>
    <t xml:space="preserve">Openstellingen per landsdeel en periode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</si>
  <si>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77945447-b3c0-58d2-9b40-48aa3a12137b</t>
  </si>
  <si>
    <t xml:space="preserve">I-036</t>
  </si>
  <si>
    <t xml:space="preserve">Duurzaam Monumenten-Lening (Restauratiefonds)</t>
  </si>
  <si>
    <t xml:space="preserve">Laagrentende lening van het Nationaal Restauratiefonds voor het verduurzamen van monumenten; combineerbaar met SIM en DUMAVA (monumenten)</t>
  </si>
  <si>
    <t xml:space="preserve">Laagrentende lening van het Nationaal Restauratiefonds voor het verduurzamen van monumenten; combineerbaar met SIM en DUMAVA (monumenten) Dummy-uitbreiding voor het website-prototype; niet gecontroleerd.</t>
  </si>
  <si>
    <t xml:space="preserve">9afe90b0-abc9-5b72-93f9-cc99b51c8c6a</t>
  </si>
  <si>
    <t xml:space="preserve">I-037</t>
  </si>
  <si>
    <t xml:space="preserve">SCE (coöperatieve energieopwekking)</t>
  </si>
  <si>
    <t xml:space="preserve">Exploitatiesubsidie voor energiecoöperaties en VvE's; relevant als route om daken van maatschappelijk vastgoed via een lokale coöperatie te benutten (dakverhuur/opstalrecht)</t>
  </si>
  <si>
    <t xml:space="preserve">Exploitatiesubsidie voor energiecoöperaties en VvE's; relevant als route om daken van maatschappelijk vastgoed via een lokale coöperatie te benutten (dakverhuur/opstalrecht) Dummy-uitbreiding voor het website-prototype; niet gecontroleerd.</t>
  </si>
  <si>
    <t xml:space="preserve">Baten landen bij coöperatie; afspraken over dakgebruik nodig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</si>
  <si>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37939837-b0af-5e03-8785-7acbde5f2b1a</t>
  </si>
  <si>
    <t xml:space="preserve">I-038</t>
  </si>
  <si>
    <t xml:space="preserve">VNG Sectorale Routekaart Gemeentelijk MV 2026</t>
  </si>
  <si>
    <t xml:space="preserve">Sectorale routekaart met doelen, stappenplan en kengetallen voor verduurzaming gemeentelijk maatschappelijk vastgoed; basis voor portefeuilleroutekaart en het VNG-rekenmodel</t>
  </si>
  <si>
    <t xml:space="preserve">Sectorale routekaart met doelen, stappenplan en kengetallen voor verduurzaming gemeentelijk maatschappelijk vastgoed; basis voor portefeuilleroutekaart en het VNG-rekenmodel Dummy-uitbreiding voor het website-prototype; niet gecontroleerd.</t>
  </si>
  <si>
    <t xml:space="preserve">Bronmateriaal kompas (procesmodel)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</si>
  <si>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decbe14c-51e6-532d-848f-54abebeaf750</t>
  </si>
  <si>
    <t xml:space="preserve">I-039</t>
  </si>
  <si>
    <t xml:space="preserve">RVO Leidraad portefeuilleroutekaart gemeentelijk vastgoed</t>
  </si>
  <si>
    <t xml:space="preserve">Leidraad met stappenplan en praktijkvoorbeelden voor het opstellen van een portefeuilleroutekaart en strategische verduurzamingsplannen</t>
  </si>
  <si>
    <t xml:space="preserve">Leidraad met stappenplan en praktijkvoorbeelden voor het opstellen van een portefeuilleroutekaart en strategische verduurzamingsplannen Dummy-uitbreiding voor het website-prototype; niet gecontroleerd.</t>
  </si>
  <si>
    <t xml:space="preserve">Deel RVO-tools stamt uit 2021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</si>
  <si>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146ce7e8-bd0f-5e9c-8854-2b14c28e12c2</t>
  </si>
  <si>
    <t xml:space="preserve">Bouwstenen 7-stappenmodel + Kostenkompas</t>
  </si>
  <si>
    <t xml:space="preserve">Tools, hulpmiddelen en praktijkvoorbeelden bij het stappenplan uit de sectorale routekaart; Kostenkompas met kengetallen investeringskosten verduurzaming</t>
  </si>
  <si>
    <t xml:space="preserve">Tools, hulpmiddelen en praktijkvoorbeelden bij het stappenplan uit de sectorale routekaart; Kostenkompas met kengetallen investeringskosten verduurzaming Dummy-uitbreiding voor het website-prototype; niet gecontroleerd.</t>
  </si>
  <si>
    <t xml:space="preserve">10cd81b8-1d92-543e-8e75-ab158ea29f7f</t>
  </si>
  <si>
    <t xml:space="preserve">I-041</t>
  </si>
  <si>
    <t xml:space="preserve">Beslisboom verduurzaming scholen PO/VO</t>
  </si>
  <si>
    <t xml:space="preserve">Helpt schoolbesturen en gemeenten bij aanpakkeuze: indicatie bouw- en investeringskosten, financieringsopties en aanbestedingsinformatie</t>
  </si>
  <si>
    <t xml:space="preserve">Helpt schoolbesturen en gemeenten bij aanpakkeuze: indicatie bouw- en investeringskosten, financieringsopties en aanbestedingsinformatie Dummy-uitbreiding voor het website-prototype; niet gecontroleerd.</t>
  </si>
  <si>
    <t xml:space="preserve">Helpt bij: object verduurzamen</t>
  </si>
  <si>
    <t xml:space="preserve">Koppelen aan IHP-cyclus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</si>
  <si>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55745bc9-d76d-5525-b181-c756fadcc040</t>
  </si>
  <si>
    <t xml:space="preserve">I-042</t>
  </si>
  <si>
    <t xml:space="preserve">VNG-instrument MV in de gebiedsgerichte aanpak</t>
  </si>
  <si>
    <t xml:space="preserve">4-stappentool voor afstemming tussen de vastgoedopgave en de warmtetransitie (welke wijken wanneer van het aardgas)</t>
  </si>
  <si>
    <t xml:space="preserve">4-stappentool voor afstemming tussen de vastgoedopgave en de warmtetransitie (welke wijken wanneer van het aardgas) Dummy-uitbreiding voor het website-prototype; niet gecontroleerd.</t>
  </si>
  <si>
    <t xml:space="preserve">93e874e2-52eb-5db4-824a-d30b0aa2a64c</t>
  </si>
  <si>
    <t xml:space="preserve">I-043</t>
  </si>
  <si>
    <t xml:space="preserve">WEii / Paris Proof (DGBC)</t>
  </si>
  <si>
    <t xml:space="preserve">Sturen op werkelijk energiegebruik (kWh/m2) i.p.v. labels; helpt bij prioriteren welke gebouwen eerst en maakt businesscase van o.a. koeling/groen zichtbaar; toegepast door Rotterdam, Hardenberg, Hellendoorn, Den Bosch</t>
  </si>
  <si>
    <t xml:space="preserve">Sturen op werkelijk energiegebruik (kWh/m2) i.p.v. labels; helpt bij prioriteren welke gebouwen eerst en maakt businesscase van o.a. koeling/groen zichtbaar; toegepast door Rotterdam, Hardenberg, Hellendoorn, Den Bosch Dummy-uitbreiding voor het website-prototype; niet gecontroleerd.</t>
  </si>
  <si>
    <t xml:space="preserve">Vereist slimme meters/verbruiksdata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</si>
  <si>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880ff53c-8608-5fbc-9c71-bc123db2d7a8</t>
  </si>
  <si>
    <t xml:space="preserve">I-044</t>
  </si>
  <si>
    <t xml:space="preserve">Menukaart huurder-verhuurderafspraken (PDH)</t>
  </si>
  <si>
    <t xml:space="preserve">Afsprakenkader/menukaart van Platform Duurzame Huisvesting voor het verdelen van kosten en baten tussen eigenaar en huurder (split incentive); concretisering van I-022</t>
  </si>
  <si>
    <t xml:space="preserve">Afsprakenkader/menukaart van Platform Duurzame Huisvesting voor het verdelen van kosten en baten tussen eigenaar en huurder (split incentive); concretisering van I-022 Dummy-uitbreiding voor het website-prototype; niet gecontroleerd.</t>
  </si>
  <si>
    <t xml:space="preserve">Samenhang met I-021/I-022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</si>
  <si>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b70bc8cc-637b-5a7c-8846-8d19c7f95fab</t>
  </si>
  <si>
    <t xml:space="preserve">I-045</t>
  </si>
  <si>
    <t xml:space="preserve">Energiebesparingsplicht + EML</t>
  </si>
  <si>
    <t xml:space="preserve">Verplichting alle maatregelen met terugverdientijd tot 5 jaar te nemen (Erkende Maatregelenlijst) plus informatie-/onderzoeksplicht; EML-maatregelen zijn uitgesloten van DUMAVA</t>
  </si>
  <si>
    <t xml:space="preserve">Verplichting alle maatregelen met terugverdientijd tot 5 jaar te nemen (Erkende Maatregelenlijst) plus informatie-/onderzoeksplicht; EML-maatregelen zijn uitgesloten van DUMAVA Dummy-uitbreiding voor het website-prototype; niet gecontroleerd.</t>
  </si>
  <si>
    <t xml:space="preserve">Bepaalt de subsidiabele restopgave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</si>
  <si>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4df4b53b-043e-576f-9da2-2e6e4e0abfea</t>
  </si>
  <si>
    <t xml:space="preserve">I-046</t>
  </si>
  <si>
    <t xml:space="preserve">Label C-plicht kantoren</t>
  </si>
  <si>
    <t xml:space="preserve">Kantoren &gt;= 100 m2 moeten minimaal energielabel C hebben; relevant voor ambtelijke huisvesting; DUMAVA niet inzetbaar zolang niet aan de plicht is voldaan</t>
  </si>
  <si>
    <t xml:space="preserve">Kantoren &gt;= 100 m2 moeten minimaal energielabel C hebben; relevant voor ambtelijke huisvesting; DUMAVA niet inzetbaar zolang niet aan de plicht is voldaan Dummy-uitbreiding voor het website-prototype; niet gecontroleerd.</t>
  </si>
  <si>
    <t xml:space="preserve">f6c6fb1f-f7a1-5d7a-b1fa-ee9cbb35fa65</t>
  </si>
  <si>
    <t xml:space="preserve">I-047</t>
  </si>
  <si>
    <t xml:space="preserve">DMJOP (duurzaam meerjarenonderhoudsplan)</t>
  </si>
  <si>
    <t xml:space="preserve">Koppelt verduurzamingsmaatregelen aan natuurlijke onderhoudsmomenten en al gereserveerde onderhouds- en projectbudgetten; deel dekking uit toekomstige energiebesparing</t>
  </si>
  <si>
    <t xml:space="preserve">Koppelt verduurzamingsmaatregelen aan natuurlijke onderhoudsmomenten en al gereserveerde onderhouds- en projectbudgetten; deel dekking uit toekomstige energiebesparing Dummy-uitbreiding voor het website-prototype; niet gecontroleerd.</t>
  </si>
  <si>
    <t xml:space="preserve">Helpt bij: accommodatie vernieuwen</t>
  </si>
  <si>
    <t xml:space="preserve">Basis voor voorziening groot onderhoud (I-020)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</si>
  <si>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e8ea5aa1-171d-52e2-aea9-c9fbb2d6e20b</t>
  </si>
  <si>
    <t xml:space="preserve">I-048</t>
  </si>
  <si>
    <t xml:space="preserve">Intern revolverend verduurzamingsfonds</t>
  </si>
  <si>
    <t xml:space="preserve">Gemeentelijk fonds waarin gerealiseerde energiebesparingen terugvloeien en opnieuw worden ingezet voor volgende verduurzamingsprojecten</t>
  </si>
  <si>
    <t xml:space="preserve">Gemeentelijk fonds waarin gerealiseerde energiebesparingen terugvloeien en opnieuw worden ingezet voor volgende verduurzamingsprojecten Dummy-uitbreiding voor het website-prototype; niet gecontroleerd.</t>
  </si>
  <si>
    <t xml:space="preserve">Route en spelregels uitwerken (BBV) | Actualiteitsdatum v0.1: 2026-09 | DUMMY-aanvulling: benodigde_input, beoogde_output, centrale_gebruikersvraag, complexiteitsniveau, digitale_vorm_id, doel, doorlooptijd_categorie, gebruikstoelichting, publicatiestatus_id, reden_niet_tonen, relevantie_v1, tonen_in_v1, uitgebreide_omschrijving</t>
  </si>
  <si>
    <t xml:space="preserve">57bd6d36-474b-527b-aecb-98b5fb724c46</t>
  </si>
  <si>
    <t xml:space="preserve">I-049</t>
  </si>
  <si>
    <t xml:space="preserve">Expertisecentrum Verduurzaming Zorg: regelingenoverzicht</t>
  </si>
  <si>
    <t xml:space="preserve">Sectorloket zorg met actueel overzicht van subsidies, lokale regelingen en fondsen voor zorgvastgoed, incl. DUMAVA-uitleg</t>
  </si>
  <si>
    <t xml:space="preserve">Sectorloket zorg met actueel overzicht van subsidies, lokale regelingen en fondsen voor zorgvastgoed, incl. DUMAVA-uitleg Dummy-uitbreiding voor het website-prototype; niet gecontroleerd.</t>
  </si>
  <si>
    <t xml:space="preserve">ff4bafcc-8aa6-52fe-8a81-82eef82e2b3f</t>
  </si>
  <si>
    <t xml:space="preserve">I-050</t>
  </si>
  <si>
    <t xml:space="preserve">NPLW-database subsidies en regelingen</t>
  </si>
  <si>
    <t xml:space="preserve">Database van het Nationaal Programma Lokale Warmtetransitie met financieringsregelingen (o.a. BNG Duurzaamheidsfonds) voor gemeenten en gebouweigenaren</t>
  </si>
  <si>
    <t xml:space="preserve">Database van het Nationaal Programma Lokale Warmtetransitie met financieringsregelingen (o.a. BNG Duurzaamheidsfonds) voor gemeenten en gebouweigenaren Dummy-uitbreiding voor het website-prototype; niet gecontroleerd.</t>
  </si>
  <si>
    <t xml:space="preserve">6e66d1d7-0362-5fbb-bd25-d67757b5b3f7</t>
  </si>
  <si>
    <t xml:space="preserve">I-051</t>
  </si>
  <si>
    <t xml:space="preserve">Fonds Nieuwe Doen rentekorting maatschappelijk vastgoed</t>
  </si>
  <si>
    <t xml:space="preserve">Rentekorting op leningen voor verduurzaming van maatschappelijk vastgoed in Groningen.</t>
  </si>
  <si>
    <t xml:space="preserve">Rentekorting op leningen voor verduurzaming van maatschappelijk vastgoed in Groningen. Dummy-uitbreiding voor het website-prototype; niet gecontroleerd.</t>
  </si>
  <si>
    <t xml:space="preserve">https://www.provinciegroningen.nl/actueel/nieuws/nieuwsartikel/aantrekkelijke-rentekortingsregeling-voor-leningen-verduurzaming-maatschappelijk-vastgoed/</t>
  </si>
  <si>
    <t xml:space="preserve">Ook voor huurders die energiekosten dragen; lokale stapeling mogelijk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</si>
  <si>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6f6a8d40-0be7-5b02-800c-1847a867a116</t>
  </si>
  <si>
    <t xml:space="preserve">I-052</t>
  </si>
  <si>
    <t xml:space="preserve">Maatschappelijk Vastgoedlening Limburg</t>
  </si>
  <si>
    <t xml:space="preserve">Provinciale lening voor verduurzaming en combinatiewerken bij maatschappelijk vastgoed.</t>
  </si>
  <si>
    <t xml:space="preserve">Provinciale lening voor verduurzaming en combinatiewerken bij maatschappelijk vastgoed. Dummy-uitbreiding voor het website-prototype; niet gecontroleerd.</t>
  </si>
  <si>
    <t xml:space="preserve">https://www.limburg.nl/actueel/nieuws/nieuwsberichten/2026/september/fonds-verduurzaming-maatschappelijk/</t>
  </si>
  <si>
    <t xml:space="preserve">Aansluiting op ontzorgingsprogramma Limburg Bespaart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</si>
  <si>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be4fdf25-f998-5bf0-ab9d-e4de4b6741fb</t>
  </si>
  <si>
    <t xml:space="preserve">I-053</t>
  </si>
  <si>
    <t xml:space="preserve">Stimuleringslening verduurzamen maatschappelijk vastgoed Hardenberg</t>
  </si>
  <si>
    <t xml:space="preserve">Lokale zakelijke SVn-lening voor maatschappelijke non-profitorganisaties.</t>
  </si>
  <si>
    <t xml:space="preserve">Lokale zakelijke SVn-lening voor maatschappelijke non-profitorganisaties. Dummy-uitbreiding voor het website-prototype; niet gecontroleerd.</t>
  </si>
  <si>
    <t xml:space="preserve">https://lokaleregelgeving.overheid.nl/CVDR736141/</t>
  </si>
  <si>
    <t xml:space="preserve">Voorbeeld van lokale aanvullende leenroute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</si>
  <si>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7c8b62fc-d0cc-5b2b-961b-b2feaf7f0dad</t>
  </si>
  <si>
    <t xml:space="preserve">I-054</t>
  </si>
  <si>
    <t xml:space="preserve">Waarborgfonds voor de Zorgsector</t>
  </si>
  <si>
    <t xml:space="preserve">Borging voor leningen van toegelaten zorginstellingen.</t>
  </si>
  <si>
    <t xml:space="preserve">Borging voor leningen van toegelaten zorginstellingen. Dummy-uitbreiding voor het website-prototype; niet gecontroleerd.</t>
  </si>
  <si>
    <t xml:space="preserve">https://www.wfz.nl/</t>
  </si>
  <si>
    <t xml:space="preserve">Toelating en projectvoorwaarden per casus toetsen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</si>
  <si>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3332e115-7812-5247-abae-40350ad913e5</t>
  </si>
  <si>
    <t xml:space="preserve">I-055</t>
  </si>
  <si>
    <t xml:space="preserve">WarmteBoost werkboeken en routekaart</t>
  </si>
  <si>
    <t xml:space="preserve">Werkboeken, begeleiding en Excel-routekaart voor verduurzaming van buurt- en dorpshuizen.</t>
  </si>
  <si>
    <t xml:space="preserve">Werkboeken, begeleiding en Excel-routekaart voor verduurzaming van buurt- en dorpshuizen. Dummy-uitbreiding voor het website-prototype; niet gecontroleerd.</t>
  </si>
  <si>
    <t xml:space="preserve">https://www.lsabewoners.nl/buurtenergie/stap-voor-stap-verduurzamen-met-warmteboost-werkboeken/</t>
  </si>
  <si>
    <t xml:space="preserve">Sociaal-vastgoed-specifieke uitvoeringsroute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</si>
  <si>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53bc68e2-b091-5e3c-923c-42e506cb225f</t>
  </si>
  <si>
    <t xml:space="preserve">I-056</t>
  </si>
  <si>
    <t xml:space="preserve">Subsidie verduurzaming dorpshuizen, buurthuizen en wijkcentra Noord-Holland</t>
  </si>
  <si>
    <t xml:space="preserve">Provinciale subsidie voor verduurzaming van sociale ontmoetingsgebouwen.</t>
  </si>
  <si>
    <t xml:space="preserve">Provinciale subsidie voor verduurzaming van sociale ontmoetingsgebouwen. Dummy-uitbreiding voor het website-prototype; niet gecontroleerd.</t>
  </si>
  <si>
    <t xml:space="preserve">https://www.noord-holland.nl/Loket/Producten_en_Diensten/Producten_op_alfabet/V/Verduurzaming_dorpshuizen_buurthuizen_en_wijkcentra_subsidie</t>
  </si>
  <si>
    <t xml:space="preserve">Ronde en voorwaarden jaarlijks actualiseren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</si>
  <si>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241f32f7-8385-50c6-9c25-48eed2f00884</t>
  </si>
  <si>
    <t xml:space="preserve">I-057</t>
  </si>
  <si>
    <t xml:space="preserve">Crowdfunding / community finance</t>
  </si>
  <si>
    <t xml:space="preserve">Aanvullende financieringsroute via achterban of lokale gemeenschap.</t>
  </si>
  <si>
    <t xml:space="preserve">Aanvullende financieringsroute via achterban of lokale gemeenschap. Dummy-uitbreiding voor het website-prototype; niet gecontroleerd.</t>
  </si>
  <si>
    <t xml:space="preserve">https://infographics.rvo.nl/financiele-wegwijzer/</t>
  </si>
  <si>
    <t xml:space="preserve">Geen uniforme regeling; kosten, risico en voorwaarden verschillen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</si>
  <si>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82578548-5018-52ef-a533-d1a0c0658c77</t>
  </si>
  <si>
    <t xml:space="preserve">I-058</t>
  </si>
  <si>
    <t xml:space="preserve">Green lease / duurzaamheidsallonge</t>
  </si>
  <si>
    <t xml:space="preserve">Contractafspraken tussen eigenaar en huurder over maatregelen, kosten, baten en prestaties.</t>
  </si>
  <si>
    <t xml:space="preserve">Contractafspraken tussen eigenaar en huurder over maatregelen, kosten, baten en prestaties. Dummy-uitbreiding voor het website-prototype; niet gecontroleerd.</t>
  </si>
  <si>
    <t xml:space="preserve">https://www.rvo.nl/onderwerpen/verduurzaming-utiliteitsbouw/maatschappelijk-vastgoed/tools-aan-de-slag</t>
  </si>
  <si>
    <t xml:space="preserve">Aanvullend op menukaart huurder-verhuurderafspraken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</si>
  <si>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5e88bc9e-854d-536c-b371-5d69b93a4b6b</t>
  </si>
  <si>
    <t xml:space="preserve">I-059</t>
  </si>
  <si>
    <t xml:space="preserve">Algemeenbelangbesluit en beleidshuur</t>
  </si>
  <si>
    <t xml:space="preserve">Juridisch-bestuurlijke route om maatschappelijke verhuur onder kostprijs te motiveren binnen Wet Markt en Overheid.</t>
  </si>
  <si>
    <t xml:space="preserve">Juridisch-bestuurlijke route om maatschappelijke verhuur onder kostprijs te motiveren binnen Wet Markt en Overheid. Dummy-uitbreiding voor het website-prototype; niet gecontroleerd.</t>
  </si>
  <si>
    <t xml:space="preserve">https://bouwstenen.nl/huurprijsmethodiek</t>
  </si>
  <si>
    <t xml:space="preserve">Geen geldstroom, wel essentieel voor betaalbaarheid en subsidierelatie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</si>
  <si>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bfde6caa-cbfd-5b52-982a-40bdf9217390</t>
  </si>
  <si>
    <t xml:space="preserve">I-060</t>
  </si>
  <si>
    <t xml:space="preserve">Grond- en verkoopopbrengstenreserve</t>
  </si>
  <si>
    <t xml:space="preserve">Verkoopopbrengsten uit vastgoed of grond worden geoormerkt als dekking voor verduurzaming.</t>
  </si>
  <si>
    <t xml:space="preserve">Verkoopopbrengsten uit vastgoed of grond worden geoormerkt als dekking voor verduurzaming. Dummy-uitbreiding voor het website-prototype; niet gecontroleerd.</t>
  </si>
  <si>
    <t xml:space="preserve">https://bouwstenen.nl/handreiking-paragraaf-kapitaalgoederen</t>
  </si>
  <si>
    <t xml:space="preserve">Lokale beleidskeuze; geen landelijke standaard | Actualiteitsdatum v0.1: 2026-09 | DUMMY-aanvulling: benodigde_input, beoogde_output, centrale_gebruikersvraag, complexiteitsniveau, digitale_vorm_id, doel, doorlooptijd_categorie, gebruikstoelichting, publicatiestatus_id, reden_niet_tonen, relevantie_v1, tonen_in_v1, uitgebreide_omschrijving</t>
  </si>
  <si>
    <t xml:space="preserve">168cdc68-0122-522e-ba88-ecc156067301</t>
  </si>
  <si>
    <t xml:space="preserve">I-061</t>
  </si>
  <si>
    <t xml:space="preserve">TCO-model onderwijshuisvesting</t>
  </si>
  <si>
    <t xml:space="preserve">Rekenmodel voor bouw of renovatie, exploitatie en onderhoud over de levensduur.</t>
  </si>
  <si>
    <t xml:space="preserve">Rekenmodel voor bouw of renovatie, exploitatie en onderhoud over de levensduur. Dummy-uitbreiding voor het website-prototype; niet gecontroleerd.</t>
  </si>
  <si>
    <t xml:space="preserve">https://www.pohv.nl/kennis-tools/kennisbank/rekenmodel-total-cost-of-ownership-tco</t>
  </si>
  <si>
    <t xml:space="preserve">Blueprint voor gedeelde gemeente-schoolbestuur-businesscase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</si>
  <si>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5b64627d-4931-52ce-a916-15bfdb9a31a9</t>
  </si>
  <si>
    <t xml:space="preserve">I-062</t>
  </si>
  <si>
    <t xml:space="preserve">CO2-routekaart en rekentool zorg</t>
  </si>
  <si>
    <t xml:space="preserve">Portefeuille- en objecttool voor maatregelen, CO2, kosten en investeringen in zorgvastgoed.</t>
  </si>
  <si>
    <t xml:space="preserve">Portefeuille- en objecttool voor maatregelen, CO2, kosten en investeringen in zorgvastgoed. Dummy-uitbreiding voor het website-prototype; niet gecontroleerd.</t>
  </si>
  <si>
    <t xml:space="preserve">https://www.expertisecentrumverduurzamingzorg.nl/co2-routekaart/</t>
  </si>
  <si>
    <t xml:space="preserve">Sectorspecifiek voorbeeld voor het Kompas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</si>
  <si>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9e626dff-b0bd-5b92-b8d6-967dca0b7f1c</t>
  </si>
  <si>
    <t xml:space="preserve">I-063</t>
  </si>
  <si>
    <t xml:space="preserve">Subsidiewijzer verduurzaming sportaccommodaties</t>
  </si>
  <si>
    <t xml:space="preserve">Sectorale matcher voor subsidies voor verduurzaming van sportaccommodaties.</t>
  </si>
  <si>
    <t xml:space="preserve">Sectorale matcher voor subsidies voor verduurzaming van sportaccommodaties. Dummy-uitbreiding voor het website-prototype; niet gecontroleerd.</t>
  </si>
  <si>
    <t xml:space="preserve">https://www.kenniscentrumsportenbewegen.nl/producten/subsidiewijzer-verduurzaming-sportaccommodaties/</t>
  </si>
  <si>
    <t xml:space="preserve">Wijzer, geen geldstroom zelf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</si>
  <si>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54dce8b3-394b-584b-81f4-487978b05bae</t>
  </si>
  <si>
    <t xml:space="preserve">I-064</t>
  </si>
  <si>
    <t xml:space="preserve">Museum Financieringswijzer</t>
  </si>
  <si>
    <t xml:space="preserve">Sectorspecifieke wijzer voor subsidies en leningen voor musea.</t>
  </si>
  <si>
    <t xml:space="preserve">Sectorspecifieke wijzer voor subsidies en leningen voor musea. Dummy-uitbreiding voor het website-prototype; niet gecontroleerd.</t>
  </si>
  <si>
    <t xml:space="preserve">https://museumvereniging.nl/financieringswijzer/</t>
  </si>
  <si>
    <t xml:space="preserve">Sectorspecifieke financiële navigatie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</si>
  <si>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7fd46f3d-8244-53a0-ba66-39f3204ce81f</t>
  </si>
  <si>
    <t xml:space="preserve">I-065</t>
  </si>
  <si>
    <t xml:space="preserve">Functiecombinatie en hogere bezettingsgraad</t>
  </si>
  <si>
    <t xml:space="preserve">Verbeter de exploitatie door delen, functiemenging, herprogrammeren en reduceren van vierkante meters.</t>
  </si>
  <si>
    <t xml:space="preserve">Verbeter de exploitatie door delen, functiemenging, herprogrammeren en reduceren van vierkante meters. Dummy-uitbreiding voor het website-prototype; niet gecontroleerd.</t>
  </si>
  <si>
    <t xml:space="preserve">https://bouwstenen.nl/beter-benutten-van-ruimte</t>
  </si>
  <si>
    <t xml:space="preserve">Voorzieningenbeleid is randvoorwaarde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</si>
  <si>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9b2d5c2d-082b-5f69-a50f-fd45a62d7a58</t>
  </si>
  <si>
    <t xml:space="preserve">I-066</t>
  </si>
  <si>
    <t xml:space="preserve">Teruggaaf energiebelasting non-profit</t>
  </si>
  <si>
    <t xml:space="preserve">Instellingen met notarieel vastgelegde maatschappelijke doelstelling (verenigingen, stichtingen, kerken) kunnen 50% van de energiebelasting terugvragen; structurele lastenverlaging</t>
  </si>
  <si>
    <t xml:space="preserve">Instellingen met notarieel vastgelegde maatschappelijke doelstelling (verenigingen, stichtingen, kerken) kunnen 50% van de energiebelasting terugvragen; structurele lastenverlaging Dummy-uitbreiding voor het website-prototype; niet gecontroleerd.</t>
  </si>
  <si>
    <t xml:space="preserve">Voorwaarden en percentage verifiëren; veel verenigingen kennen dit niet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</si>
  <si>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59a47e56-8008-5493-8103-68bf6757dd67</t>
  </si>
  <si>
    <t xml:space="preserve">I-067</t>
  </si>
  <si>
    <t xml:space="preserve">BTW-compensatiefonds (BCF)</t>
  </si>
  <si>
    <t xml:space="preserve">Gemeenten kunnen BTW op overheidstaken compenseren via het BCF; bepalend voor netto-investeringslast en keuze exploitatiestructuur (verhuur belast/onbelast)</t>
  </si>
  <si>
    <t xml:space="preserve">Gemeenten kunnen BTW op overheidstaken compenseren via het BCF; bepalend voor netto-investeringslast en keuze exploitatiestructuur (verhuur belast/onbelast) Dummy-uitbreiding voor het website-prototype; niet gecontroleerd.</t>
  </si>
  <si>
    <t xml:space="preserve">Kern van het BTW-thema uit het projectplan; samen met herzieningstermijnen uitwerken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</si>
  <si>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ba17fc69-99ad-586b-ab26-cc1fbdd0fa68</t>
  </si>
  <si>
    <t xml:space="preserve">I-068</t>
  </si>
  <si>
    <t xml:space="preserve">NWB Bank financiering</t>
  </si>
  <si>
    <t xml:space="preserve">Leningen aan decentrale overheden en (via garantie) zorg en onderwijs; naast BNG de tweede sectorbank</t>
  </si>
  <si>
    <t xml:space="preserve">Leningen aan decentrale overheden en (via garantie) zorg en onderwijs; naast BNG de tweede sectorbank Dummy-uitbreiding voor het website-prototype; niet gecontroleerd.</t>
  </si>
  <si>
    <t xml:space="preserve">0b7dbf40-cc1a-5ae3-af35-4b9d17efa9b9</t>
  </si>
  <si>
    <t xml:space="preserve">I-069</t>
  </si>
  <si>
    <t xml:space="preserve">Bewust Investeren (NN Group / BNG)</t>
  </si>
  <si>
    <t xml:space="preserve">Fonds van 300 mln: stichting koopt en verduurzaamt gemeentelijk vastgoed via erfpachtconstructie, na 30 jaar terug naar gemeente; gemeente houdt regie en strategisch eigendom</t>
  </si>
  <si>
    <t xml:space="preserve">Fonds van 300 mln: stichting koopt en verduurzaamt gemeentelijk vastgoed via erfpachtconstructie, na 30 jaar terug naar gemeente; gemeente houdt regie en strategisch eigendom Dummy-uitbreiding voor het website-prototype; niet gecontroleerd.</t>
  </si>
  <si>
    <t xml:space="preserve">Actuele status en voorwaarden verifiëren; institutioneel kapitaal als route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</si>
  <si>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69b23da3-c290-5600-ad17-560def73dd83</t>
  </si>
  <si>
    <t xml:space="preserve">I-070</t>
  </si>
  <si>
    <t xml:space="preserve">Gemeentelijke stimuleringsleningen / revolverende fondsen (via SVn)</t>
  </si>
  <si>
    <t xml:space="preserve">Groeiende groep gemeenten met eigen revolverend fonds of stimuleringslening voor maatschappelijk vastgoed van derden; voorbeelden Venlo (5 mln), Hardenberg, Wormerland, Hilversum</t>
  </si>
  <si>
    <t xml:space="preserve">Groeiende groep gemeenten met eigen revolverend fonds of stimuleringslening voor maatschappelijk vastgoed van derden; voorbeelden Venlo (5 mln), Hardenberg, Wormerland, Hilversum Dummy-uitbreiding voor het website-prototype; niet gecontroleerd.</t>
  </si>
  <si>
    <t xml:space="preserve">Categorie-item: per gemeente checken; groeit snel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</si>
  <si>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fc6fb976-cd77-551d-9e19-0ab1155517de</t>
  </si>
  <si>
    <t xml:space="preserve">I-071</t>
  </si>
  <si>
    <t xml:space="preserve">Regeling regionale energiefondsen MV (BZK via SVn)</t>
  </si>
  <si>
    <t xml:space="preserve">Rijkssubsidie voor provinciale/regionale fondsen die gunstige leningen verstrekken aan dorpshuizen, sportverenigingen, culturele en religieuze organisaties; provincies stappen in (o.a. Zuid-Holland in besluitvorming, Limburg en Groningen live)</t>
  </si>
  <si>
    <t xml:space="preserve">Rijkssubsidie voor provinciale/regionale fondsen die gunstige leningen verstrekken aan dorpshuizen, sportverenigingen, culturele en religieuze organisaties; provincies stappen in (o.a. Zuid-Holland in besluitvorming, Limburg en Groningen live) Dummy-uitbreiding voor het website-prototype; niet gecontroleerd.</t>
  </si>
  <si>
    <t xml:space="preserve">Verklaart de golf regionale fondsen; per provincie status bijhouden (facet Regio)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</si>
  <si>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2d7e93d7-fe73-55e4-a510-113de6753ca7</t>
  </si>
  <si>
    <t xml:space="preserve">I-072</t>
  </si>
  <si>
    <t xml:space="preserve">Private fondsen en buurtfondsen (sociaal vastgoed)</t>
  </si>
  <si>
    <t xml:space="preserve">Oranje Fonds, VSBfonds, KNHM/Kern met Pit, Rabo-fondsen, VriendenLoterij/Buurtfonds: giften en bijdragen voor buurthuizen, dorpshuizen en verenigingsgebouwen; vaak combineerbaar met leningen en DUMAVA</t>
  </si>
  <si>
    <t xml:space="preserve">Oranje Fonds, VSBfonds, KNHM/Kern met Pit, Rabo-fondsen, VriendenLoterij/Buurtfonds: giften en bijdragen voor buurthuizen, dorpshuizen en verenigingsgebouwen; vaak combineerbaar met leningen en DUMAVA Dummy-uitbreiding voor het website-prototype; niet gecontroleerd.</t>
  </si>
  <si>
    <t xml:space="preserve">Kern van de 'sociaal vastgoed'-lens; per fonds voorwaarden inventariseren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</si>
  <si>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a5cd5cdc-e007-5bce-ac6e-c26d2d825ffd</t>
  </si>
  <si>
    <t xml:space="preserve">I-073</t>
  </si>
  <si>
    <t xml:space="preserve">European City Facility (EUCF)</t>
  </si>
  <si>
    <t xml:space="preserve">EU-bijdrage van 60.000 euro voor het uitwerken van een investeringsconcept voor duurzame-energieprogramma's van gemeenten; opstap naar ELENA/EIB</t>
  </si>
  <si>
    <t xml:space="preserve">EU-bijdrage van 60.000 euro voor het uitwerken van een investeringsconcept voor duurzame-energieprogramma's van gemeenten; opstap naar ELENA/EIB Dummy-uitbreiding voor het website-prototype; niet gecontroleerd.</t>
  </si>
  <si>
    <t xml:space="preserve">Status huidige calls verifiëren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</si>
  <si>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b652e651-c6ce-533a-9237-f5248b40f8e1</t>
  </si>
  <si>
    <t xml:space="preserve">I-074</t>
  </si>
  <si>
    <t xml:space="preserve">OZB-tariefdifferentiatie / lokale lastenverlichting</t>
  </si>
  <si>
    <t xml:space="preserve">Gemeenten kunnen sinds 2019 sportaccommodaties, dorpshuizen en andere SBBI's een lager OZB-tarief of subsidie ter compensatie geven; structurele lastenverlaging voor verenigingen</t>
  </si>
  <si>
    <t xml:space="preserve">Gemeenten kunnen sinds 2019 sportaccommodaties, dorpshuizen en andere SBBI's een lager OZB-tarief of subsidie ter compensatie geven; structurele lastenverlaging voor verenigingen Dummy-uitbreiding voor het website-prototype; niet gecontroleerd.</t>
  </si>
  <si>
    <t xml:space="preserve">Raadsbesluit; per gemeente verschillend | Actualiteitsdatum v0.1: 2026-09 | DUMMY-aanvulling: benodigde_input, beoogde_output, centrale_gebruikersvraag, complexiteitsniveau, digitale_vorm_id, doel, doorlooptijd_categorie, gebruikstoelichting, publicatiestatus_id, relevantie_v1, tonen_in_v1, uitgebreide_omschrijving</t>
  </si>
  <si>
    <t xml:space="preserve">865a16a0-a897-5598-8fd4-2eacbea171c2</t>
  </si>
  <si>
    <t xml:space="preserve">I-075</t>
  </si>
  <si>
    <t xml:space="preserve">Renteomslag en interne financiering</t>
  </si>
  <si>
    <t xml:space="preserve">Gemeentelijke systematiek waarmee investeringen intern worden gefinancierd en rente wordt omgeslagen; bepaalt samen met afschrijving de kapitaallast per object</t>
  </si>
  <si>
    <t xml:space="preserve">Gemeentelijke systematiek waarmee investeringen intern worden gefinancierd en rente wordt omgeslagen; bepaalt samen met afschrijving de kapitaallast per object Dummy-uitbreiding voor het website-prototype; niet gecontroleerd.</t>
  </si>
  <si>
    <t xml:space="preserve">8083cad8-38dd-5756-bd3e-00c9d873c56d</t>
  </si>
  <si>
    <t xml:space="preserve">I-076</t>
  </si>
  <si>
    <t xml:space="preserve">Indexatie-afspraken huur vs subsidie sociaal domein</t>
  </si>
  <si>
    <t xml:space="preserve">Mechanisme om de kloof te dichten tussen huurindexatie (fysiek domein) en subsidie-indexatie (sociaal domein) bij KPD-huur; nu vaak bron van conflict</t>
  </si>
  <si>
    <t xml:space="preserve">Mechanisme om de kloof te dichten tussen huurindexatie (fysiek domein) en subsidie-indexatie (sociaal domein) bij KPD-huur; nu vaak bron van conflict Dummy-uitbreiding voor het website-prototype; niet gecontroleerd.</t>
  </si>
  <si>
    <t xml:space="preserve">Prioritair hiaat; samen met I-021 uitwerken | Actualiteitsdatum v0.1: 2026-09 | DUMMY-aanvulling: benodigde_input, beoogde_output, centrale_gebruikersvraag, complexiteitsniveau, digitale_vorm_id, doel, doorlooptijd_categorie, gebruikstoelichting, publicatiestatus_id, reden_niet_tonen, relevantie_v1, tonen_in_v1, uitgebreide_omschrijving</t>
  </si>
  <si>
    <t xml:space="preserve">3cc2c83a-5744-5e77-be27-05124e47b2b3</t>
  </si>
  <si>
    <t xml:space="preserve">I-077</t>
  </si>
  <si>
    <t xml:space="preserve">Duurzame Monumenten(plus)-Lening (NRF), versterkt</t>
  </si>
  <si>
    <t xml:space="preserve">Laagrentende leningen verduurzaming monumenten via Nationaal Restauratiefonds; vanuit Klimaatfonds 25 mln versterking (2025) plus OCW-matching; BNG Duurzaamheidsfonds parallel uitgebreid naar cultureel vastgoed (29 mln)</t>
  </si>
  <si>
    <t xml:space="preserve">Laagrentende leningen verduurzaming monumenten via Nationaal Restauratiefonds; vanuit Klimaatfonds 25 mln versterking (2025) plus OCW-matching; BNG Duurzaamheidsfonds parallel uitgebreid naar cultureel vastgoed (29 mln) Dummy-uitbreiding voor het website-prototype; niet gecontroleerd.</t>
  </si>
  <si>
    <t xml:space="preserve">Vervangt/verrijkt I-036; ook theaters, podia en musea via BNG-uitbreiding | Actualiteitsdatum v0.1: 2026-09 | DUMMY-aanvulling: benodigde_input, beoogde_output, centrale_gebruikersvraag, complexiteitsniveau, digitale_vorm_id, doel, doorlooptijd_categorie, gebruikstoelichting, primaire_instrumenttype_id, publicatiestatus_id, relevantie_v1, tonen_in_v1, uitgebreide_omschrijving</t>
  </si>
  <si>
    <t xml:space="preserve">03dd998a-2a42-5a36-b48c-d36a2cd1a89f</t>
  </si>
  <si>
    <t xml:space="preserve">subsidie</t>
  </si>
  <si>
    <t xml:space="preserve">Financiële regeling</t>
  </si>
  <si>
    <t xml:space="preserve">d4e793c2-11a5-5428-b2ae-a0893d532906</t>
  </si>
  <si>
    <t xml:space="preserve">lening</t>
  </si>
  <si>
    <t xml:space="preserve">1e96f09e-8770-5d79-9b12-bb340415ed1b</t>
  </si>
  <si>
    <t xml:space="preserve">borgstelling</t>
  </si>
  <si>
    <t xml:space="preserve">84615ab9-ba2d-5a0d-b411-94732cdf1240</t>
  </si>
  <si>
    <t xml:space="preserve">ITY-04</t>
  </si>
  <si>
    <t xml:space="preserve">garantie</t>
  </si>
  <si>
    <t xml:space="preserve">9a4155f2-ac97-5b26-a7d7-7c04fac794cf</t>
  </si>
  <si>
    <t xml:space="preserve">fiscaal instrument</t>
  </si>
  <si>
    <t xml:space="preserve">2cf3e058-667f-5a23-9afa-ea984cd1be17</t>
  </si>
  <si>
    <t xml:space="preserve">ITY-06</t>
  </si>
  <si>
    <t xml:space="preserve">fonds</t>
  </si>
  <si>
    <t xml:space="preserve">2ae9385f-f280-5112-b39d-7a2bc1c043e6</t>
  </si>
  <si>
    <t xml:space="preserve">ITY-07</t>
  </si>
  <si>
    <t xml:space="preserve">reserve- of voorzieningstechniek</t>
  </si>
  <si>
    <t xml:space="preserve">66158815-8e14-56ff-a787-dab2a3335eff</t>
  </si>
  <si>
    <t xml:space="preserve">ITY-08</t>
  </si>
  <si>
    <t xml:space="preserve">financieringsconstructie</t>
  </si>
  <si>
    <t xml:space="preserve">Financiële en organisatorische constructie</t>
  </si>
  <si>
    <t xml:space="preserve">fad2c0e0-afde-52cc-a163-05ef86ce1098</t>
  </si>
  <si>
    <t xml:space="preserve">ITY-09</t>
  </si>
  <si>
    <t xml:space="preserve">eigendomsconstructie</t>
  </si>
  <si>
    <t xml:space="preserve">e2c705c4-14b3-5658-b2d4-f6ab678ce0cc</t>
  </si>
  <si>
    <t xml:space="preserve">ITY-10</t>
  </si>
  <si>
    <t xml:space="preserve">huurconstructie</t>
  </si>
  <si>
    <t xml:space="preserve">432b0f18-6bca-5790-bd7c-1adf5bfcabea</t>
  </si>
  <si>
    <t xml:space="preserve">bekostigingstechniek</t>
  </si>
  <si>
    <t xml:space="preserve">00c03e8f-9127-542d-802b-9fac25f6ac85</t>
  </si>
  <si>
    <t xml:space="preserve">contractvorm</t>
  </si>
  <si>
    <t xml:space="preserve">a2a3f4aa-3267-5cf5-82f3-c9265805b043</t>
  </si>
  <si>
    <t xml:space="preserve">ITY-13</t>
  </si>
  <si>
    <t xml:space="preserve">inkoopconstructie</t>
  </si>
  <si>
    <t xml:space="preserve">82d3b248-0c85-5f71-b9db-68bd2679b1b0</t>
  </si>
  <si>
    <t xml:space="preserve">rekenmodel</t>
  </si>
  <si>
    <t xml:space="preserve">Analyse en besluitvorming</t>
  </si>
  <si>
    <t xml:space="preserve">e75a9cc3-f01d-5726-8553-f19163fd9627</t>
  </si>
  <si>
    <t xml:space="preserve">rekentool</t>
  </si>
  <si>
    <t xml:space="preserve">618bf8d5-8d73-5328-90e4-cdc89a459ae1</t>
  </si>
  <si>
    <t xml:space="preserve">afwegingskader</t>
  </si>
  <si>
    <t xml:space="preserve">80a913b2-3777-5d33-815c-77c37d5177f3</t>
  </si>
  <si>
    <t xml:space="preserve">ITY-17</t>
  </si>
  <si>
    <t xml:space="preserve">scenario-instrument</t>
  </si>
  <si>
    <t xml:space="preserve">eaac97e2-c083-5616-8f79-cef65d8c43f8</t>
  </si>
  <si>
    <t xml:space="preserve">ITY-18</t>
  </si>
  <si>
    <t xml:space="preserve">beslisboom</t>
  </si>
  <si>
    <t xml:space="preserve">ab88e20f-4a17-51f8-b0d0-4296aa652662</t>
  </si>
  <si>
    <t xml:space="preserve">ITY-19</t>
  </si>
  <si>
    <t xml:space="preserve">routekaart</t>
  </si>
  <si>
    <t xml:space="preserve">02f4c091-6c4f-5f00-8193-9849c8abbae3</t>
  </si>
  <si>
    <t xml:space="preserve">ITY-20</t>
  </si>
  <si>
    <t xml:space="preserve">monitoringsinstrument</t>
  </si>
  <si>
    <t xml:space="preserve">1755a56c-7d00-521c-af15-c0609c4f3e85</t>
  </si>
  <si>
    <t xml:space="preserve">ITY-21</t>
  </si>
  <si>
    <t xml:space="preserve">dataset of kengetallenbron</t>
  </si>
  <si>
    <t xml:space="preserve">dfd67901-38d5-5160-84d3-9125cadbf075</t>
  </si>
  <si>
    <t xml:space="preserve">ITY-22</t>
  </si>
  <si>
    <t xml:space="preserve">format</t>
  </si>
  <si>
    <t xml:space="preserve">Ondersteunend product</t>
  </si>
  <si>
    <t xml:space="preserve">0e75a2cf-e8ea-52e7-94c3-315561c244a5</t>
  </si>
  <si>
    <t xml:space="preserve">template</t>
  </si>
  <si>
    <t xml:space="preserve">c66d4b04-c2e4-5d3d-ac2a-c429fab165da</t>
  </si>
  <si>
    <t xml:space="preserve">handreiking</t>
  </si>
  <si>
    <t xml:space="preserve">038a63d0-a092-5e71-869f-892d2d93f724</t>
  </si>
  <si>
    <t xml:space="preserve">ITY-25</t>
  </si>
  <si>
    <t xml:space="preserve">stappenplan</t>
  </si>
  <si>
    <t xml:space="preserve">f0c8912f-51f7-5993-924f-c32c8c5cfcef</t>
  </si>
  <si>
    <t xml:space="preserve">wettelijke norm of verplichting</t>
  </si>
  <si>
    <t xml:space="preserve">b7b4003a-3170-5a5a-b9a5-e9cfc355748a</t>
  </si>
  <si>
    <t xml:space="preserve">ITY-27</t>
  </si>
  <si>
    <t xml:space="preserve">praktijkvoorbeeld</t>
  </si>
  <si>
    <t xml:space="preserve">90d7d995-016c-5b09-9c7a-c0f2cb4931c7</t>
  </si>
  <si>
    <t xml:space="preserve">ITY-28</t>
  </si>
  <si>
    <t xml:space="preserve">opleiding</t>
  </si>
  <si>
    <t xml:space="preserve">6b635e68-58fc-550c-a88d-06a3b9b98f87</t>
  </si>
  <si>
    <t xml:space="preserve">ITY-29</t>
  </si>
  <si>
    <t xml:space="preserve">uitlegproduct</t>
  </si>
  <si>
    <t xml:space="preserve">4a369fee-e249-516f-b205-e388b6f194b2</t>
  </si>
  <si>
    <t xml:space="preserve">advies of ontzorging</t>
  </si>
  <si>
    <t xml:space="preserve">731cfb62-c4fc-56a5-8725-19f4627d140e</t>
  </si>
  <si>
    <t xml:space="preserve">website</t>
  </si>
  <si>
    <t xml:space="preserve">0b0b3eab-1481-54e6-9cbd-7c354be44db8</t>
  </si>
  <si>
    <t xml:space="preserve">DV-02</t>
  </si>
  <si>
    <t xml:space="preserve">webapplicatie</t>
  </si>
  <si>
    <t xml:space="preserve">fccb411c-773f-5cb0-b2b9-4aa7c11f124f</t>
  </si>
  <si>
    <t xml:space="preserve">Excelmodel</t>
  </si>
  <si>
    <t xml:space="preserve">f370904e-927c-52ab-8df5-6fd448306115</t>
  </si>
  <si>
    <t xml:space="preserve">PDF</t>
  </si>
  <si>
    <t xml:space="preserve">a9bb433c-c732-52a5-a6c9-de700b8222b5</t>
  </si>
  <si>
    <t xml:space="preserve">Wordformat</t>
  </si>
  <si>
    <t xml:space="preserve">659411a4-f5ad-595d-8719-1ebff7e83dfc</t>
  </si>
  <si>
    <t xml:space="preserve">DV-06</t>
  </si>
  <si>
    <t xml:space="preserve">database</t>
  </si>
  <si>
    <t xml:space="preserve">bfed8c78-cc36-5a3e-a43b-7f684c075d21</t>
  </si>
  <si>
    <t xml:space="preserve">DV-07</t>
  </si>
  <si>
    <t xml:space="preserve">dashboard</t>
  </si>
  <si>
    <t xml:space="preserve">d044e239-8e6c-5912-b67b-47b60449787a</t>
  </si>
  <si>
    <t xml:space="preserve">8150e054-0a24-5180-a129-b7219f1c1c4d</t>
  </si>
  <si>
    <t xml:space="preserve">DV-09</t>
  </si>
  <si>
    <t xml:space="preserve">formulier</t>
  </si>
  <si>
    <t xml:space="preserve">0fde9f1e-ed47-5474-81e6-ea16d8c40aa3</t>
  </si>
  <si>
    <t xml:space="preserve">DV-10</t>
  </si>
  <si>
    <t xml:space="preserve">video</t>
  </si>
  <si>
    <t xml:space="preserve">0fb3fa3e-95f4-5ee4-983a-a1056b6ea101</t>
  </si>
  <si>
    <t xml:space="preserve">DV-11</t>
  </si>
  <si>
    <t xml:space="preserve">f1e0c957-3264-595b-aacd-704ff44b3170</t>
  </si>
  <si>
    <t xml:space="preserve">adviestraject</t>
  </si>
  <si>
    <t xml:space="preserve">3f007b71-5a1c-5c64-99f1-dc6117b27e4c</t>
  </si>
  <si>
    <t xml:space="preserve">DV-13</t>
  </si>
  <si>
    <t xml:space="preserve">API</t>
  </si>
  <si>
    <t xml:space="preserve">759f21ae-4cc0-5126-8190-42b356d24df0</t>
  </si>
  <si>
    <t xml:space="preserve">DV-14</t>
  </si>
  <si>
    <t xml:space="preserve">8c8fdb28-00b8-5fa0-aed9-54ace1366d71</t>
  </si>
  <si>
    <t xml:space="preserve">RVO</t>
  </si>
  <si>
    <t xml:space="preserve">ORGT-04</t>
  </si>
  <si>
    <t xml:space="preserve">Nederland</t>
  </si>
  <si>
    <t xml:space="preserve">DUMMY-aanvulling: land, organisatietype_id</t>
  </si>
  <si>
    <t xml:space="preserve">d0d0dc11-3127-509d-8a97-8eda1016787b</t>
  </si>
  <si>
    <t xml:space="preserve">RVO/Belastingdienst</t>
  </si>
  <si>
    <t xml:space="preserve">Samengestelde waarde uit v0.1; splitsen in afzonderlijke organisaties. | DUMMY-aanvulling: land, organisatietype_id</t>
  </si>
  <si>
    <t xml:space="preserve">053502c8-ec6b-55bf-9a97-fc249fcf745c</t>
  </si>
  <si>
    <t xml:space="preserve">DUS-I</t>
  </si>
  <si>
    <t xml:space="preserve">c8a3e402-1881-54c6-b64e-c278b40f0be7</t>
  </si>
  <si>
    <t xml:space="preserve">RCE</t>
  </si>
  <si>
    <t xml:space="preserve">ORGT-15</t>
  </si>
  <si>
    <t xml:space="preserve">6434e8e4-f69b-5806-b38c-7c7ec45cf065</t>
  </si>
  <si>
    <t xml:space="preserve">Provincies/RVO</t>
  </si>
  <si>
    <t xml:space="preserve">ORGT-03</t>
  </si>
  <si>
    <t xml:space="preserve">153a7cf6-cb57-5bc0-8a55-cc78b54999f9</t>
  </si>
  <si>
    <t xml:space="preserve">BNG Bank</t>
  </si>
  <si>
    <t xml:space="preserve">ORGT-08</t>
  </si>
  <si>
    <t xml:space="preserve">9e96f95a-db81-524f-8236-12bcd4506fd0</t>
  </si>
  <si>
    <t xml:space="preserve">SWS</t>
  </si>
  <si>
    <t xml:space="preserve">ORGT-09</t>
  </si>
  <si>
    <t xml:space="preserve">a7a82405-68d7-53a2-ba32-9441ef42c2ef</t>
  </si>
  <si>
    <t xml:space="preserve">RVO/PIANOo/Invest-NL</t>
  </si>
  <si>
    <t xml:space="preserve">0f58f5ca-346f-5873-9d50-23fa67be8782</t>
  </si>
  <si>
    <t xml:space="preserve">Markt</t>
  </si>
  <si>
    <t xml:space="preserve">ORGT-13</t>
  </si>
  <si>
    <t xml:space="preserve">56f9f93c-135f-57a3-be84-e3bb7ea5da0c</t>
  </si>
  <si>
    <t xml:space="preserve">Gemeente/markt</t>
  </si>
  <si>
    <t xml:space="preserve">ORGT-02</t>
  </si>
  <si>
    <t xml:space="preserve">d7d45f6f-92c6-5482-b87d-01033e3f8688</t>
  </si>
  <si>
    <t xml:space="preserve">Commissie BBV</t>
  </si>
  <si>
    <t xml:space="preserve">ORGT-05</t>
  </si>
  <si>
    <t xml:space="preserve">1e511e90-d553-50b2-bab2-c4244c76962f</t>
  </si>
  <si>
    <t xml:space="preserve">Gemeente (raad)</t>
  </si>
  <si>
    <t xml:space="preserve">51ea06c6-247a-530e-b553-4740893d4d29</t>
  </si>
  <si>
    <t xml:space="preserve">Gemeente</t>
  </si>
  <si>
    <t xml:space="preserve">7b7a4bb1-ffeb-5f7e-ba66-e1fec9e62f18</t>
  </si>
  <si>
    <t xml:space="preserve">Gemeente Utrecht</t>
  </si>
  <si>
    <t xml:space="preserve">e4194b05-d2cd-58e5-b3f4-189277d1f947</t>
  </si>
  <si>
    <t xml:space="preserve">Divers</t>
  </si>
  <si>
    <t xml:space="preserve">18bf01df-d7d0-5764-97b4-c3808076284a</t>
  </si>
  <si>
    <t xml:space="preserve">VNG</t>
  </si>
  <si>
    <t xml:space="preserve">ORGT-06</t>
  </si>
  <si>
    <t xml:space="preserve">0cb3f85e-a1ab-50b4-a687-484cb406e3b9</t>
  </si>
  <si>
    <t xml:space="preserve">Rijk/RVO</t>
  </si>
  <si>
    <t xml:space="preserve">de28f925-4f87-5e42-8fb0-556eaec5273c</t>
  </si>
  <si>
    <t xml:space="preserve">BNG Duurzaamheidsfonds/SVn</t>
  </si>
  <si>
    <t xml:space="preserve">14dd4d5e-0681-53a4-81e7-ae8e4e4cae28</t>
  </si>
  <si>
    <t xml:space="preserve">Provincie Gelderland/SVn</t>
  </si>
  <si>
    <t xml:space="preserve">fb650abd-b97d-5eee-92f8-f221e71ab0b4</t>
  </si>
  <si>
    <t xml:space="preserve">Provincies/fondsbeheerders</t>
  </si>
  <si>
    <t xml:space="preserve">87316b99-7bde-55c7-8e82-71c3934fd4ae</t>
  </si>
  <si>
    <t xml:space="preserve">Europese Investeringsbank</t>
  </si>
  <si>
    <t xml:space="preserve">Europa</t>
  </si>
  <si>
    <t xml:space="preserve">e1199e0c-6977-5cf3-9c3a-63e1949c5ade</t>
  </si>
  <si>
    <t xml:space="preserve">EU/managementautoriteiten</t>
  </si>
  <si>
    <t xml:space="preserve">ORGT-14</t>
  </si>
  <si>
    <t xml:space="preserve">d50b2753-e246-59c0-951d-9531493dd9ef</t>
  </si>
  <si>
    <t xml:space="preserve">Nationaal Restauratiefonds</t>
  </si>
  <si>
    <t xml:space="preserve">ORGT-07</t>
  </si>
  <si>
    <t xml:space="preserve">a2bda149-b241-513e-a685-e8dfbfbcd1ad</t>
  </si>
  <si>
    <t xml:space="preserve">Bouwstenen voor Sociaal</t>
  </si>
  <si>
    <t xml:space="preserve">f0d13e3b-d68b-5588-9a3d-14d1b3a48a94</t>
  </si>
  <si>
    <t xml:space="preserve">RVO/Ruimte-OK</t>
  </si>
  <si>
    <t xml:space="preserve">f4c77258-438f-54d1-822b-b42da27d42ab</t>
  </si>
  <si>
    <t xml:space="preserve">DGBC/TVVL</t>
  </si>
  <si>
    <t xml:space="preserve">427f09c8-8546-5744-a341-5dee4ccce00a</t>
  </si>
  <si>
    <t xml:space="preserve">Platform Duurzame Huisvesting</t>
  </si>
  <si>
    <t xml:space="preserve">9533cd75-65f7-59b1-bb19-d6e59cb05950</t>
  </si>
  <si>
    <t xml:space="preserve">Rijk/RVO/omgevingsdiensten</t>
  </si>
  <si>
    <t xml:space="preserve">f03e370e-f57c-5c81-91bf-75ab56a74bc3</t>
  </si>
  <si>
    <t xml:space="preserve">Gemeente/adviseurs</t>
  </si>
  <si>
    <t xml:space="preserve">b16a4cca-341c-57f1-85a6-c90c9ede4cf0</t>
  </si>
  <si>
    <t xml:space="preserve">EVZ (TNO/Milieuplatform Zorg)</t>
  </si>
  <si>
    <t xml:space="preserve">44ae3254-82c6-51fc-93ed-aae1b75a2041</t>
  </si>
  <si>
    <t xml:space="preserve">NPLW</t>
  </si>
  <si>
    <t xml:space="preserve">d547d398-1cd5-5c79-886e-bdcb7440bd4d</t>
  </si>
  <si>
    <t xml:space="preserve">Provincie Groningen / Fonds Nieuwe Doen</t>
  </si>
  <si>
    <t xml:space="preserve">b643dce0-0aa1-5c08-8926-6aea0a181732</t>
  </si>
  <si>
    <t xml:space="preserve">Provincie Limburg / SVn</t>
  </si>
  <si>
    <t xml:space="preserve">4941fdab-3d56-5d8b-8100-b124b6d7f4c5</t>
  </si>
  <si>
    <t xml:space="preserve">Gemeente Hardenberg / SVn</t>
  </si>
  <si>
    <t xml:space="preserve">6cbc9284-b3c3-5cf0-8cb4-4d555bc2052b</t>
  </si>
  <si>
    <t xml:space="preserve">e0198a1d-09d7-54c9-8536-0c7e4bbcbc05</t>
  </si>
  <si>
    <t xml:space="preserve">Katalys / LSA / LVKK / fondsen</t>
  </si>
  <si>
    <t xml:space="preserve">0c971852-e81c-593f-8d3d-89b840b7f475</t>
  </si>
  <si>
    <t xml:space="preserve">Provincie Noord-Holland</t>
  </si>
  <si>
    <t xml:space="preserve">f62baa0e-d4ce-5dfd-99f7-9d83157e3b7a</t>
  </si>
  <si>
    <t xml:space="preserve">Diverse platforms</t>
  </si>
  <si>
    <t xml:space="preserve">412c5b3f-090a-5767-ace6-ece40cb4a41f</t>
  </si>
  <si>
    <t xml:space="preserve">RVO / Platform Duurzame Huisvesting</t>
  </si>
  <si>
    <t xml:space="preserve">0036a92e-b407-567f-8c96-c02300a004fd</t>
  </si>
  <si>
    <t xml:space="preserve">Gemeente / Bouwstenen voor Sociaal</t>
  </si>
  <si>
    <t xml:space="preserve">cec66e27-3cd4-56f1-a53e-db72605957d6</t>
  </si>
  <si>
    <t xml:space="preserve">Programma Onderwijshuisvesting</t>
  </si>
  <si>
    <t xml:space="preserve">b396e9ee-fc6d-59a7-bede-2efaa1e0f160</t>
  </si>
  <si>
    <t xml:space="preserve">Expertisecentrum Verduurzaming Zorg</t>
  </si>
  <si>
    <t xml:space="preserve">cb07092c-df85-533d-bbf9-c038d9806cfe</t>
  </si>
  <si>
    <t xml:space="preserve">Kenniscentrum Sport &amp; Bewegen</t>
  </si>
  <si>
    <t xml:space="preserve">46228fcd-dc2d-547e-8ba1-4f611c7ec5ce</t>
  </si>
  <si>
    <t xml:space="preserve">Museumvereniging</t>
  </si>
  <si>
    <t xml:space="preserve">824ebb1f-c87c-5977-bb4d-e66fe614d555</t>
  </si>
  <si>
    <t xml:space="preserve">Bouwstenen voor Sociaal / gemeenten</t>
  </si>
  <si>
    <t xml:space="preserve">e687655d-fcf8-5ba5-a263-cdb55b657594</t>
  </si>
  <si>
    <t xml:space="preserve">Belastingdienst</t>
  </si>
  <si>
    <t xml:space="preserve">ORGT-01</t>
  </si>
  <si>
    <t xml:space="preserve">a686bc53-9746-5f25-b422-76221363f564</t>
  </si>
  <si>
    <t xml:space="preserve">Rijk/Belastingdienst</t>
  </si>
  <si>
    <t xml:space="preserve">45c10bbe-d707-505d-bb59-9050c5e73b57</t>
  </si>
  <si>
    <t xml:space="preserve">NWB Bank</t>
  </si>
  <si>
    <t xml:space="preserve">e01c9728-f917-5f95-9082-01a77b45b2cb</t>
  </si>
  <si>
    <t xml:space="preserve">NN Group, BNG Bank</t>
  </si>
  <si>
    <t xml:space="preserve">0b91c58b-510e-5453-8e86-70c02ff7061c</t>
  </si>
  <si>
    <t xml:space="preserve">Gemeenten/SVn</t>
  </si>
  <si>
    <t xml:space="preserve">77f715b0-3099-58ec-b206-c69dbadf6825</t>
  </si>
  <si>
    <t xml:space="preserve">BZK/SVn/provincies</t>
  </si>
  <si>
    <t xml:space="preserve">e7b42402-845e-58cb-bd20-650a8c102ed7</t>
  </si>
  <si>
    <t xml:space="preserve">Private fondsen</t>
  </si>
  <si>
    <t xml:space="preserve">6da86dd5-8f08-554c-bafe-22aaef48c9ae</t>
  </si>
  <si>
    <t xml:space="preserve">EU</t>
  </si>
  <si>
    <t xml:space="preserve">572428c6-615e-57c7-bed7-ad98459bf203</t>
  </si>
  <si>
    <t xml:space="preserve">Gemeenten</t>
  </si>
  <si>
    <t xml:space="preserve">356aff77-8d3f-535b-86af-7c3ed21b315d</t>
  </si>
  <si>
    <t xml:space="preserve">NRF/OCW/VRO</t>
  </si>
  <si>
    <t xml:space="preserve">81d10e4e-cfa5-5a1c-b300-311b2fa87e50</t>
  </si>
  <si>
    <t xml:space="preserve">VMV-programma</t>
  </si>
  <si>
    <t xml:space="preserve">VMV</t>
  </si>
  <si>
    <t xml:space="preserve">Dummy: programma dat het Kompas laat ontwikkelen.</t>
  </si>
  <si>
    <t xml:space="preserve">39b2b31f-7ae6-5a45-a29e-a5413bc36dad</t>
  </si>
  <si>
    <t xml:space="preserve">rijksoverheid</t>
  </si>
  <si>
    <t xml:space="preserve">03272364-e8d3-5d4b-9b82-6c41e01570ae</t>
  </si>
  <si>
    <t xml:space="preserve">74bd104d-a2c8-5a2c-82f2-afdfb1a7f646</t>
  </si>
  <si>
    <t xml:space="preserve">3ae9bb48-ba9e-5faf-a548-1e29ccfe6d03</t>
  </si>
  <si>
    <t xml:space="preserve">uitvoeringsorganisatie</t>
  </si>
  <si>
    <t xml:space="preserve">3a7aa304-3fe4-5209-aea8-9d99c53514ec</t>
  </si>
  <si>
    <t xml:space="preserve">kennisorganisatie</t>
  </si>
  <si>
    <t xml:space="preserve">fd565591-e626-514d-a5b4-7979268ab88c</t>
  </si>
  <si>
    <t xml:space="preserve">brancheorganisatie</t>
  </si>
  <si>
    <t xml:space="preserve">33a3db60-233f-518b-ac2b-3004c9d04cdb</t>
  </si>
  <si>
    <t xml:space="preserve">54229839-424c-5b5c-bf59-4942cfa06627</t>
  </si>
  <si>
    <t xml:space="preserve">financiële instelling</t>
  </si>
  <si>
    <t xml:space="preserve">170b0171-3118-5412-8109-ccc72fcb42a7</t>
  </si>
  <si>
    <t xml:space="preserve">waarborgfonds</t>
  </si>
  <si>
    <t xml:space="preserve">d9553fef-9b2d-5eca-8f41-6e0f223369dd</t>
  </si>
  <si>
    <t xml:space="preserve">ORGT-10</t>
  </si>
  <si>
    <t xml:space="preserve">adviesbureau</t>
  </si>
  <si>
    <t xml:space="preserve">d10826de-bc3d-50a8-8fea-c3b16a7b9252</t>
  </si>
  <si>
    <t xml:space="preserve">ORGT-11</t>
  </si>
  <si>
    <t xml:space="preserve">onderwijsinstelling</t>
  </si>
  <si>
    <t xml:space="preserve">9404a0ea-8dc8-502e-8abb-d317669adf8d</t>
  </si>
  <si>
    <t xml:space="preserve">ORGT-12</t>
  </si>
  <si>
    <t xml:space="preserve">maatschappelijke organisatie</t>
  </si>
  <si>
    <t xml:space="preserve">7a60c3c8-e2eb-5a6d-8ccd-5425c05e1b8c</t>
  </si>
  <si>
    <t xml:space="preserve">marktpartij</t>
  </si>
  <si>
    <t xml:space="preserve">924cb62d-38a5-53ce-8570-57a3dea9043d</t>
  </si>
  <si>
    <t xml:space="preserve">0049a41c-8f44-5e45-8788-8d2cce641c59</t>
  </si>
  <si>
    <t xml:space="preserve">8133d48e-4b43-5c81-bb88-4d8dbec88ecf</t>
  </si>
  <si>
    <t xml:space="preserve">DUMMY-aanvulling: relatierol</t>
  </si>
  <si>
    <t xml:space="preserve">63cd67a5-8048-5a6d-976b-f713e57071b2</t>
  </si>
  <si>
    <t xml:space="preserve">2c73e657-da00-5366-a363-606e93fbb48f</t>
  </si>
  <si>
    <t xml:space="preserve">38bbdcf0-e9cf-54ed-9bc8-efb606289e9e</t>
  </si>
  <si>
    <t xml:space="preserve">63d0bdba-663a-50b0-899a-c61214095605</t>
  </si>
  <si>
    <t xml:space="preserve">db66cc77-0d8f-589c-8a15-f3602e647bc9</t>
  </si>
  <si>
    <t xml:space="preserve">885b8284-70ba-52b5-b12a-aeb4d0f26f75</t>
  </si>
  <si>
    <t xml:space="preserve">5040b912-1f77-5d33-b0aa-42d504c55771</t>
  </si>
  <si>
    <t xml:space="preserve">7254d13e-1094-5d10-835e-331dac94bf8a</t>
  </si>
  <si>
    <t xml:space="preserve">8fadd400-5266-5077-ac6b-92425f3f80ee</t>
  </si>
  <si>
    <t xml:space="preserve">c9f32d4b-3fcc-5db5-84ac-5795d951c033</t>
  </si>
  <si>
    <t xml:space="preserve">2af1d061-c887-5ef8-b18c-0bd24adb8b9d</t>
  </si>
  <si>
    <t xml:space="preserve">5c8638aa-354d-57f1-b191-1d65066a7dd8</t>
  </si>
  <si>
    <t xml:space="preserve">dec3232a-1d08-5462-824b-3940e236d5c5</t>
  </si>
  <si>
    <t xml:space="preserve">843a1d3d-6021-5e4a-a514-f503861da497</t>
  </si>
  <si>
    <t xml:space="preserve">7a3b5356-6d4e-5549-9728-d72d9f92124c</t>
  </si>
  <si>
    <t xml:space="preserve">28fde07c-27d2-549e-8c33-7ca29b0fbb2e</t>
  </si>
  <si>
    <t xml:space="preserve">be740153-cfe5-5863-878c-4e1e91459252</t>
  </si>
  <si>
    <t xml:space="preserve">f4df9094-10ae-5c03-bebe-16fbc1c66c9a</t>
  </si>
  <si>
    <t xml:space="preserve">1f544f81-5638-510e-a130-8bd545ca0497</t>
  </si>
  <si>
    <t xml:space="preserve">e98907e9-804d-52b0-8308-638598865740</t>
  </si>
  <si>
    <t xml:space="preserve">e1ed9146-d445-55ab-b6df-45409afad9d4</t>
  </si>
  <si>
    <t xml:space="preserve">93a3ffcc-501e-57f8-966d-73a216b20002</t>
  </si>
  <si>
    <t xml:space="preserve">c2c81cba-7c58-5cd9-913e-85e53892b90a</t>
  </si>
  <si>
    <t xml:space="preserve">505ce643-e607-54fd-b43f-efd32ea126e1</t>
  </si>
  <si>
    <t xml:space="preserve">8c952567-fcfa-54a1-86f2-959d33da9572</t>
  </si>
  <si>
    <t xml:space="preserve">71b1ba63-e1d7-562a-8785-3c2e6c131282</t>
  </si>
  <si>
    <t xml:space="preserve">8ffbbd1c-0fbb-50a7-8373-4210694dab8b</t>
  </si>
  <si>
    <t xml:space="preserve">c03b663e-a1ba-5d7a-b78d-0b17e169153c</t>
  </si>
  <si>
    <t xml:space="preserve">bb9a8763-1751-59ca-8557-27fb321aacd2</t>
  </si>
  <si>
    <t xml:space="preserve">fd17ed97-3e2e-528e-bfe7-0e01e46ab082</t>
  </si>
  <si>
    <t xml:space="preserve">2d2862f8-765c-5842-b3d3-abcf94706157</t>
  </si>
  <si>
    <t xml:space="preserve">1659b068-a128-5d63-9dd4-12efdfbc90d1</t>
  </si>
  <si>
    <t xml:space="preserve">2fedbade-1b3c-5212-91f0-f839e262bcd8</t>
  </si>
  <si>
    <t xml:space="preserve">7d1148c2-5a65-5008-9bc2-e491841209af</t>
  </si>
  <si>
    <t xml:space="preserve">3c010d06-6d87-5294-bc87-be4f7010574b</t>
  </si>
  <si>
    <t xml:space="preserve">767e2a8d-4e4e-5fbe-afd2-92a96ddf9dfb</t>
  </si>
  <si>
    <t xml:space="preserve">84f83d00-1181-5c15-b7e7-b26b1c61362e</t>
  </si>
  <si>
    <t xml:space="preserve">fbddf1e8-fc38-5070-b588-12365088b183</t>
  </si>
  <si>
    <t xml:space="preserve">5beec1ac-ea80-5205-aa2b-17cdbfcdc08d</t>
  </si>
  <si>
    <t xml:space="preserve">179e9a2c-fd98-526e-98b5-f6f2cd7bf384</t>
  </si>
  <si>
    <t xml:space="preserve">3dec2a1b-7962-55db-a880-58e624905655</t>
  </si>
  <si>
    <t xml:space="preserve">9e01a603-7832-5bff-a4d2-2ed9cac7c7f0</t>
  </si>
  <si>
    <t xml:space="preserve">e9144050-62a1-5308-ae5a-b50fa7ebdb71</t>
  </si>
  <si>
    <t xml:space="preserve">2edab0c1-ee6d-52a3-ba16-d5213882d5b2</t>
  </si>
  <si>
    <t xml:space="preserve">232a90b5-5e48-5f6f-866d-02868522064f</t>
  </si>
  <si>
    <t xml:space="preserve">5ac75eb9-aa7a-597d-98ed-92aa77e601cb</t>
  </si>
  <si>
    <t xml:space="preserve">9beb956e-d689-5f99-8639-9f17f8e0483b</t>
  </si>
  <si>
    <t xml:space="preserve">31025eae-2f87-5358-bc5c-6eac381bf3d4</t>
  </si>
  <si>
    <t xml:space="preserve">1e554324-cf9a-5349-956f-661998ed253f</t>
  </si>
  <si>
    <t xml:space="preserve">76658303-2801-5272-ab18-f7407c0a0dc8</t>
  </si>
  <si>
    <t xml:space="preserve">ba7d5d02-16c7-58ed-81b6-160cd94cf4c3</t>
  </si>
  <si>
    <t xml:space="preserve">bc40925b-734b-5f73-995f-7d333f55f8b4</t>
  </si>
  <si>
    <t xml:space="preserve">4e6c08ff-8736-5ef4-b329-3cf009a8af72</t>
  </si>
  <si>
    <t xml:space="preserve">17352b27-68a6-5c51-a187-262552744e48</t>
  </si>
  <si>
    <t xml:space="preserve">b538736b-74d6-5e36-9edd-29e0d016b419</t>
  </si>
  <si>
    <t xml:space="preserve">6e30646c-d19b-51b8-900f-b99624741514</t>
  </si>
  <si>
    <t xml:space="preserve">ccc621ff-5676-5708-a80c-7e88ae76d2b9</t>
  </si>
  <si>
    <t xml:space="preserve">06483871-095a-5286-bdc4-9488562c61ac</t>
  </si>
  <si>
    <t xml:space="preserve">34d2c50c-fd80-5a7a-8375-306e2075818c</t>
  </si>
  <si>
    <t xml:space="preserve">af34c1cc-3c27-52d2-8ca8-9bbed65a310f</t>
  </si>
  <si>
    <t xml:space="preserve">e1a5aaf8-557d-52db-8a60-08984c1a8e7c</t>
  </si>
  <si>
    <t xml:space="preserve">e6a1a706-016a-5382-b985-cc7a06852771</t>
  </si>
  <si>
    <t xml:space="preserve">b6a4b312-c9d8-57cc-8813-00e00e740a3a</t>
  </si>
  <si>
    <t xml:space="preserve">43392403-0d64-5be2-9ffb-2e69651ce23e</t>
  </si>
  <si>
    <t xml:space="preserve">d180420b-3c65-5359-b601-84740947f221</t>
  </si>
  <si>
    <t xml:space="preserve">f3520619-46df-59f5-8f84-c70cd59cbb8c</t>
  </si>
  <si>
    <t xml:space="preserve">f45b1b4b-e49d-540c-9e1f-a6d99b4d4ecc</t>
  </si>
  <si>
    <t xml:space="preserve">f107b593-6826-5aee-a708-e1c31ea1b4cb</t>
  </si>
  <si>
    <t xml:space="preserve">083f45e8-9d1a-5d5d-b39b-9e5e651dcf06</t>
  </si>
  <si>
    <t xml:space="preserve">d04c8af3-0472-52e7-8ef3-ee7e4159a0c3</t>
  </si>
  <si>
    <t xml:space="preserve">9d2b8318-149f-56e3-9896-2312cc8c6f18</t>
  </si>
  <si>
    <t xml:space="preserve">ae48d3f8-04d5-5022-84bf-a0dfd59c2ab7</t>
  </si>
  <si>
    <t xml:space="preserve">9e88b394-281c-542c-8c2b-b062b13492f3</t>
  </si>
  <si>
    <t xml:space="preserve">882683a2-71a6-5619-844e-7e3d7654d139</t>
  </si>
  <si>
    <t xml:space="preserve">1ad59309-0ecb-5b6a-b07a-5900127275a6</t>
  </si>
  <si>
    <t xml:space="preserve">5872fb4f-2e09-5bf9-bd57-b596b2a04408</t>
  </si>
  <si>
    <t xml:space="preserve">4428f07b-7579-5f59-aa36-8f59c0aca7b5</t>
  </si>
  <si>
    <t xml:space="preserve">rvo.nl/subsidies-financiering/dumava</t>
  </si>
  <si>
    <t xml:space="preserve">BRT-05</t>
  </si>
  <si>
    <t xml:space="preserve">2026-09-04</t>
  </si>
  <si>
    <t xml:space="preserve">nl</t>
  </si>
  <si>
    <t xml:space="preserve">actueel</t>
  </si>
  <si>
    <t xml:space="preserve">DUMMY-aanvulling: bronstatus, brontype_id, geraadpleegd_op, juridisch_bindend, primaire_bron, taal</t>
  </si>
  <si>
    <t xml:space="preserve">4f322bbc-3168-59db-b0ad-26adc1f98e14</t>
  </si>
  <si>
    <t xml:space="preserve">rvo.nl (ISDE zakelijk)</t>
  </si>
  <si>
    <t xml:space="preserve">7f3b7204-0702-5124-90eb-83155cb09d05</t>
  </si>
  <si>
    <t xml:space="preserve">rvo.nl (SDE++)</t>
  </si>
  <si>
    <t xml:space="preserve">21305000-3dbc-5156-9661-d7004c52d7b5</t>
  </si>
  <si>
    <t xml:space="preserve">rvo.nl (EIA)</t>
  </si>
  <si>
    <t xml:space="preserve">ce401c5f-913b-5d50-9004-d93e5c71cc15</t>
  </si>
  <si>
    <t xml:space="preserve">dus-i.nl/subsidies</t>
  </si>
  <si>
    <t xml:space="preserve">2e52c5ca-795c-5240-8846-5ac7d00fd701</t>
  </si>
  <si>
    <t xml:space="preserve">dus-i.nl</t>
  </si>
  <si>
    <t xml:space="preserve">98a2621b-4dec-56c3-abc9-6924ca12d4b3</t>
  </si>
  <si>
    <t xml:space="preserve">cultureelerfgoed.nl</t>
  </si>
  <si>
    <t xml:space="preserve">b844a93a-3f34-5c9f-8cd0-bae98624b10f</t>
  </si>
  <si>
    <t xml:space="preserve">rvo.nl (ontzorgingsprogramma)</t>
  </si>
  <si>
    <t xml:space="preserve">e5c7a84d-eafb-5c18-9552-ac6f1aac157a</t>
  </si>
  <si>
    <t xml:space="preserve">bngbank.nl/financiering</t>
  </si>
  <si>
    <t xml:space="preserve">fe39ef21-aa7a-5e90-8b54-ca43fc092378</t>
  </si>
  <si>
    <t xml:space="preserve">bngbank.nl</t>
  </si>
  <si>
    <t xml:space="preserve">a2e5fb48-28e5-57e4-aed9-a780e7d893fc</t>
  </si>
  <si>
    <t xml:space="preserve">sws.nl</t>
  </si>
  <si>
    <t xml:space="preserve">2ec05fd9-614a-5e1c-a916-ed94a57ae2ee</t>
  </si>
  <si>
    <t xml:space="preserve">RVO Handreiking aanbesteden EPC; EPC Precheck; stappenplan</t>
  </si>
  <si>
    <t xml:space="preserve">BRT-04</t>
  </si>
  <si>
    <t xml:space="preserve">9a1a9712-f810-5651-887a-55d32fad6824</t>
  </si>
  <si>
    <t xml:space="preserve">rijksvastgoedbedrijf.nl (voorbeelden)</t>
  </si>
  <si>
    <t xml:space="preserve">76f12c11-d325-50a9-8cca-dc725fd6df88</t>
  </si>
  <si>
    <t xml:space="preserve">o.a. Stichting Maatschappelijk Vastgoed</t>
  </si>
  <si>
    <t xml:space="preserve">07458937-2d2e-526b-a2f0-248f43127928</t>
  </si>
  <si>
    <t xml:space="preserve">Praktijkcase Oldambt</t>
  </si>
  <si>
    <t xml:space="preserve">BRT-09</t>
  </si>
  <si>
    <t xml:space="preserve">52fa6a31-9ec0-5ba4-8194-5813dda6a30d</t>
  </si>
  <si>
    <t xml:space="preserve">Commissie BBV, Notitie MVA 2020; handreiking 2022 H3</t>
  </si>
  <si>
    <t xml:space="preserve">a612e0fc-dd9c-53ad-b625-0cf7fe6ba081</t>
  </si>
  <si>
    <t xml:space="preserve">Handreiking 2022 H3; Notitie MVA</t>
  </si>
  <si>
    <t xml:space="preserve">d85899a2-d773-5682-ad40-40398c400177</t>
  </si>
  <si>
    <t xml:space="preserve">Voorbeeld Leeuwarden</t>
  </si>
  <si>
    <t xml:space="preserve">a026e5ae-11c7-583d-83c6-c610e1d4d2a8</t>
  </si>
  <si>
    <t xml:space="preserve">BBV; handreiking 2022</t>
  </si>
  <si>
    <t xml:space="preserve">a43b0c9f-d889-508a-9200-8b7ee4b41602</t>
  </si>
  <si>
    <t xml:space="preserve">Uit te werken (hiaat)</t>
  </si>
  <si>
    <t xml:space="preserve">BRT-13</t>
  </si>
  <si>
    <t xml:space="preserve">b998a005-0562-51cf-b11c-755dc2007852</t>
  </si>
  <si>
    <t xml:space="preserve">RVO-rapport 2021</t>
  </si>
  <si>
    <t xml:space="preserve">c1714e49-c568-59f4-88b9-038ffa7c9a75</t>
  </si>
  <si>
    <t xml:space="preserve">Gemeente Utrecht, raadsbrief pilot 2024</t>
  </si>
  <si>
    <t xml:space="preserve">982791d6-31e9-5d1a-97cf-32ae0e0efc75</t>
  </si>
  <si>
    <t xml:space="preserve">Voorbeeld Den Bosch (3 scenario's)</t>
  </si>
  <si>
    <t xml:space="preserve">2ac92599-5e75-5558-ade8-20c17491a53e</t>
  </si>
  <si>
    <t xml:space="preserve">vng.nl (verbeterd rekenmodel)</t>
  </si>
  <si>
    <t xml:space="preserve">a007440e-12aa-5eb8-87bc-991051f4e0fe</t>
  </si>
  <si>
    <t xml:space="preserve">infographics.rvo.nl/financiele-wegwijzer</t>
  </si>
  <si>
    <t xml:space="preserve">4fde5c9c-1f53-5403-9082-040e54b802e2</t>
  </si>
  <si>
    <t xml:space="preserve">rvo.nl/subsidie-en-financieringswijzer</t>
  </si>
  <si>
    <t xml:space="preserve">7b047788-85f0-561e-be53-fde340e59d3f</t>
  </si>
  <si>
    <t xml:space="preserve">rvo.nl (groenprojecten)</t>
  </si>
  <si>
    <t xml:space="preserve">43ec6565-8756-51cd-bb69-77729562b18b</t>
  </si>
  <si>
    <t xml:space="preserve">Voorbeeld Haarlemmermeer (Bouwstenen-webinar)</t>
  </si>
  <si>
    <t xml:space="preserve">18c4fa3c-22a7-50c6-9db4-9dd72363ac9b</t>
  </si>
  <si>
    <t xml:space="preserve">VNG Routekaart 2026</t>
  </si>
  <si>
    <t xml:space="preserve">ad419b77-de6d-5144-aeb0-4068026d7b77</t>
  </si>
  <si>
    <t xml:space="preserve">bngduurzaamheidsfonds.nl</t>
  </si>
  <si>
    <t xml:space="preserve">682aae0d-2f11-5b4b-b668-555260dbb3ad</t>
  </si>
  <si>
    <t xml:space="preserve">gelderland.nl/subsidies/fonds-verduurzaming-maatschappelijk-vastgoed</t>
  </si>
  <si>
    <t xml:space="preserve">aade9e55-814e-5e22-931f-20bbb0281bcb</t>
  </si>
  <si>
    <t xml:space="preserve">refs.nu</t>
  </si>
  <si>
    <t xml:space="preserve">0946e818-4fc7-52f0-b5bb-e0503426b44a</t>
  </si>
  <si>
    <t xml:space="preserve">eib.org/elena</t>
  </si>
  <si>
    <t xml:space="preserve">b1c66d5c-493d-58dc-a868-63b720e80f37</t>
  </si>
  <si>
    <t xml:space="preserve">vng.nl (instrumenten verduurzaming MV); europaomdehoek.nl</t>
  </si>
  <si>
    <t xml:space="preserve">29c66662-7dbc-5655-a418-1c18c2175833</t>
  </si>
  <si>
    <t xml:space="preserve">restauratiefonds.nl</t>
  </si>
  <si>
    <t xml:space="preserve">9395a6a2-ba5d-5cb9-83cc-f56bcf6b7d50</t>
  </si>
  <si>
    <t xml:space="preserve">rvo.nl (SCE)</t>
  </si>
  <si>
    <t xml:space="preserve">a414dbd4-778c-573b-a08b-05aa9ece77af</t>
  </si>
  <si>
    <t xml:space="preserve">vng.nl (sectorale routekaart)</t>
  </si>
  <si>
    <t xml:space="preserve">928a9f5e-64e3-56e9-a9db-dd3f9aa64c3b</t>
  </si>
  <si>
    <t xml:space="preserve">rvo.nl (tools maatschappelijk vastgoed)</t>
  </si>
  <si>
    <t xml:space="preserve">7d125acd-adae-581f-8890-e6f833cdf101</t>
  </si>
  <si>
    <t xml:space="preserve">bouwstenen.nl</t>
  </si>
  <si>
    <t xml:space="preserve">67fd3222-16eb-5507-996f-a67f4d39043a</t>
  </si>
  <si>
    <t xml:space="preserve">rvo.nl / ruimte-ok.nl</t>
  </si>
  <si>
    <t xml:space="preserve">45b0d29e-35cc-593e-ac96-4202f0301513</t>
  </si>
  <si>
    <t xml:space="preserve">vng.nl (instrumenten verduurzaming MV)</t>
  </si>
  <si>
    <t xml:space="preserve">de3e536d-514a-5b9a-8224-e2b9c88bed38</t>
  </si>
  <si>
    <t xml:space="preserve">weii.nl / dgbc.nl</t>
  </si>
  <si>
    <t xml:space="preserve">f54318d4-0774-5fb9-b4d0-8b424411ffc0</t>
  </si>
  <si>
    <t xml:space="preserve">platformduurzamehuisvesting.nl</t>
  </si>
  <si>
    <t xml:space="preserve">449aa3e2-2a73-50e1-8ca9-0b4ea28c38bb</t>
  </si>
  <si>
    <t xml:space="preserve">rvo.nl (energiebesparingsplicht)</t>
  </si>
  <si>
    <t xml:space="preserve">3252be8f-5c88-5dfd-b64a-06c59753256a</t>
  </si>
  <si>
    <t xml:space="preserve">rvo.nl (energielabel C kantoren)</t>
  </si>
  <si>
    <t xml:space="preserve">89fe6ed5-f6f7-56f3-a508-4f587fdde513</t>
  </si>
  <si>
    <t xml:space="preserve">o.a. praktijk gemeenten (Binnenlands Bestuur)</t>
  </si>
  <si>
    <t xml:space="preserve">e310d378-229a-54ec-a303-a6237dbad124</t>
  </si>
  <si>
    <t xml:space="preserve">Divers (gemeentelijke praktijk)</t>
  </si>
  <si>
    <t xml:space="preserve">22d37a5c-c51b-5f80-b590-dbda072e31e9</t>
  </si>
  <si>
    <t xml:space="preserve">expertisecentrumverduurzamingzorg.nl</t>
  </si>
  <si>
    <t xml:space="preserve">fa0c7530-ffa9-5989-b2ab-486bee47a833</t>
  </si>
  <si>
    <t xml:space="preserve">nplw.nl/kosten-financiering</t>
  </si>
  <si>
    <t xml:space="preserve">14c86857-e8dd-5aee-9edc-2da228761cd4</t>
  </si>
  <si>
    <t xml:space="preserve">7aff495e-ad70-5173-af36-84c5717d5e77</t>
  </si>
  <si>
    <t xml:space="preserve">c9e46423-fd60-535a-a464-5c6bad4113ce</t>
  </si>
  <si>
    <t xml:space="preserve">af209a4e-e412-5761-b2a8-28e6a4c21a5c</t>
  </si>
  <si>
    <t xml:space="preserve">d79e3201-2296-53bd-b1a3-85ad88786f45</t>
  </si>
  <si>
    <t xml:space="preserve">38006192-fddf-5e9f-abb7-77129a3dddff</t>
  </si>
  <si>
    <t xml:space="preserve">24a774e8-cbe0-5b62-92e3-95a42759e8ca</t>
  </si>
  <si>
    <t xml:space="preserve">31a0d5ac-3a25-59ef-a124-8a4e0f37c30d</t>
  </si>
  <si>
    <t xml:space="preserve">3cdab391-f73c-5cac-9675-729de2f35f75</t>
  </si>
  <si>
    <t xml:space="preserve">6b74a3ba-99bd-5392-a99a-d9be5764a4c8</t>
  </si>
  <si>
    <t xml:space="preserve">57581f73-49ce-5d14-a380-e29da1381241</t>
  </si>
  <si>
    <t xml:space="preserve">140d002d-7ec3-5e5b-87c0-4b2035ea2d66</t>
  </si>
  <si>
    <t xml:space="preserve">ad40f5bd-d374-5241-b6fa-f554316de918</t>
  </si>
  <si>
    <t xml:space="preserve">f1aff063-5560-5013-a843-63c0a8823625</t>
  </si>
  <si>
    <t xml:space="preserve">c71acc2b-8571-547e-a907-9a378021555c</t>
  </si>
  <si>
    <t xml:space="preserve">d9214bb2-f569-5d8b-ad5d-c2c18ef6c109</t>
  </si>
  <si>
    <t xml:space="preserve">belastingdienst.nl (teruggaaf energiebelasting)</t>
  </si>
  <si>
    <t xml:space="preserve">2c5dc92f-769b-5d71-876f-0beeae65643e</t>
  </si>
  <si>
    <t xml:space="preserve">rijksoverheid.nl (BCF)</t>
  </si>
  <si>
    <t xml:space="preserve">dd24faed-cf3c-56ff-8402-0d26140a2dcd</t>
  </si>
  <si>
    <t xml:space="preserve">nwbbank.com</t>
  </si>
  <si>
    <t xml:space="preserve">41ccaca8-6113-512a-baef-19ac0b73b50a</t>
  </si>
  <si>
    <t xml:space="preserve">gemeente.nu / bewustinvesteren</t>
  </si>
  <si>
    <t xml:space="preserve">40c63a0c-cca0-5671-9b97-1aeee289eb8f</t>
  </si>
  <si>
    <t xml:space="preserve">svn.nl + lokale verordeningen</t>
  </si>
  <si>
    <t xml:space="preserve">79658a6c-c4c0-51d2-aa67-c52d8e75affc</t>
  </si>
  <si>
    <t xml:space="preserve">Regeling BZK; GS-besluiten provincies</t>
  </si>
  <si>
    <t xml:space="preserve">BRT-01</t>
  </si>
  <si>
    <t xml:space="preserve">ea5f44d9-a5cf-5199-beb1-ba273c42b38f</t>
  </si>
  <si>
    <t xml:space="preserve">websites fondsen</t>
  </si>
  <si>
    <t xml:space="preserve">f4daa64b-bfe1-5f3a-bd40-44f65ec8547c</t>
  </si>
  <si>
    <t xml:space="preserve">eucityfacility.eu</t>
  </si>
  <si>
    <t xml:space="preserve">c5a79126-5542-5219-9af3-28d462eb7e8f</t>
  </si>
  <si>
    <t xml:space="preserve">Gemeentewet art. 220f; lokale verordeningen</t>
  </si>
  <si>
    <t xml:space="preserve">d077f89c-c418-5aa1-b301-581a4ee1e544</t>
  </si>
  <si>
    <t xml:space="preserve">BBV-notitie rente</t>
  </si>
  <si>
    <t xml:space="preserve">09ecff1c-ed92-5c6e-bb5e-59d27ea4bbf7</t>
  </si>
  <si>
    <t xml:space="preserve">Uit te werken (hiaat projectplan)</t>
  </si>
  <si>
    <t xml:space="preserve">b1ba883b-2284-5228-a25e-b14157d20a30</t>
  </si>
  <si>
    <t xml:space="preserve">restauratiefonds.nl; kamerstuk nov 2024</t>
  </si>
  <si>
    <t xml:space="preserve">49acc52e-cfcf-50a3-92a6-2f15ddbde5c4</t>
  </si>
  <si>
    <t xml:space="preserve">wet of regelgeving</t>
  </si>
  <si>
    <t xml:space="preserve">0cd36e85-bf30-59be-9932-12871cc2c66d</t>
  </si>
  <si>
    <t xml:space="preserve">BRT-02</t>
  </si>
  <si>
    <t xml:space="preserve">beleidsdocument</t>
  </si>
  <si>
    <t xml:space="preserve">a6711252-aa6d-5570-90b1-a796fa042d57</t>
  </si>
  <si>
    <t xml:space="preserve">BRT-03</t>
  </si>
  <si>
    <t xml:space="preserve">officiële regeling</t>
  </si>
  <si>
    <t xml:space="preserve">6fc37199-1d54-5521-8b5b-9e602af92499</t>
  </si>
  <si>
    <t xml:space="preserve">1c9091fb-1712-559b-ad1b-e9ae6b8715b9</t>
  </si>
  <si>
    <t xml:space="preserve">0b6447af-0bdc-5e6b-9ef1-e1c159589272</t>
  </si>
  <si>
    <t xml:space="preserve">BRT-06</t>
  </si>
  <si>
    <t xml:space="preserve">ceff5088-0cbe-52ed-8875-209c7a1c8723</t>
  </si>
  <si>
    <t xml:space="preserve">BRT-07</t>
  </si>
  <si>
    <t xml:space="preserve">dataset</t>
  </si>
  <si>
    <t xml:space="preserve">8857d297-6fae-5de6-ae03-30e1b80a3b16</t>
  </si>
  <si>
    <t xml:space="preserve">BRT-08</t>
  </si>
  <si>
    <t xml:space="preserve">onderzoeksrapport</t>
  </si>
  <si>
    <t xml:space="preserve">cf28f311-7c22-56f6-9f4f-d679c49abbbe</t>
  </si>
  <si>
    <t xml:space="preserve">b74206a5-ff2a-57a2-83cb-ede37e2c9c1f</t>
  </si>
  <si>
    <t xml:space="preserve">BRT-10</t>
  </si>
  <si>
    <t xml:space="preserve">2e93eb03-37fa-5342-8ec2-8b5933a2f229</t>
  </si>
  <si>
    <t xml:space="preserve">BRT-11</t>
  </si>
  <si>
    <t xml:space="preserve">846e934c-7954-5117-9305-f7175d0af1fb</t>
  </si>
  <si>
    <t xml:space="preserve">BRT-12</t>
  </si>
  <si>
    <t xml:space="preserve">presentatie</t>
  </si>
  <si>
    <t xml:space="preserve">6242049f-872c-5811-8c0e-0bd55f94546f</t>
  </si>
  <si>
    <t xml:space="preserve">intern werkdocument</t>
  </si>
  <si>
    <t xml:space="preserve">99061ab8-b563-5278-b9eb-2f9fdf460ae4</t>
  </si>
  <si>
    <t xml:space="preserve">BRT-14</t>
  </si>
  <si>
    <t xml:space="preserve">fafc998d-3f57-554d-b54f-b543e2de102b</t>
  </si>
  <si>
    <t xml:space="preserve">DUMMY-aanvulling: bronrol</t>
  </si>
  <si>
    <t xml:space="preserve">da6344b2-66e3-5959-9f8d-8c7b1534afb2</t>
  </si>
  <si>
    <t xml:space="preserve">0cb36c34-f195-583d-95b6-3666e7e1092e</t>
  </si>
  <si>
    <t xml:space="preserve">fc53921b-9300-521a-bdf6-61e54fb698f9</t>
  </si>
  <si>
    <t xml:space="preserve">20ce532d-ec89-50a1-b318-8c884f8ff397</t>
  </si>
  <si>
    <t xml:space="preserve">c42d623b-b4d6-54fb-b281-3f276455a3e4</t>
  </si>
  <si>
    <t xml:space="preserve">53ab55dd-34d0-5802-be8c-aa3cb22b6410</t>
  </si>
  <si>
    <t xml:space="preserve">d6ecfd6f-9b59-55ea-8867-46699f6be7ac</t>
  </si>
  <si>
    <t xml:space="preserve">57a7c5fc-a84d-5b0c-a543-ba385b25fcf1</t>
  </si>
  <si>
    <t xml:space="preserve">8095a75c-c7f2-59d0-b3d0-ea310bd1d534</t>
  </si>
  <si>
    <t xml:space="preserve">0b4ad9c8-5fc0-5c88-a469-b6a9143f36da</t>
  </si>
  <si>
    <t xml:space="preserve">a496e6e1-818f-5930-a9ca-79b5804e61c1</t>
  </si>
  <si>
    <t xml:space="preserve">210ef605-08b8-585e-a44c-0f7c10a2f7bc</t>
  </si>
  <si>
    <t xml:space="preserve">d470e46b-059e-5f14-b8e2-50c559b35c8e</t>
  </si>
  <si>
    <t xml:space="preserve">a55c847e-76f9-58f2-9f34-697dcfe5b829</t>
  </si>
  <si>
    <t xml:space="preserve">16da9631-d2b5-5147-90e5-dd5e20f041af</t>
  </si>
  <si>
    <t xml:space="preserve">a7732bfb-656f-5add-9e22-411454f8b119</t>
  </si>
  <si>
    <t xml:space="preserve">7c9acd78-2ff0-5e5f-832e-c30dc08fac4a</t>
  </si>
  <si>
    <t xml:space="preserve">cabe70b6-5bae-56b9-b37b-538564576c6d</t>
  </si>
  <si>
    <t xml:space="preserve">08499262-0d63-503d-bc5d-63a6a69ed7bd</t>
  </si>
  <si>
    <t xml:space="preserve">f69dfb2f-0377-5f6f-a5f4-0ef8b4e95420</t>
  </si>
  <si>
    <t xml:space="preserve">b30f2672-1b2e-5e74-9f3d-8b406d04afbc</t>
  </si>
  <si>
    <t xml:space="preserve">8a1fb749-524a-5158-811a-4d2158c40cc1</t>
  </si>
  <si>
    <t xml:space="preserve">6c873966-1e91-5a70-9fa4-c6e13cc7ead3</t>
  </si>
  <si>
    <t xml:space="preserve">ef79f363-8fd8-578d-83fe-03f0c9d55fe0</t>
  </si>
  <si>
    <t xml:space="preserve">5f43e043-161f-5a47-b42c-abc19198b721</t>
  </si>
  <si>
    <t xml:space="preserve">407cb3db-4483-595b-9333-a431161a5ef7</t>
  </si>
  <si>
    <t xml:space="preserve">445403fe-2741-586a-b336-4e639e3fdc32</t>
  </si>
  <si>
    <t xml:space="preserve">6e6ed93a-1bc1-59ba-a59d-ccf0c8d4576f</t>
  </si>
  <si>
    <t xml:space="preserve">dd7db301-de86-5450-9dce-73f6b6f396b1</t>
  </si>
  <si>
    <t xml:space="preserve">c471dc2f-030d-55c3-8cc2-b286b051827d</t>
  </si>
  <si>
    <t xml:space="preserve">bd407895-4372-553f-81a7-933fee69b1c0</t>
  </si>
  <si>
    <t xml:space="preserve">1e76ea90-a009-536a-8ea5-ba16fd45545f</t>
  </si>
  <si>
    <t xml:space="preserve">1a45ddf9-0667-5807-97f1-67cd754b9b82</t>
  </si>
  <si>
    <t xml:space="preserve">70bd6732-8be2-5e42-b1af-24b7b27a7d1f</t>
  </si>
  <si>
    <t xml:space="preserve">7bb2be1f-e18d-56bd-8304-7dce1ec7e364</t>
  </si>
  <si>
    <t xml:space="preserve">0985e6d4-048c-57b2-b4f3-0ec50e007ddf</t>
  </si>
  <si>
    <t xml:space="preserve">e352d4d5-704f-5cc2-a42c-1bb27b5b5d04</t>
  </si>
  <si>
    <t xml:space="preserve">167c1f26-1f68-551c-97b0-1b59cf293128</t>
  </si>
  <si>
    <t xml:space="preserve">ec64596b-51fd-5d00-92ca-eb2c2c8ea4f7</t>
  </si>
  <si>
    <t xml:space="preserve">8bf645ce-c814-584d-baa5-5feedf89b97f</t>
  </si>
  <si>
    <t xml:space="preserve">278cc6f7-f587-52b0-bc90-0a645fed1bec</t>
  </si>
  <si>
    <t xml:space="preserve">bad5ec32-cb13-5324-abd8-bd58f037f1c4</t>
  </si>
  <si>
    <t xml:space="preserve">859e81e5-8953-5aab-a1d7-cf180e4d4e9d</t>
  </si>
  <si>
    <t xml:space="preserve">ce50d27a-be9d-52e9-b925-16306dabe9c8</t>
  </si>
  <si>
    <t xml:space="preserve">6f868c94-9679-5f81-ab46-3ab7df7f1646</t>
  </si>
  <si>
    <t xml:space="preserve">eef47cbc-fc44-573b-baf5-c03256b05bc1</t>
  </si>
  <si>
    <t xml:space="preserve">0dbbc45d-a31a-54d9-a882-340fc0bd1d16</t>
  </si>
  <si>
    <t xml:space="preserve">aabf41b1-a28b-52f1-b423-9701457c3591</t>
  </si>
  <si>
    <t xml:space="preserve">059a38d5-fd5f-5020-a4bd-c25290911d60</t>
  </si>
  <si>
    <t xml:space="preserve">646d1b67-a71c-5451-aab5-597f75e1811d</t>
  </si>
  <si>
    <t xml:space="preserve">9e46a85c-30b0-560f-84d1-61f606fd76ea</t>
  </si>
  <si>
    <t xml:space="preserve">380b8196-9a99-5d4d-9c7c-0675e5e8890d</t>
  </si>
  <si>
    <t xml:space="preserve">9abfcb0a-17c7-556a-95c8-42ae1ba84116</t>
  </si>
  <si>
    <t xml:space="preserve">9abb3ea6-8660-5c33-a62b-60a152fbf5fb</t>
  </si>
  <si>
    <t xml:space="preserve">ebaf3c5d-588a-5872-9f80-16e30b73af6e</t>
  </si>
  <si>
    <t xml:space="preserve">4257cade-2735-5b71-892d-afec72bfbb3d</t>
  </si>
  <si>
    <t xml:space="preserve">f353f689-b69c-5d6b-b493-5fc6093d457a</t>
  </si>
  <si>
    <t xml:space="preserve">281344b5-3d1a-56c4-8add-09516d975445</t>
  </si>
  <si>
    <t xml:space="preserve">b5141221-1d5a-507b-aba4-39aaac83169a</t>
  </si>
  <si>
    <t xml:space="preserve">672b8b76-aafc-5f34-997a-8b37af04c234</t>
  </si>
  <si>
    <t xml:space="preserve">e1c9e5f4-4341-5d4c-945f-5618434cf3cb</t>
  </si>
  <si>
    <t xml:space="preserve">9bac8b8d-36af-58f2-aa6d-7d8b25351308</t>
  </si>
  <si>
    <t xml:space="preserve">d8981bda-997f-57d0-a30a-1d5baa313643</t>
  </si>
  <si>
    <t xml:space="preserve">79497705-fc5f-5077-9560-179875ad815e</t>
  </si>
  <si>
    <t xml:space="preserve">f8771184-93e9-5acd-babd-461bd3d55f00</t>
  </si>
  <si>
    <t xml:space="preserve">1590fece-f49d-55f6-ab7c-5ed9bb1245ec</t>
  </si>
  <si>
    <t xml:space="preserve">fe1052a8-9da0-52af-b975-159f5594494b</t>
  </si>
  <si>
    <t xml:space="preserve">8606b43b-fd70-58d4-a822-09e169966ec9</t>
  </si>
  <si>
    <t xml:space="preserve">a14a6dd8-4b93-5c09-8109-025c8560e413</t>
  </si>
  <si>
    <t xml:space="preserve">2ae47bda-8952-518f-92ad-bdf2d51fc295</t>
  </si>
  <si>
    <t xml:space="preserve">fc5a7648-6ef2-5620-8977-e723b3c70626</t>
  </si>
  <si>
    <t xml:space="preserve">e96e84ce-d317-55ed-baa7-645b5b50f4d7</t>
  </si>
  <si>
    <t xml:space="preserve">67dde5a4-df50-5c6d-9938-46c6f7bc7ef9</t>
  </si>
  <si>
    <t xml:space="preserve">7b8b4cd2-9242-5abc-8b0c-31d0f130464d</t>
  </si>
  <si>
    <t xml:space="preserve">cc1c62d7-90a2-56a1-8bc8-276789f73377</t>
  </si>
  <si>
    <t xml:space="preserve">1d1199e3-561d-5c47-a45f-a13304a2a141</t>
  </si>
  <si>
    <t xml:space="preserve">e013973f-ba06-53e2-a7dc-4430bf38ceaf</t>
  </si>
  <si>
    <t xml:space="preserve">DUMMY (voorstel-mapping van catalogus v0.1)</t>
  </si>
  <si>
    <t xml:space="preserve">07e29920-90d3-5717-8e9d-dbbd9d1cdbf3</t>
  </si>
  <si>
    <t xml:space="preserve">0a17f70f-de17-5e5b-a13c-db46e7798719</t>
  </si>
  <si>
    <t xml:space="preserve">267352fb-385a-5336-a36e-1b3da25e9584</t>
  </si>
  <si>
    <t xml:space="preserve">dd9706b4-19c6-5bbb-95fd-18fde0080b54</t>
  </si>
  <si>
    <t xml:space="preserve">20183c42-f7bb-58cf-834a-553edc7efeb8</t>
  </si>
  <si>
    <t xml:space="preserve">59663f1c-b105-5ca1-984f-04f82a040c52</t>
  </si>
  <si>
    <t xml:space="preserve">c2c1742a-f271-55c0-8233-f7f2e6dc649c</t>
  </si>
  <si>
    <t xml:space="preserve">cbcb098d-e70f-59bd-b7ae-c1697cdaecd7</t>
  </si>
  <si>
    <t xml:space="preserve">6b9d285b-8eb0-5b4c-970c-1379c6d29d67</t>
  </si>
  <si>
    <t xml:space="preserve">22208da4-c5aa-5fc9-ac07-a03abfa1bc7f</t>
  </si>
  <si>
    <t xml:space="preserve">68f4d9a7-a7c5-5675-9c5f-3a057dc0325e</t>
  </si>
  <si>
    <t xml:space="preserve">141114e8-c4e8-5b83-8e62-de5dc82fc1b3</t>
  </si>
  <si>
    <t xml:space="preserve">3424934e-571f-53f6-a04b-6916bc5828d7</t>
  </si>
  <si>
    <t xml:space="preserve">0d5dba81-1949-54eb-a1ff-7b8f1b5e07bc</t>
  </si>
  <si>
    <t xml:space="preserve">33f3ce0f-7d09-5f6f-8600-1ab1ebebfe41</t>
  </si>
  <si>
    <t xml:space="preserve">c3c77c8f-85a7-575b-b008-58791bc04e36</t>
  </si>
  <si>
    <t xml:space="preserve">27d1ac4c-2768-55f8-87af-903aaa6081cb</t>
  </si>
  <si>
    <t xml:space="preserve">5d7919cc-e31e-5acd-8829-19045ac16a30</t>
  </si>
  <si>
    <t xml:space="preserve">24661a3e-8e56-57a3-954b-766693b1fb29</t>
  </si>
  <si>
    <t xml:space="preserve">516fc1d3-58b4-5742-a5de-05b92fa2eff1</t>
  </si>
  <si>
    <t xml:space="preserve">9c971ecb-e26f-5daf-b0b4-b02e3e1ddaba</t>
  </si>
  <si>
    <t xml:space="preserve">3b1f97f3-d874-5071-8ade-f6692b7a1c53</t>
  </si>
  <si>
    <t xml:space="preserve">a27a6947-96fe-52ed-979a-bb38da4e59c1</t>
  </si>
  <si>
    <t xml:space="preserve">e32f8605-4529-5db5-9ef5-36c37d1e1d8e</t>
  </si>
  <si>
    <t xml:space="preserve">5c2c08de-b1c8-53c7-a39d-327f4a3ac212</t>
  </si>
  <si>
    <t xml:space="preserve">18bdd72d-e5cc-5600-8451-885e0ea78ce5</t>
  </si>
  <si>
    <t xml:space="preserve">c050cc02-b0b6-597c-9836-b14269d3d030</t>
  </si>
  <si>
    <t xml:space="preserve">8a78d691-b2a6-566e-9fae-8830f63debdc</t>
  </si>
  <si>
    <t xml:space="preserve">2260c91d-0d3a-519b-9216-f1981e1df2e0</t>
  </si>
  <si>
    <t xml:space="preserve">4357dd8a-5b35-59bd-803c-0becd52a6fb1</t>
  </si>
  <si>
    <t xml:space="preserve">976ac80f-bd0c-54a4-9438-4fa6d479d51f</t>
  </si>
  <si>
    <t xml:space="preserve">bd36629b-3180-5927-b6d0-71fc9f225f3d</t>
  </si>
  <si>
    <t xml:space="preserve">32ec3dd7-9c5f-58d4-a884-bba99df5b0af</t>
  </si>
  <si>
    <t xml:space="preserve">f5e7981f-6310-5303-9caa-cc8c1e705fc6</t>
  </si>
  <si>
    <t xml:space="preserve">bb4b063f-1df9-5335-9953-c99c3acc65f1</t>
  </si>
  <si>
    <t xml:space="preserve">d2bc1c49-9639-5768-b7ca-f808ae9d7168</t>
  </si>
  <si>
    <t xml:space="preserve">33cab420-2d4a-543c-8d6b-455be0fb5b4e</t>
  </si>
  <si>
    <t xml:space="preserve">ec595019-8fd5-5565-8124-da19d6f70b95</t>
  </si>
  <si>
    <t xml:space="preserve">f27c5636-0824-5205-833f-388f13fc932d</t>
  </si>
  <si>
    <t xml:space="preserve">aa4ca05f-f47c-59ee-81ab-d6ab3bed447f</t>
  </si>
  <si>
    <t xml:space="preserve">5bd92d1c-7bcc-57dd-9467-36f16f97ce4f</t>
  </si>
  <si>
    <t xml:space="preserve">8af18501-2221-5942-8ea2-6068206ae5c2</t>
  </si>
  <si>
    <t xml:space="preserve">cf18e63d-5cdb-5aa2-8600-5463e87b42cf</t>
  </si>
  <si>
    <t xml:space="preserve">cc04ad18-8103-5973-848f-2c35a395bef2</t>
  </si>
  <si>
    <t xml:space="preserve">f90be88c-acaf-5753-9c36-9b904462c0f6</t>
  </si>
  <si>
    <t xml:space="preserve">dd4a15a8-c679-5bea-954c-8bc6aa111029</t>
  </si>
  <si>
    <t xml:space="preserve">f3faa8fb-7c5f-5e16-9140-ec0939758e7f</t>
  </si>
  <si>
    <t xml:space="preserve">c02a3808-fe97-5ad9-87e2-5cd7d28ed1cb</t>
  </si>
  <si>
    <t xml:space="preserve">5ec648c6-9e4c-5e37-bebd-1b0d50d9d8c2</t>
  </si>
  <si>
    <t xml:space="preserve">a34a0ee5-61ce-5292-a9f8-cdb16864c218</t>
  </si>
  <si>
    <t xml:space="preserve">a04c337e-c6ff-54cc-bc58-317a3f72ea17</t>
  </si>
  <si>
    <t xml:space="preserve">756a4397-ee57-5bc4-8426-632fa8879be9</t>
  </si>
  <si>
    <t xml:space="preserve">b559e719-f219-5a52-bcf3-89cc87ba62fc</t>
  </si>
  <si>
    <t xml:space="preserve">5a0a7db2-acec-5d31-86b4-0040ba9259a8</t>
  </si>
  <si>
    <t xml:space="preserve">33105c09-f1d2-537d-ab86-82988bd99486</t>
  </si>
  <si>
    <t xml:space="preserve">c32646e8-9411-5244-91a0-98a6af7997f7</t>
  </si>
  <si>
    <t xml:space="preserve">78648d1b-ba06-5177-803e-0d284d50c0c8</t>
  </si>
  <si>
    <t xml:space="preserve">a70f72ed-a87a-549e-98aa-32e972b2ed4f</t>
  </si>
  <si>
    <t xml:space="preserve">4b597afa-61fe-5c0a-a360-1975502e290a</t>
  </si>
  <si>
    <t xml:space="preserve">606b58aa-2e12-5c31-8754-76b6bebe98e2</t>
  </si>
  <si>
    <t xml:space="preserve">3ed6efee-12f7-54b0-8d74-0686d13a0f11</t>
  </si>
  <si>
    <t xml:space="preserve">353351d8-72f2-5819-80cd-afc94310eaa3</t>
  </si>
  <si>
    <t xml:space="preserve">61e04fa0-c015-5d4a-833a-599c482283e1</t>
  </si>
  <si>
    <t xml:space="preserve">4aec5ab4-0bf0-52ab-b723-6ed4b211121c</t>
  </si>
  <si>
    <t xml:space="preserve">f130a1f8-2150-52bd-9a20-6c018831d8f5</t>
  </si>
  <si>
    <t xml:space="preserve">2b3e7e2a-148d-5a81-a135-8321a3183b8c</t>
  </si>
  <si>
    <t xml:space="preserve">0ddc294e-338e-5f10-81fd-7ce816f49496</t>
  </si>
  <si>
    <t xml:space="preserve">4007b246-5347-5740-9c9d-4e19f009e8f3</t>
  </si>
  <si>
    <t xml:space="preserve">f54688a0-4e4f-55c8-96c7-8d570a6697c4</t>
  </si>
  <si>
    <t xml:space="preserve">37f9e39d-faed-5382-838a-29b37019664d</t>
  </si>
  <si>
    <t xml:space="preserve">737065b8-5f4d-54e0-983f-37663afe477b</t>
  </si>
  <si>
    <t xml:space="preserve">bcdcbfdb-1fdd-5430-a0f2-7c3431f37be6</t>
  </si>
  <si>
    <t xml:space="preserve">b767a2b5-736d-5743-bb1b-14e24fe4780e</t>
  </si>
  <si>
    <t xml:space="preserve">9baefb60-3a1f-548b-9375-23ab99c8323b</t>
  </si>
  <si>
    <t xml:space="preserve">e07663e9-5da4-54d6-b761-f11e4e4c07ac</t>
  </si>
  <si>
    <t xml:space="preserve">31d87f85-ef96-5f9f-bade-9f20f684cbe6</t>
  </si>
  <si>
    <t xml:space="preserve">20d8ceb8-d3fb-56cc-8072-3a928382c72f</t>
  </si>
  <si>
    <t xml:space="preserve">af7bdb9c-5eb6-55db-a512-f257e59c70d8</t>
  </si>
  <si>
    <t xml:space="preserve">4a2c1466-8bbd-5d2d-b996-6b08f1a10058</t>
  </si>
  <si>
    <t xml:space="preserve">8778b4c4-7735-5bd8-8167-61223e003c1f</t>
  </si>
  <si>
    <t xml:space="preserve">5a0e799a-a4d3-5de3-8c05-aae9b529be25</t>
  </si>
  <si>
    <t xml:space="preserve">227c8d9c-7b47-5e52-ac7c-8da359fc7d41</t>
  </si>
  <si>
    <t xml:space="preserve">f51dcbf1-5e1b-5745-9566-f5de7a05f100</t>
  </si>
  <si>
    <t xml:space="preserve">9f15caa4-6975-53c3-82be-4c40d5b09f29</t>
  </si>
  <si>
    <t xml:space="preserve">193d7484-34af-57fb-93c2-86ce57482da7</t>
  </si>
  <si>
    <t xml:space="preserve">0a114d51-f094-5c7c-bce0-c0bd831baae4</t>
  </si>
  <si>
    <t xml:space="preserve">82cd37c3-9bef-5332-a6a2-eee1ca523850</t>
  </si>
  <si>
    <t xml:space="preserve">b0d4e736-4efd-5a03-8873-d8f83a1b084b</t>
  </si>
  <si>
    <t xml:space="preserve">1ae44cc8-a9ad-5d1c-a561-26e4216aa37f</t>
  </si>
  <si>
    <t xml:space="preserve">d149d6d2-2fdc-5bd4-b5e0-bc6c176d5780</t>
  </si>
  <si>
    <t xml:space="preserve">c7146507-b0a0-5f05-b801-fbfafbac6e6e</t>
  </si>
  <si>
    <t xml:space="preserve">a3850fed-60dc-53f2-9388-0c41b8e39376</t>
  </si>
  <si>
    <t xml:space="preserve">d3d081e4-bcb9-5933-954a-98a1b4541404</t>
  </si>
  <si>
    <t xml:space="preserve">f7a37992-b9f6-5c57-a927-ebc26f248f40</t>
  </si>
  <si>
    <t xml:space="preserve">65add618-c53c-53c8-8b34-72ee41aab6f6</t>
  </si>
  <si>
    <t xml:space="preserve">7f383094-c30b-52a1-88f7-39a0d055843d</t>
  </si>
  <si>
    <t xml:space="preserve">bf86df37-043a-59ae-9d29-ac79a18771e1</t>
  </si>
  <si>
    <t xml:space="preserve">b96260b9-e9d1-5e59-8b60-798b8ce938ce</t>
  </si>
  <si>
    <t xml:space="preserve">03c581a7-8b64-5575-b6ce-49fce7022613</t>
  </si>
  <si>
    <t xml:space="preserve">51210ea7-3040-570b-a634-8e3a5e54c7ec</t>
  </si>
  <si>
    <t xml:space="preserve">fa01b403-51ff-50ad-96f3-2d60f1b18758</t>
  </si>
  <si>
    <t xml:space="preserve">baef638a-a036-5125-84c1-c46ad6965ac3</t>
  </si>
  <si>
    <t xml:space="preserve">bd1fbb11-7726-59c6-a201-c075a1870f5a</t>
  </si>
  <si>
    <t xml:space="preserve">c7418aee-7d6d-59ec-b796-4d826653fb87</t>
  </si>
  <si>
    <t xml:space="preserve">b2e07f46-ec4a-5066-98d4-36990f0749af</t>
  </si>
  <si>
    <t xml:space="preserve">05f6a1c0-3aad-565b-af49-e4128acaa740</t>
  </si>
  <si>
    <t xml:space="preserve">5cd89835-b67e-569b-bdd6-528b18705095</t>
  </si>
  <si>
    <t xml:space="preserve">2ff4cbdd-ae0e-596f-9ef5-450ab9b83a2e</t>
  </si>
  <si>
    <t xml:space="preserve">826800df-9eaa-5a1b-a3b5-1e4837e80689</t>
  </si>
  <si>
    <t xml:space="preserve">1fc7dde2-8979-5d39-929f-606dced44f41</t>
  </si>
  <si>
    <t xml:space="preserve">346d9d27-3ca1-5d89-aa4a-3f00173b314f</t>
  </si>
  <si>
    <t xml:space="preserve">be885a93-8ae1-5f3f-9b28-ec18e11f3474</t>
  </si>
  <si>
    <t xml:space="preserve">75cadc5b-145e-5420-aeba-393911e4e70b</t>
  </si>
  <si>
    <t xml:space="preserve">d0701a93-cce4-518b-9056-ca6156416a9e</t>
  </si>
  <si>
    <t xml:space="preserve">edbbdc3d-ec5b-5af0-b985-efc22dc337f2</t>
  </si>
  <si>
    <t xml:space="preserve">11d39fb9-f089-56e3-a4d1-496c5c7cb007</t>
  </si>
  <si>
    <t xml:space="preserve">c36e8f00-74e3-574d-807e-0c10991f895f</t>
  </si>
  <si>
    <t xml:space="preserve">e1ff1554-49fe-5b7e-bd3e-b30163577eb7</t>
  </si>
  <si>
    <t xml:space="preserve">73c48a77-d06c-54e3-a8e2-c0a1425dad3e</t>
  </si>
  <si>
    <t xml:space="preserve">8b259dc8-af8c-5d5e-ad52-728abcc21d0e</t>
  </si>
  <si>
    <t xml:space="preserve">b840c46b-318d-5527-a3d0-97d55ebef160</t>
  </si>
  <si>
    <t xml:space="preserve">b6fe0219-a83e-5ad7-aa0f-00df9886cbed</t>
  </si>
  <si>
    <t xml:space="preserve">5c16d8e4-10a3-5f32-8014-6d16f67def04</t>
  </si>
  <si>
    <t xml:space="preserve">560d3041-016b-5157-a5e9-7a7673c80a44</t>
  </si>
  <si>
    <t xml:space="preserve">31f5bc34-4b7e-546e-9690-b131e2730b7b</t>
  </si>
  <si>
    <t xml:space="preserve">518840cb-6ab9-5a95-ac69-8b8fa145b389</t>
  </si>
  <si>
    <t xml:space="preserve">119f9eab-0f22-5b7c-8a1e-7e8decfa4186</t>
  </si>
  <si>
    <t xml:space="preserve">dc5bb00a-b71d-5e60-8a06-9d241d8c2267</t>
  </si>
  <si>
    <t xml:space="preserve">26625b13-487a-5bc3-8563-b9216f051761</t>
  </si>
  <si>
    <t xml:space="preserve">e8eb86d1-ff39-5f20-be1a-cf5528b997dd</t>
  </si>
  <si>
    <t xml:space="preserve">9906bee5-99ab-575b-9c19-b72696e51f6d</t>
  </si>
  <si>
    <t xml:space="preserve">f495fe23-76ef-5836-92a6-3fd02a8fb400</t>
  </si>
  <si>
    <t xml:space="preserve">032babe0-dc49-5db2-8c31-7a86ceeb2334</t>
  </si>
  <si>
    <t xml:space="preserve">b41325c1-45d2-56d7-bee2-3b1f58995d00</t>
  </si>
  <si>
    <t xml:space="preserve">c54c6a48-4cdc-5d1e-8728-25787290a5e2</t>
  </si>
  <si>
    <t xml:space="preserve">ba3225b1-4006-53dc-9203-ddc53be5e63c</t>
  </si>
  <si>
    <t xml:space="preserve">d8f8f6f6-58b7-530d-a685-87fc5f296c27</t>
  </si>
  <si>
    <t xml:space="preserve">e11d2b97-d413-5b9b-9417-ab5e3d5601fe</t>
  </si>
  <si>
    <t xml:space="preserve">2033001e-8cb7-5abd-b3fd-3da613c97d1d</t>
  </si>
  <si>
    <t xml:space="preserve">1316f71f-b88c-5533-98f6-cc79881d0a27</t>
  </si>
  <si>
    <t xml:space="preserve">a28b7e9f-42a3-5fbb-b73e-0801d4e1a221</t>
  </si>
  <si>
    <t xml:space="preserve">7b87ab5c-8cf4-5ba5-b1c9-647478da3cdc</t>
  </si>
  <si>
    <t xml:space="preserve">d8ee86f9-bc20-5076-b0b4-5527356965e9</t>
  </si>
  <si>
    <t xml:space="preserve">28dbea45-e610-563b-8e93-6c059284f8be</t>
  </si>
  <si>
    <t xml:space="preserve">a7d80e4d-cadd-5213-ae6f-2c51d5cedb5c</t>
  </si>
  <si>
    <t xml:space="preserve">6faa028f-f624-5f08-aa20-ba01ba677edd</t>
  </si>
  <si>
    <t xml:space="preserve">24a98737-278d-5d50-8539-3086bca45dda</t>
  </si>
  <si>
    <t xml:space="preserve">218f9384-57be-5d51-b56a-50c1869d51f9</t>
  </si>
  <si>
    <t xml:space="preserve">a093d726-b490-5fd5-b4a5-04edcf5faae7</t>
  </si>
  <si>
    <t xml:space="preserve">a01f00b2-c18e-5a2e-99e1-d1d96c42f6cf</t>
  </si>
  <si>
    <t xml:space="preserve">e6c70041-79f0-5714-8dbb-08e503d6969e</t>
  </si>
  <si>
    <t xml:space="preserve">f583275d-c64b-591c-b600-93ddb9c539e6</t>
  </si>
  <si>
    <t xml:space="preserve">ff8203dc-ece4-5a67-93b8-3f9ef62cc0fa</t>
  </si>
  <si>
    <t xml:space="preserve">c5728fd5-bfb9-5843-9b9d-ce46d4600632</t>
  </si>
  <si>
    <t xml:space="preserve">f3148936-7873-526d-8104-fc93d4b03590</t>
  </si>
  <si>
    <t xml:space="preserve">379345d2-66b7-5392-82f4-bc83188fe3c0</t>
  </si>
  <si>
    <t xml:space="preserve">23899029-bd91-523c-8049-56ea05679567</t>
  </si>
  <si>
    <t xml:space="preserve">4edab22d-5b7f-536f-a980-a038e66addf7</t>
  </si>
  <si>
    <t xml:space="preserve">fe5c2948-8e14-5b24-b120-2b2bc1ef46ee</t>
  </si>
  <si>
    <t xml:space="preserve">5f274d33-4900-510d-9b15-5e48946d9b38</t>
  </si>
  <si>
    <t xml:space="preserve">828bb05f-3c07-5062-b27b-07df5e50528e</t>
  </si>
  <si>
    <t xml:space="preserve">0d105e96-273f-518a-851d-c5000e868538</t>
  </si>
  <si>
    <t xml:space="preserve">23b57a30-44e2-5c4d-98d6-5e75d4e8e3b0</t>
  </si>
  <si>
    <t xml:space="preserve">d1880ee3-e1fb-5f13-a260-41fec0d73154</t>
  </si>
  <si>
    <t xml:space="preserve">9394013f-ed92-56ef-97da-217406eaa00c</t>
  </si>
  <si>
    <t xml:space="preserve">d402f87e-462e-5e23-acf9-888e3653d11a</t>
  </si>
  <si>
    <t xml:space="preserve">d7688d93-2728-56f9-b235-90dcb4dd1a73</t>
  </si>
  <si>
    <t xml:space="preserve">5280a2a2-08e9-52c7-b535-239ef8bc7fe7</t>
  </si>
  <si>
    <t xml:space="preserve">e1a5016e-8281-53ec-84cb-c8811c524933</t>
  </si>
  <si>
    <t xml:space="preserve">b81b6c06-ca23-5fcb-8766-69d0a03f30f3</t>
  </si>
  <si>
    <t xml:space="preserve">e2053bfa-961f-58fa-9f81-35e5d3160e01</t>
  </si>
  <si>
    <t xml:space="preserve">408dd5bb-25a6-5761-9c55-fc2aed51bb40</t>
  </si>
  <si>
    <t xml:space="preserve">c4b73446-8017-52b4-a1b1-2b87b42f48d4</t>
  </si>
  <si>
    <t xml:space="preserve">344350d8-e32f-5165-a666-1af63665c663</t>
  </si>
  <si>
    <t xml:space="preserve">161b5208-023f-50d8-9e47-5bde985f9818</t>
  </si>
  <si>
    <t xml:space="preserve">d454a0e5-559c-55ac-b01d-04ed0f18fc50</t>
  </si>
  <si>
    <t xml:space="preserve">98a571aa-618c-5a1c-aecc-0a6c2e0db973</t>
  </si>
  <si>
    <t xml:space="preserve">1aca6b85-9b52-55d6-a3fb-390778aceaac</t>
  </si>
  <si>
    <t xml:space="preserve">ccc845bc-281d-55e5-8f5b-3118b307120d</t>
  </si>
  <si>
    <t xml:space="preserve">713e4255-f784-5f4a-a347-d68cd5595a38</t>
  </si>
  <si>
    <t xml:space="preserve">02dfec0b-ef18-5e06-b721-98211dd854e4</t>
  </si>
  <si>
    <t xml:space="preserve">59588cef-661d-5e78-bae7-f549552e8d4a</t>
  </si>
  <si>
    <t xml:space="preserve">29dc3b60-60e0-51e5-a0d5-4a81c1710eb3</t>
  </si>
  <si>
    <t xml:space="preserve">2ea8073b-9998-50d8-aa00-323db7bbffdd</t>
  </si>
  <si>
    <t xml:space="preserve">5c9bd4e0-8636-51e8-b7e3-ed2c2b548cd0</t>
  </si>
  <si>
    <t xml:space="preserve">ec5383c5-5f4a-5b69-8b1f-c85595665de7</t>
  </si>
  <si>
    <t xml:space="preserve">4ecbe831-539f-5318-922c-ccd3e6e1424a</t>
  </si>
  <si>
    <t xml:space="preserve">e66fca58-d552-5ccd-bc90-132dfdda6478</t>
  </si>
  <si>
    <t xml:space="preserve">b56eb154-3b9b-58a3-a111-8d803ca675b7</t>
  </si>
  <si>
    <t xml:space="preserve">259c4d0c-0219-55ad-b393-92b0c64666ce</t>
  </si>
  <si>
    <t xml:space="preserve">f7050219-d8af-5a4e-89fd-c0eda4e083ad</t>
  </si>
  <si>
    <t xml:space="preserve">39448444-7f8d-591b-9c2a-bd513fa40c5d</t>
  </si>
  <si>
    <t xml:space="preserve">4098f65b-7d98-585e-bc5c-adbc2741e0a5</t>
  </si>
  <si>
    <t xml:space="preserve">8311fb77-3811-5675-88d7-a6d86d9afe87</t>
  </si>
  <si>
    <t xml:space="preserve">d79578b8-f676-5bf6-943b-3c61e8bb1fff</t>
  </si>
  <si>
    <t xml:space="preserve">780e0450-b464-5202-a232-5fe75b2172d9</t>
  </si>
  <si>
    <t xml:space="preserve">aecb5756-7f75-58d2-b8a4-85f24e3fd7e7</t>
  </si>
  <si>
    <t xml:space="preserve">db14cbf0-df54-5441-b21f-027510ad897c</t>
  </si>
  <si>
    <t xml:space="preserve">f9826f0b-1a2c-58c1-941d-d9df69ec20b7</t>
  </si>
  <si>
    <t xml:space="preserve">efe53e3f-be1f-573f-b00b-f9b030961922</t>
  </si>
  <si>
    <t xml:space="preserve">c936592d-f9ae-5c0d-9d56-af70f7638a30</t>
  </si>
  <si>
    <t xml:space="preserve">a91c45b1-f797-5c4c-86d0-54c8a66012d3</t>
  </si>
  <si>
    <t xml:space="preserve">22b70e82-3faa-55c3-8da8-1ba6b56e4008</t>
  </si>
  <si>
    <t xml:space="preserve">c315bf8c-4ef0-5d4f-90b0-4b86c61318ad</t>
  </si>
  <si>
    <t xml:space="preserve">96722860-ca41-5e99-937f-98c268577eb5</t>
  </si>
  <si>
    <t xml:space="preserve">a2ea3b00-f935-5337-a28d-b8a0ef59e2c6</t>
  </si>
  <si>
    <t xml:space="preserve">65faf92a-602b-555a-b378-86d6b6a72d2a</t>
  </si>
  <si>
    <t xml:space="preserve">8836f30e-4cd8-58f2-9ad9-1b902c88632d</t>
  </si>
  <si>
    <t xml:space="preserve">6a50fa2e-0bb8-5b4b-b8af-c6fa28816188</t>
  </si>
  <si>
    <t xml:space="preserve">6da2fe25-0cf9-5c41-9b8d-8fa97f19ec02</t>
  </si>
  <si>
    <t xml:space="preserve">3e69f369-48c3-57ae-aaf0-208ad06bdd8f</t>
  </si>
  <si>
    <t xml:space="preserve">b93ad9eb-4f20-5d74-8199-6665cbd85d19</t>
  </si>
  <si>
    <t xml:space="preserve">b219bed6-3bb6-5f6f-b774-72b91cb59da1</t>
  </si>
  <si>
    <t xml:space="preserve">0de06b62-63f6-55b9-94d9-70266ed71323</t>
  </si>
  <si>
    <t xml:space="preserve">1d325600-1ee7-563b-9232-2276d7d22ebf</t>
  </si>
  <si>
    <t xml:space="preserve">3818eba7-04a6-5880-80db-2fff75f190dd</t>
  </si>
  <si>
    <t xml:space="preserve">64222bb7-2162-580b-afe3-3d826a49a417</t>
  </si>
  <si>
    <t xml:space="preserve">cf392b66-3d17-5464-b01d-f5cc9f9d5273</t>
  </si>
  <si>
    <t xml:space="preserve">4fba3d6a-84c3-589d-b8cf-f3e2e1268ed9</t>
  </si>
  <si>
    <t xml:space="preserve">1ceee91a-8185-5b05-8524-07085df7455b</t>
  </si>
  <si>
    <t xml:space="preserve">c3959bad-5429-5485-9506-13155422ccbf</t>
  </si>
  <si>
    <t xml:space="preserve">d7f9f50c-49d2-51de-9c34-afeb07759a5f</t>
  </si>
  <si>
    <t xml:space="preserve">1be4ab92-0193-5037-bf78-f1ed27ed148d</t>
  </si>
  <si>
    <t xml:space="preserve">1ca1d42d-c78b-5469-bcdb-a75536fb94ca</t>
  </si>
  <si>
    <t xml:space="preserve">0b3afebf-9194-5761-aa93-48e9c2410d1b</t>
  </si>
  <si>
    <t xml:space="preserve">eaf50af2-8e6b-5314-8060-34632b2f9560</t>
  </si>
  <si>
    <t xml:space="preserve">b3b71a8b-fc88-5968-8279-10752581b55f</t>
  </si>
  <si>
    <t xml:space="preserve">2f44d338-3ca2-5810-823f-3fcba8b20075</t>
  </si>
  <si>
    <t xml:space="preserve">18c2c6ba-9c18-52ed-bc25-95157bdda5b9</t>
  </si>
  <si>
    <t xml:space="preserve">6105b768-f764-5be6-96fa-950a6fb1b2ee</t>
  </si>
  <si>
    <t xml:space="preserve">b5d9c1fd-9ff3-5e24-b77c-4e2c27f98d8b</t>
  </si>
  <si>
    <t xml:space="preserve">28a65ee7-c1bb-55ee-afb8-1fb280277940</t>
  </si>
  <si>
    <t xml:space="preserve">081fb0ee-b304-520d-b9ef-9785ac85f48d</t>
  </si>
  <si>
    <t xml:space="preserve">bdbaa501-2805-5e5c-b0d5-a4ea4ee10c47</t>
  </si>
  <si>
    <t xml:space="preserve">c27dd7d8-a90e-55ff-bbb5-b43bca0eea00</t>
  </si>
  <si>
    <t xml:space="preserve">416c947e-1aaa-5411-a516-189d08023d78</t>
  </si>
  <si>
    <t xml:space="preserve">85f977cb-d78a-56a9-a00b-8fd77923f862</t>
  </si>
  <si>
    <t xml:space="preserve">ff5a189c-1d9d-557f-a888-25224195a37c</t>
  </si>
  <si>
    <t xml:space="preserve">14f90379-9264-5e7c-b114-74e7344e70db</t>
  </si>
  <si>
    <t xml:space="preserve">8fc17b79-668e-53f2-9822-f1d70960c0e1</t>
  </si>
  <si>
    <t xml:space="preserve">7269ac67-2ebb-5d27-8098-000e1df649b5</t>
  </si>
  <si>
    <t xml:space="preserve">f606fa30-77e8-5da8-b141-4b63502b18c7</t>
  </si>
  <si>
    <t xml:space="preserve">e3bc2cf0-944a-51e1-825e-af0260b48747</t>
  </si>
  <si>
    <t xml:space="preserve">86d625e4-237b-5380-8100-39d038abb8e6</t>
  </si>
  <si>
    <t xml:space="preserve">5a373c34-44d9-556d-a07f-7c9f4f633928</t>
  </si>
  <si>
    <t xml:space="preserve">6bb82357-bc0b-5960-be9f-e452e258f992</t>
  </si>
  <si>
    <t xml:space="preserve">1def1769-c09e-5de6-821d-f14fba2e2cd9</t>
  </si>
  <si>
    <t xml:space="preserve">b202bdb5-3ba0-5b1c-8840-68137d68b2a9</t>
  </si>
  <si>
    <t xml:space="preserve">0755f164-3b60-56f9-8ef4-60f7f5af1421</t>
  </si>
  <si>
    <t xml:space="preserve">291a9c5a-daaa-5ad5-acc2-815e94af568e</t>
  </si>
  <si>
    <t xml:space="preserve">2553d8aa-0f95-5719-99ae-b3d0927bfc8a</t>
  </si>
  <si>
    <t xml:space="preserve">8f5daefd-46d7-536f-b4dd-d27a3a326554</t>
  </si>
  <si>
    <t xml:space="preserve">328195c8-2140-5d37-a8f6-e71e0646f919</t>
  </si>
  <si>
    <t xml:space="preserve">49238dbf-bdc8-5b4f-ab6f-7d8852163050</t>
  </si>
  <si>
    <t xml:space="preserve">1f622f38-0892-59b0-9b11-fdada2c30105</t>
  </si>
  <si>
    <t xml:space="preserve">231ad90d-0eb6-52f5-8fc3-1e618c99b300</t>
  </si>
  <si>
    <t xml:space="preserve">6393f918-95c1-552f-b69a-f7e49c77ef85</t>
  </si>
  <si>
    <t xml:space="preserve">e0ae3dc2-6217-5bf1-9f97-ec19e9442253</t>
  </si>
  <si>
    <t xml:space="preserve">3f427dd9-3bab-58ad-805c-5429ee2a8434</t>
  </si>
  <si>
    <t xml:space="preserve">392bc205-56c7-5793-87ae-d56c3cce2184</t>
  </si>
  <si>
    <t xml:space="preserve">f1613977-e782-56ae-9619-6340ff7df2fb</t>
  </si>
  <si>
    <t xml:space="preserve">69b9f827-1df2-504b-b36c-d61228a5384a</t>
  </si>
  <si>
    <t xml:space="preserve">voor</t>
  </si>
  <si>
    <t xml:space="preserve">63f94590-c7c7-55fa-b38e-0f88f83166dd</t>
  </si>
  <si>
    <t xml:space="preserve">27940e86-fae8-5ae3-87ca-87e358b48611</t>
  </si>
  <si>
    <t xml:space="preserve">73d2aaab-26b4-5245-b51c-c0e80c8400ae</t>
  </si>
  <si>
    <t xml:space="preserve">757694f1-04d2-5077-bb60-ec58232a74e3</t>
  </si>
  <si>
    <t xml:space="preserve">12fec12e-8c31-51ed-9844-bdd84231a444</t>
  </si>
  <si>
    <t xml:space="preserve">505f6317-8620-51b5-b1bc-3ac4fc27c2c9</t>
  </si>
  <si>
    <t xml:space="preserve">cb45d078-3200-59fb-be60-ac82cbd9fd0f</t>
  </si>
  <si>
    <t xml:space="preserve">2148ab0d-8f96-52c5-a829-ddf5b27c2091</t>
  </si>
  <si>
    <t xml:space="preserve">2fd13b6a-3b3b-5c2f-8643-90b1c1dfcf1d</t>
  </si>
  <si>
    <t xml:space="preserve">ad5c73d5-9785-5407-80f1-1eb76834e183</t>
  </si>
  <si>
    <t xml:space="preserve">253b1220-b084-5f6c-879e-7cda57ae49d1</t>
  </si>
  <si>
    <t xml:space="preserve">fc9a0dca-f3cd-5489-b010-80e8d367a17c</t>
  </si>
  <si>
    <t xml:space="preserve">e2a4952f-0bb3-5e24-90e1-db5c4ff5dcef</t>
  </si>
  <si>
    <t xml:space="preserve">9b1450ab-4b93-54a9-8d6f-38a8376ee861</t>
  </si>
  <si>
    <t xml:space="preserve">f4545529-573c-5e40-9597-cb6fddebb18d</t>
  </si>
  <si>
    <t xml:space="preserve">7e097e9b-8a69-579e-8400-80d0ea41a154</t>
  </si>
  <si>
    <t xml:space="preserve">6f0eb0a4-4fd8-55a1-b069-020ba01262ea</t>
  </si>
  <si>
    <t xml:space="preserve">1249e4f9-fe08-5f09-965b-23a4f0296a19</t>
  </si>
  <si>
    <t xml:space="preserve">ac301c8a-e682-5709-b384-79df7ec9df92</t>
  </si>
  <si>
    <t xml:space="preserve">005945b8-e18d-5a74-88aa-ac6f6e13e146</t>
  </si>
  <si>
    <t xml:space="preserve">5bafbc58-2533-5529-ae73-0d19687c011a</t>
  </si>
  <si>
    <t xml:space="preserve">da0c5e71-d979-53ac-88ce-6096fe17abaa</t>
  </si>
  <si>
    <t xml:space="preserve">661c19e3-37ae-583f-a89e-7e7c6f3c203e</t>
  </si>
  <si>
    <t xml:space="preserve">9dc0b3e0-09b5-5e5e-8c51-b16320c9ef19</t>
  </si>
  <si>
    <t xml:space="preserve">f3983d33-f2f3-5412-b5d2-4d4126d1f27e</t>
  </si>
  <si>
    <t xml:space="preserve">2ddc9ccf-3f8c-5791-a9a2-c7c230353ee1</t>
  </si>
  <si>
    <t xml:space="preserve">952c258f-5dac-53f4-a508-217f8c6fa1ce</t>
  </si>
  <si>
    <t xml:space="preserve">547f01c7-3814-53dd-8743-7a74c22cce56</t>
  </si>
  <si>
    <t xml:space="preserve">af029f5f-494b-5874-9f79-f3eb5c70b93d</t>
  </si>
  <si>
    <t xml:space="preserve">894424a4-c22a-5ab9-b3c3-d82ae616475d</t>
  </si>
  <si>
    <t xml:space="preserve">5753f422-4dee-5aec-b6e6-49e30deb05ad</t>
  </si>
  <si>
    <t xml:space="preserve">fbef2be2-78a8-560d-8447-76f196c69f0c</t>
  </si>
  <si>
    <t xml:space="preserve">365b64fc-47e3-5d8b-950f-005d5ca8914e</t>
  </si>
  <si>
    <t xml:space="preserve">3b6c00d9-6f20-5e66-b645-cb888980141b</t>
  </si>
  <si>
    <t xml:space="preserve">ccc94a70-c184-5207-8ece-4c569b7f94bc</t>
  </si>
  <si>
    <t xml:space="preserve">16767e8a-a411-5f56-8292-1c18a40ed161</t>
  </si>
  <si>
    <t xml:space="preserve">6586370a-cf6d-5c1f-8f77-228e4f6588ab</t>
  </si>
  <si>
    <t xml:space="preserve">169509ed-cf58-5195-bfd5-a24f9006588f</t>
  </si>
  <si>
    <t xml:space="preserve">ac32fad0-6396-516c-9fb5-4bd0a8ab118e</t>
  </si>
  <si>
    <t xml:space="preserve">f5d7570a-aa21-54f5-afe6-a23259b1f5d2</t>
  </si>
  <si>
    <t xml:space="preserve">9c583072-6175-5471-8dd6-a03dcf2f6f9d</t>
  </si>
  <si>
    <t xml:space="preserve">6c52501d-9c20-51ff-8230-c9d72bc5e0a1</t>
  </si>
  <si>
    <t xml:space="preserve">b9ae73d1-181a-575e-aeca-a11b643f9385</t>
  </si>
  <si>
    <t xml:space="preserve">03590743-2f11-591a-8e9d-9a9821719e59</t>
  </si>
  <si>
    <t xml:space="preserve">01c61942-ad78-5829-a917-f83d9604c9a1</t>
  </si>
  <si>
    <t xml:space="preserve">13c23a3d-d5fe-50d4-aa24-c715133556d8</t>
  </si>
  <si>
    <t xml:space="preserve">2c171bf6-c768-5f46-836b-afd26fbf0656</t>
  </si>
  <si>
    <t xml:space="preserve">ddd5b22c-32df-5235-9307-06c4565c43d8</t>
  </si>
  <si>
    <t xml:space="preserve">cbb70cb5-528c-5a0a-8d14-013144d71d90</t>
  </si>
  <si>
    <t xml:space="preserve">c9ddded6-9180-58e1-85ca-6ac515f18184</t>
  </si>
  <si>
    <t xml:space="preserve">8688b0a3-6ef2-58b0-99dd-94c6db559ccf</t>
  </si>
  <si>
    <t xml:space="preserve">78c6cf45-4156-595e-a023-b8b13385495b</t>
  </si>
  <si>
    <t xml:space="preserve">5cc4453e-9224-5d61-a3bd-a3f0251024ad</t>
  </si>
  <si>
    <t xml:space="preserve">d7d7219b-7fc4-5e03-8ce0-a5a0c6584851</t>
  </si>
  <si>
    <t xml:space="preserve">df4d63ac-9aeb-5d4f-95a2-c8b8d66ad44c</t>
  </si>
  <si>
    <t xml:space="preserve">aeff4ee4-88a1-598c-b2fe-fdfe2875792d</t>
  </si>
  <si>
    <t xml:space="preserve">59fd11be-1378-50ba-a5ec-f6ef915eb7a8</t>
  </si>
  <si>
    <t xml:space="preserve">942e9796-a916-5bd3-a1dc-467919e09194</t>
  </si>
  <si>
    <t xml:space="preserve">110aa263-edf6-5c25-85e5-aad4d138592b</t>
  </si>
  <si>
    <t xml:space="preserve">412a9554-0950-5a73-bbee-ff1e5ac22067</t>
  </si>
  <si>
    <t xml:space="preserve">c0d1c434-8545-5711-abed-eeea08692801</t>
  </si>
  <si>
    <t xml:space="preserve">169d6030-05eb-5858-bcf5-515a2054a54c</t>
  </si>
  <si>
    <t xml:space="preserve">da20f271-1534-5a69-a9a1-694a393d436e</t>
  </si>
  <si>
    <t xml:space="preserve">4600657d-fa87-5d76-ac92-ac1dbc63dd1a</t>
  </si>
  <si>
    <t xml:space="preserve">c03b9c35-36f3-56c1-a66e-eb8c929a2e9f</t>
  </si>
  <si>
    <t xml:space="preserve">281b2e2e-9393-53e0-82b7-01750a15af4e</t>
  </si>
  <si>
    <t xml:space="preserve">ed845173-3605-501c-b246-80a185818b96</t>
  </si>
  <si>
    <t xml:space="preserve">f5370cce-8635-53d0-ac25-d13cf6b1446c</t>
  </si>
  <si>
    <t xml:space="preserve">9f7604d8-5e84-56f1-a9de-92811d7ac5d3</t>
  </si>
  <si>
    <t xml:space="preserve">4aeac8d3-7fef-570c-bfba-534eb96849a1</t>
  </si>
  <si>
    <t xml:space="preserve">7d72019f-0121-59f5-80fa-ead05c25ddef</t>
  </si>
  <si>
    <t xml:space="preserve">96cea736-39e6-5353-ba63-a56b63d6775c</t>
  </si>
  <si>
    <t xml:space="preserve">a35d4e29-331d-5681-b277-c48204db5124</t>
  </si>
  <si>
    <t xml:space="preserve">e09d4a8e-cbe0-5d51-b570-dd97a804ed0c</t>
  </si>
  <si>
    <t xml:space="preserve">098ec5ca-13e6-5920-ae59-d7bd1ce63b28</t>
  </si>
  <si>
    <t xml:space="preserve">e512e4a3-0067-5bdc-b547-1e7acd4bad24</t>
  </si>
  <si>
    <t xml:space="preserve">94521f1b-da97-5658-8b41-2b4330012dd4</t>
  </si>
  <si>
    <t xml:space="preserve">4570aacf-0251-59d6-b5bc-371c9dbad117</t>
  </si>
  <si>
    <t xml:space="preserve">63d21d96-2886-5bb0-a81f-625b6312f704</t>
  </si>
  <si>
    <t xml:space="preserve">4338d934-86fb-53c7-9405-97d3707f4255</t>
  </si>
  <si>
    <t xml:space="preserve">2dcf0ced-b2d3-58c1-b4d8-5b72e8929e76</t>
  </si>
  <si>
    <t xml:space="preserve">4e8b2cd9-cfc9-5bc3-9760-4a6d288296c5</t>
  </si>
  <si>
    <t xml:space="preserve">90eb0940-f373-5f79-906d-fedfff2eb70b</t>
  </si>
  <si>
    <t xml:space="preserve">b48aeb3c-ec2e-564c-ab63-6546e46b9ea3</t>
  </si>
  <si>
    <t xml:space="preserve">982b1f3d-0619-5480-a289-96578752e4f0</t>
  </si>
  <si>
    <t xml:space="preserve">31bf0b14-4980-5cda-a8af-213bc456854b</t>
  </si>
  <si>
    <t xml:space="preserve">1bb61fd3-5d26-5d0a-bd29-cf71985798bb</t>
  </si>
  <si>
    <t xml:space="preserve">df959da5-408b-58ce-ba05-81c886e29b8b</t>
  </si>
  <si>
    <t xml:space="preserve">1d5e1255-7645-5cd6-8af3-3191e808e230</t>
  </si>
  <si>
    <t xml:space="preserve">20efbcac-a92f-52d3-b27d-871a2e070c97</t>
  </si>
  <si>
    <t xml:space="preserve">9612d6e4-fe9e-5f3f-a866-92a7a2bd4d9c</t>
  </si>
  <si>
    <t xml:space="preserve">46e8f9ca-6cdb-5785-abc2-ee59af3239cd</t>
  </si>
  <si>
    <t xml:space="preserve">6a0d86bd-c1ce-5bb1-92ff-2a574fff7997</t>
  </si>
  <si>
    <t xml:space="preserve">28fd568b-81a9-543e-abf0-813d2e81aa5c</t>
  </si>
  <si>
    <t xml:space="preserve">f168672c-5958-539a-b633-907d2db17c11</t>
  </si>
  <si>
    <t xml:space="preserve">5af290a6-bae3-5cf8-b975-f91824d969f2</t>
  </si>
  <si>
    <t xml:space="preserve">f8f2b393-2048-5cb3-89d9-254585d1ea00</t>
  </si>
  <si>
    <t xml:space="preserve">03d55fd8-c57d-505e-9864-7eb275355475</t>
  </si>
  <si>
    <t xml:space="preserve">652daef3-a251-537c-a6c3-4cdd92dc2703</t>
  </si>
  <si>
    <t xml:space="preserve">1da40572-2d3e-51c5-b20a-36ef1addd712</t>
  </si>
  <si>
    <t xml:space="preserve">1f6bac7c-c9f7-5299-8c8a-7674f339659e</t>
  </si>
  <si>
    <t xml:space="preserve">898642b9-a5ef-5891-94ce-468d41585d4c</t>
  </si>
  <si>
    <t xml:space="preserve">e3a5bb02-d0a7-58c2-9749-e55ae31adb46</t>
  </si>
  <si>
    <t xml:space="preserve">2e268c59-3360-5d23-8296-0c25e6b18879</t>
  </si>
  <si>
    <t xml:space="preserve">eacea68b-d5c5-5e3a-b5ec-7e03d17867b6</t>
  </si>
  <si>
    <t xml:space="preserve">f0ed4d0b-db5b-5edb-9e97-e34322b4c6bc</t>
  </si>
  <si>
    <t xml:space="preserve">9a45d950-609e-5411-8d96-a9add417f783</t>
  </si>
  <si>
    <t xml:space="preserve">eb8eee31-ad3c-5190-a967-ee6197f82b35</t>
  </si>
  <si>
    <t xml:space="preserve">907118f1-c925-5639-9e56-a03974b4c732</t>
  </si>
  <si>
    <t xml:space="preserve">bc04b289-fad4-55ca-b712-6824fb109393</t>
  </si>
  <si>
    <t xml:space="preserve">785b20ca-4eb8-50da-823f-e46fd4abca2c</t>
  </si>
  <si>
    <t xml:space="preserve">b48c9801-6962-5857-a339-dfb9b3219c54</t>
  </si>
  <si>
    <t xml:space="preserve">2d38471d-7f2d-5fe5-9b40-832259d55c88</t>
  </si>
  <si>
    <t xml:space="preserve">04ae48aa-3ff1-5ba5-9bb8-8c881b4999e3</t>
  </si>
  <si>
    <t xml:space="preserve">e7033949-ce38-5e73-ada3-20ccadc6c31e</t>
  </si>
  <si>
    <t xml:space="preserve">98cc5185-c326-557a-91d2-848712029c72</t>
  </si>
  <si>
    <t xml:space="preserve">8778279a-08dc-5b67-9627-f5742948c2ba</t>
  </si>
  <si>
    <t xml:space="preserve">b67c9f35-fee3-5438-a0cb-6d0639f35141</t>
  </si>
  <si>
    <t xml:space="preserve">eab0fa00-cbd4-57db-b598-51ec647d335e</t>
  </si>
  <si>
    <t xml:space="preserve">63792402-8766-5bb8-b360-d8d02efa1948</t>
  </si>
  <si>
    <t xml:space="preserve">d9070d79-3836-508c-907c-33db4a9776c1</t>
  </si>
  <si>
    <t xml:space="preserve">7fca2a8b-fd03-549f-9c9a-cc5dabd00052</t>
  </si>
  <si>
    <t xml:space="preserve">6f55876f-bab0-55bf-b443-80f31edd1ae8</t>
  </si>
  <si>
    <t xml:space="preserve">3fbec0a5-6881-59b4-a71a-566f1d12f68d</t>
  </si>
  <si>
    <t xml:space="preserve">dd5b333f-e5e6-58da-801c-8570645ee5e7</t>
  </si>
  <si>
    <t xml:space="preserve">0e93479d-2b77-57f1-b96b-29eccd62db8d</t>
  </si>
  <si>
    <t xml:space="preserve">1092782a-0dc0-5e8f-a4b2-d8bbdb0b63b3</t>
  </si>
  <si>
    <t xml:space="preserve">04bcbefb-c7c4-5e9e-a0eb-5544e556b983</t>
  </si>
  <si>
    <t xml:space="preserve">1cdfeb24-fa3c-527c-9771-9af013aebb8d</t>
  </si>
  <si>
    <t xml:space="preserve">4d04e2c2-5b19-5058-aecc-e877367a01b1</t>
  </si>
  <si>
    <t xml:space="preserve">9957f451-c0dc-5416-92d8-2c46b0d40082</t>
  </si>
  <si>
    <t xml:space="preserve">ff785a35-e5de-5e4a-875e-ca5d3fe3cf29</t>
  </si>
  <si>
    <t xml:space="preserve">4e5f73fc-822b-5c14-938f-7d6a4a2bc013</t>
  </si>
  <si>
    <t xml:space="preserve">368a15c2-8c0a-5e9f-a98b-36d8d580a37f</t>
  </si>
  <si>
    <t xml:space="preserve">6dd2df3d-254f-5886-b3bd-4b2bd50f9994</t>
  </si>
  <si>
    <t xml:space="preserve">888c1443-e74d-5ac6-b763-88ec649e1b3e</t>
  </si>
  <si>
    <t xml:space="preserve">0e4441dc-ed6f-5035-9254-a9a54db61bc2</t>
  </si>
  <si>
    <t xml:space="preserve">f68b7c86-96c8-59ad-9930-4b38c9e38ef9</t>
  </si>
  <si>
    <t xml:space="preserve">36ae2dbf-5ac4-5a63-8861-378663d63c16</t>
  </si>
  <si>
    <t xml:space="preserve">f041d89d-e071-5771-9c2b-c08a22a5daac</t>
  </si>
  <si>
    <t xml:space="preserve">1f47caa9-e9cc-50f3-a6ba-23c647eb901f</t>
  </si>
  <si>
    <t xml:space="preserve">412afaf8-2766-5dda-b24c-5d80c6a7c566</t>
  </si>
  <si>
    <t xml:space="preserve">73ef3ec3-3b9b-56a7-b0d9-c7792ae33a3d</t>
  </si>
  <si>
    <t xml:space="preserve">d4f65c96-c682-51b9-9d4e-409ef1d33a10</t>
  </si>
  <si>
    <t xml:space="preserve">422caee3-44a4-5ce2-a6be-aed25ab79289</t>
  </si>
  <si>
    <t xml:space="preserve">0e3e11c4-8dca-54dc-b819-d9de4cc29ab0</t>
  </si>
  <si>
    <t xml:space="preserve">02f06ff3-a1a7-5d5a-9e42-f090a243366d</t>
  </si>
  <si>
    <t xml:space="preserve">b419d119-598d-56db-98f7-f9acb582ab08</t>
  </si>
  <si>
    <t xml:space="preserve">8107729a-981c-5cd3-b383-6693ff1bde89</t>
  </si>
  <si>
    <t xml:space="preserve">236a0986-f76b-54ad-93f8-e7ad64280841</t>
  </si>
  <si>
    <t xml:space="preserve">7e54cdb9-b707-5233-95bb-f60e59822fa4</t>
  </si>
  <si>
    <t xml:space="preserve">4fce13c8-a6ae-5635-a8b8-af3f59d6294f</t>
  </si>
  <si>
    <t xml:space="preserve">bad8733d-038c-5923-afbd-191157b90a2c</t>
  </si>
  <si>
    <t xml:space="preserve">b3f218a8-89bc-5bdc-a7dc-9f1b51669649</t>
  </si>
  <si>
    <t xml:space="preserve">97f2a5aa-74b9-5ec1-a33c-6bab4354d9d4</t>
  </si>
  <si>
    <t xml:space="preserve">eff77bcb-916d-5518-aa99-e99dd5e8d287</t>
  </si>
  <si>
    <t xml:space="preserve">8850056b-61ef-5dbc-bec4-31b23a3ea87b</t>
  </si>
  <si>
    <t xml:space="preserve">b1033f6e-56d8-5392-a80b-5a605556586b</t>
  </si>
  <si>
    <t xml:space="preserve">b1014b52-19c2-56f1-9bf7-b7787d7630bd</t>
  </si>
  <si>
    <t xml:space="preserve">e416e90e-57ef-56b2-9ac3-5987434dd740</t>
  </si>
  <si>
    <t xml:space="preserve">6963f01a-d53f-57cc-bbc0-a2f7805ee8b8</t>
  </si>
  <si>
    <t xml:space="preserve">e816e0b1-e538-5a05-961b-1f2bded9180a</t>
  </si>
  <si>
    <t xml:space="preserve">a4d42847-695e-59a2-9b7f-161a48c0a1c5</t>
  </si>
  <si>
    <t xml:space="preserve">182722db-872d-5ecc-a5fb-0e42c260fe9b</t>
  </si>
  <si>
    <t xml:space="preserve">eee9be05-fa19-58f7-9197-57b90a53a093</t>
  </si>
  <si>
    <t xml:space="preserve">a06894bc-757b-51fd-bd47-c66d5b19150b</t>
  </si>
  <si>
    <t xml:space="preserve">daa6ef0e-cc2f-587f-9b49-630f4de82db3</t>
  </si>
  <si>
    <t xml:space="preserve">3ca83533-d662-5e7d-91bf-ec2bc10965d6</t>
  </si>
  <si>
    <t xml:space="preserve">887440f4-ea00-5006-b02c-b7910ff502a5</t>
  </si>
  <si>
    <t xml:space="preserve">aef2d88b-42c7-5eb1-ad58-e09b3d8dd218</t>
  </si>
  <si>
    <t xml:space="preserve">e7052da6-3fd6-5e78-b934-4f18fe447482</t>
  </si>
  <si>
    <t xml:space="preserve">b4835a90-4933-51b1-9f0e-e0273b8d1761</t>
  </si>
  <si>
    <t xml:space="preserve">3c91299a-83a1-5f87-b2b7-848c9c9b724e</t>
  </si>
  <si>
    <t xml:space="preserve">f12ddb26-5ab6-5c14-8ca3-566eff6a8fc0</t>
  </si>
  <si>
    <t xml:space="preserve">e2239dd7-6525-5147-b8a0-a30d948a81d6</t>
  </si>
  <si>
    <t xml:space="preserve">6fc8252b-7905-5748-b460-bac69bf6c40e</t>
  </si>
  <si>
    <t xml:space="preserve">8479a7a5-aeaa-5d6f-91f1-fe7316543d24</t>
  </si>
  <si>
    <t xml:space="preserve">2669f1ac-54b5-52c9-b355-69d571745b41</t>
  </si>
  <si>
    <t xml:space="preserve">078ec75e-26e6-5e9d-8f17-3a6bf2f9372e</t>
  </si>
  <si>
    <t xml:space="preserve">2d2171ec-dee5-5e73-af30-073afe2b0208</t>
  </si>
  <si>
    <t xml:space="preserve">30f26bdb-4fdb-5aeb-a43f-9337b7396fe7</t>
  </si>
  <si>
    <t xml:space="preserve">8122eb38-ea35-5107-a328-26d24a4f52c9</t>
  </si>
  <si>
    <t xml:space="preserve">d0689eaf-8a0d-5537-8051-42ec9bc91510</t>
  </si>
  <si>
    <t xml:space="preserve">ac684793-d43d-512e-908f-228388da0ded</t>
  </si>
  <si>
    <t xml:space="preserve">72f54bf0-afd9-5b23-b5d8-24fc2563ba00</t>
  </si>
  <si>
    <t xml:space="preserve">4be805ee-70a6-5c69-bc62-8cbd62616bc0</t>
  </si>
  <si>
    <t xml:space="preserve">b5b34f08-c1b2-5364-8120-82edd3811b36</t>
  </si>
  <si>
    <t xml:space="preserve">e439a1cd-28a7-5b6f-97cb-8d799d04a36b</t>
  </si>
  <si>
    <t xml:space="preserve">bff24181-37c6-5b1a-96a6-3e01ae31f816</t>
  </si>
  <si>
    <t xml:space="preserve">ab793528-0269-5c7c-a817-9a72c76bf8da</t>
  </si>
  <si>
    <t xml:space="preserve">8885a9ac-860e-548b-af9a-6f59477d616b</t>
  </si>
  <si>
    <t xml:space="preserve">52ceaf42-cba0-5abe-af05-a283ae6e915d</t>
  </si>
  <si>
    <t xml:space="preserve">5b0bdc2f-cd80-5e90-b5c5-a6818eed012c</t>
  </si>
  <si>
    <t xml:space="preserve">92669ed7-d672-5516-8d6c-9f8d095ac061</t>
  </si>
  <si>
    <t xml:space="preserve">4c9aeac6-1519-5c71-82ae-39bcec214eb9</t>
  </si>
  <si>
    <t xml:space="preserve">b83a239f-ea4e-5154-819e-0b11e21aa37b</t>
  </si>
  <si>
    <t xml:space="preserve">7c894791-ca5b-54a3-a1e2-bea33849a8d1</t>
  </si>
  <si>
    <t xml:space="preserve">f27b33d6-fc05-5233-b437-c086c052972b</t>
  </si>
  <si>
    <t xml:space="preserve">f531cc66-28a9-5eb4-877f-49f829eb923d</t>
  </si>
  <si>
    <t xml:space="preserve">9b2e9189-1628-5860-8edc-5ce28467a161</t>
  </si>
  <si>
    <t xml:space="preserve">e825a577-8f57-52b3-afd1-5c63150e1c2b</t>
  </si>
  <si>
    <t xml:space="preserve">e4e6ba04-7844-5830-a6d9-7038336f598a</t>
  </si>
  <si>
    <t xml:space="preserve">fcea3bb0-a581-5caa-8c1f-3142a4a8d834</t>
  </si>
  <si>
    <t xml:space="preserve">71373077-39dd-50f6-87c1-5dc69a132484</t>
  </si>
  <si>
    <t xml:space="preserve">1d56ef16-62e2-5b55-a5de-b810e20436a3</t>
  </si>
  <si>
    <t xml:space="preserve">0261d740-054b-5afa-b921-fdb84fc5528d</t>
  </si>
  <si>
    <t xml:space="preserve">b52c1ef9-fb7b-593b-928d-d532c8fe7ff4</t>
  </si>
  <si>
    <t xml:space="preserve">bcbfef19-d8ef-553a-a1ea-3186397402ea</t>
  </si>
  <si>
    <t xml:space="preserve">f52a9661-b5c1-58a4-96b8-163b3b0d281a</t>
  </si>
  <si>
    <t xml:space="preserve">1517dff6-3766-50ef-b632-bf126fe8ef42</t>
  </si>
  <si>
    <t xml:space="preserve">456bfcbe-fc84-5bea-bee2-2633c84e92a4</t>
  </si>
  <si>
    <t xml:space="preserve">7099eb4e-d5d0-50db-9a55-4a8bf8b1f13a</t>
  </si>
  <si>
    <t xml:space="preserve">a8e22960-fe14-510e-bf81-bc2ea1d6cf38</t>
  </si>
  <si>
    <t xml:space="preserve">5082dfaa-2eeb-5c6f-b981-77479e55f021</t>
  </si>
  <si>
    <t xml:space="preserve">518c6909-0b7b-540b-ad04-5119d00eaf76</t>
  </si>
  <si>
    <t xml:space="preserve">652b922d-8cfe-5eb3-86ed-486754da30bd</t>
  </si>
  <si>
    <t xml:space="preserve">cb9e825e-802a-5741-938f-19136b46b614</t>
  </si>
  <si>
    <t xml:space="preserve">cb38b3a9-b393-5403-a6ee-8f727952a2e7</t>
  </si>
  <si>
    <t xml:space="preserve">2e97ea74-d448-5c7f-b6c7-f092fdef579c</t>
  </si>
  <si>
    <t xml:space="preserve">f143233b-2d6b-5e40-b375-fcb95a0424c6</t>
  </si>
  <si>
    <t xml:space="preserve">606eded0-524c-5c0c-a3c2-788ac2828fb5</t>
  </si>
  <si>
    <t xml:space="preserve">5c025e6a-4591-5af4-a2bc-a01a4af61e15</t>
  </si>
  <si>
    <t xml:space="preserve">e698dc02-d67b-51fa-92d8-305e30c7ea8b</t>
  </si>
  <si>
    <t xml:space="preserve">500b37d3-f4ff-55df-846a-91333ef526df</t>
  </si>
  <si>
    <t xml:space="preserve">f01068ad-a1fa-5d40-a284-4129e1307127</t>
  </si>
  <si>
    <t xml:space="preserve">619cd061-3253-5ad8-9778-b20b4e232cbc</t>
  </si>
  <si>
    <t xml:space="preserve">fc235961-5841-5f56-8f30-bc84bbfa3229</t>
  </si>
  <si>
    <t xml:space="preserve">3691447a-7751-5dd5-8b1d-3fb4058575fd</t>
  </si>
  <si>
    <t xml:space="preserve">3fc21392-3ed7-59c7-816b-a709a604f0d6</t>
  </si>
  <si>
    <t xml:space="preserve">0ce439a7-7e15-51a4-b987-deeca6305922</t>
  </si>
  <si>
    <t xml:space="preserve">a05e8712-1d8e-5fdf-9f0b-21412b59ae23</t>
  </si>
  <si>
    <t xml:space="preserve">d85a9fe7-dc09-5397-af05-b38a283e2564</t>
  </si>
  <si>
    <t xml:space="preserve">e9b89470-db19-5a86-846a-f0644e34aef9</t>
  </si>
  <si>
    <t xml:space="preserve">38b1bfc3-57d7-570d-a174-79df83a2c164</t>
  </si>
  <si>
    <t xml:space="preserve">8e88bc95-0ac2-5af4-9613-3b3df22a0544</t>
  </si>
  <si>
    <t xml:space="preserve">6b1d57c6-8976-5264-a465-486260c25876</t>
  </si>
  <si>
    <t xml:space="preserve">3802213a-e34a-5b1b-90e5-15ccac03a058</t>
  </si>
  <si>
    <t xml:space="preserve">4766da7d-4148-50e4-abd9-f808f23efba2</t>
  </si>
  <si>
    <t xml:space="preserve">ab6bb0b3-457c-535a-b2b4-eecdba265ba8</t>
  </si>
  <si>
    <t xml:space="preserve">5056aeee-3c11-5330-ba1f-633aa7d90859</t>
  </si>
  <si>
    <t xml:space="preserve">13047a7a-0a5e-565f-b4a9-4cbf445e2459</t>
  </si>
  <si>
    <t xml:space="preserve">9108f0e4-dde9-52b6-842f-ef9f521d9857</t>
  </si>
  <si>
    <t xml:space="preserve">1a9c32a0-2b71-5071-89bc-8089d369a040</t>
  </si>
  <si>
    <t xml:space="preserve">98589198-2b95-5d4d-87bd-649c29507328</t>
  </si>
  <si>
    <t xml:space="preserve">9ca22b39-9cde-51e8-9d73-9837f61788da</t>
  </si>
  <si>
    <t xml:space="preserve">c3b86d76-ac24-5324-a714-afcd5f350585</t>
  </si>
  <si>
    <t xml:space="preserve">ae8a3899-bdbc-59ce-9e6f-a6d5b1438d4b</t>
  </si>
  <si>
    <t xml:space="preserve">b778aee9-631b-525a-beb9-00494fbe32bb</t>
  </si>
  <si>
    <t xml:space="preserve">e5c68eb0-95b8-50d8-b6a1-bb686fa88500</t>
  </si>
  <si>
    <t xml:space="preserve">f87ff987-7401-531e-a021-6fbc3c2b1628</t>
  </si>
  <si>
    <t xml:space="preserve">0e75e1c0-cffd-5b5e-9ddc-c0b6b0151b6e</t>
  </si>
  <si>
    <t xml:space="preserve">dd25cfbc-42c8-5db4-b18a-c47eb429c77b</t>
  </si>
  <si>
    <t xml:space="preserve">0decdd87-8828-5170-8c2e-0c57e1182de1</t>
  </si>
  <si>
    <t xml:space="preserve">3c1f7f21-131f-5216-bac8-af56c9c81ed7</t>
  </si>
  <si>
    <t xml:space="preserve">96833a4c-41a2-54eb-9f56-c920fc7fed11</t>
  </si>
  <si>
    <t xml:space="preserve">a46dc372-20ea-5d06-894f-a7031a47cb3a</t>
  </si>
  <si>
    <t xml:space="preserve">1b279149-1c31-519e-bdde-f4646697b461</t>
  </si>
  <si>
    <t xml:space="preserve">7c96bda7-7ce9-5099-b2cf-70c48f229783</t>
  </si>
  <si>
    <t xml:space="preserve">7bcd5ee0-1423-5c71-a7c2-a6ad504d20c7</t>
  </si>
  <si>
    <t xml:space="preserve">80e8a002-3fe9-56fc-98ef-5c1ca2082fde</t>
  </si>
  <si>
    <t xml:space="preserve">d4826e78-717f-50e9-9aca-4716fcc6297e</t>
  </si>
  <si>
    <t xml:space="preserve">2150444a-0c33-54fc-960e-41db6abe9f74</t>
  </si>
  <si>
    <t xml:space="preserve">3c7bcdcb-d4d4-51d3-ab22-9a6b9d1c38d8</t>
  </si>
  <si>
    <t xml:space="preserve">d2c0593b-0f4d-5b97-a5f9-10bbbcb2b482</t>
  </si>
  <si>
    <t xml:space="preserve">13dd3d9c-ecde-53f8-9e2e-f852a8ae33d1</t>
  </si>
  <si>
    <t xml:space="preserve">e8d26595-b827-59a2-bcfb-7d4147d158ff</t>
  </si>
  <si>
    <t xml:space="preserve">c6f6fdc0-56bc-59ea-b03f-6a1174b18614</t>
  </si>
  <si>
    <t xml:space="preserve">59f7aace-4d33-5a49-9855-9fa75f6eff03</t>
  </si>
  <si>
    <t xml:space="preserve">ebf0c269-c0ac-5a0a-8a6d-07ed369b9c10</t>
  </si>
  <si>
    <t xml:space="preserve">dcb253f0-2754-5531-b78b-298325644fb4</t>
  </si>
  <si>
    <t xml:space="preserve">c7339298-1098-527d-86f4-88657396ab88</t>
  </si>
  <si>
    <t xml:space="preserve">4d9e9f75-589e-5846-b5c1-4530537175d4</t>
  </si>
  <si>
    <t xml:space="preserve">fcdb5184-a1fe-5bd0-8cb4-dc7860183ddd</t>
  </si>
  <si>
    <t xml:space="preserve">5b9cfba4-b511-5a33-9c14-1d2b121411d5</t>
  </si>
  <si>
    <t xml:space="preserve">b3d88dc7-ea53-5e07-a88c-c0f3fb26d7a1</t>
  </si>
  <si>
    <t xml:space="preserve">753d5d07-b3bf-5ca1-b44a-b9427323c7a2</t>
  </si>
  <si>
    <t xml:space="preserve">54f7f58e-8d25-5f1a-b7fd-a2c0b5306839</t>
  </si>
  <si>
    <t xml:space="preserve">d1ca5eff-f51f-5836-9b66-c163cf0cb7b3</t>
  </si>
  <si>
    <t xml:space="preserve">d603427b-1970-560e-8e70-7654ac177b2e</t>
  </si>
  <si>
    <t xml:space="preserve">6c2070b6-0e61-5d83-806c-aad7b9773fb2</t>
  </si>
  <si>
    <t xml:space="preserve">90f1b6dd-7914-5486-8f7b-5828250538fe</t>
  </si>
  <si>
    <t xml:space="preserve">2d45aff9-0fbf-55d1-b184-0476fa1fba6e</t>
  </si>
  <si>
    <t xml:space="preserve">fdb4326d-abae-5370-ac5b-2ee6d868a3b6</t>
  </si>
  <si>
    <t xml:space="preserve">de66fe27-2a50-576d-b1f8-4cfe71b7d6ed</t>
  </si>
  <si>
    <t xml:space="preserve">a478dec3-bc7e-5ada-ba14-a285b816d207</t>
  </si>
  <si>
    <t xml:space="preserve">4586eb90-28e9-5b25-8762-c9c114bc4538</t>
  </si>
  <si>
    <t xml:space="preserve">92ac22b6-f063-5977-92d4-795757d98cab</t>
  </si>
  <si>
    <t xml:space="preserve">7aaf54c4-da58-5b16-9f3c-379114a69549</t>
  </si>
  <si>
    <t xml:space="preserve">9fd95efc-8cfa-5734-b4c6-b26b126f7998</t>
  </si>
  <si>
    <t xml:space="preserve">c065c563-187b-5374-a741-5f89cba3b782</t>
  </si>
  <si>
    <t xml:space="preserve">9f4bfdaf-54f4-5c69-ae50-12ffe0995b52</t>
  </si>
  <si>
    <t xml:space="preserve">1ba50238-98b7-51b2-9922-e54f16ced8c4</t>
  </si>
  <si>
    <t xml:space="preserve">f66524ea-a27d-52b3-901e-9bc1c56bc710</t>
  </si>
  <si>
    <t xml:space="preserve">86870396-e359-5d7b-b42f-fe89fb1ab9fd</t>
  </si>
  <si>
    <t xml:space="preserve">230d7158-9827-5a3a-94fd-354e4117ab90</t>
  </si>
  <si>
    <t xml:space="preserve">02bc6449-502c-5688-8098-f6465137563e</t>
  </si>
  <si>
    <t xml:space="preserve">c56fdd61-550b-5bcf-9294-e433bce7a51f</t>
  </si>
  <si>
    <t xml:space="preserve">2fed5b8e-b5eb-51d6-a24c-4043afbd2b60</t>
  </si>
  <si>
    <t xml:space="preserve">6b14565f-4520-5a2e-888a-5cd4cf98b78c</t>
  </si>
  <si>
    <t xml:space="preserve">54c741f1-2a13-517f-aa15-29c4ae5347c1</t>
  </si>
  <si>
    <t xml:space="preserve">06772d6a-54a7-522b-86fc-18f093a375d2</t>
  </si>
  <si>
    <t xml:space="preserve">00a8a6aa-8c8a-53fc-9209-73899f82897c</t>
  </si>
  <si>
    <t xml:space="preserve">051112f5-5fd1-586e-a31a-377dfeca6a6b</t>
  </si>
  <si>
    <t xml:space="preserve">809577a7-46ed-5a21-bd3d-d86db3883827</t>
  </si>
  <si>
    <t xml:space="preserve">9152a8ed-9322-58c8-9fd3-4a92f6f88153</t>
  </si>
  <si>
    <t xml:space="preserve">e552fc8f-cd68-5810-8cc5-8e36b5b00dde</t>
  </si>
  <si>
    <t xml:space="preserve">156d4d7b-4329-563a-8cba-2d6a1eecfdb7</t>
  </si>
  <si>
    <t xml:space="preserve">296541b3-4686-5749-8fe1-732a569e55bd</t>
  </si>
  <si>
    <t xml:space="preserve">1bf90feb-75ce-5fc7-a375-9bedae95b2c1</t>
  </si>
  <si>
    <t xml:space="preserve">b02cb737-3610-5877-94ff-fa9ee758ea21</t>
  </si>
  <si>
    <t xml:space="preserve">fd7cfca7-e959-5b5a-b27f-525cdee1a1f7</t>
  </si>
  <si>
    <t xml:space="preserve">43a8f20d-2fc1-5601-83fb-1a0f0fdd48b3</t>
  </si>
  <si>
    <t xml:space="preserve">ec1a6988-c90a-533d-bd3c-037cb15dc6d1</t>
  </si>
  <si>
    <t xml:space="preserve">40be4ac6-0ca1-5ae9-9366-7141f3b228d7</t>
  </si>
  <si>
    <t xml:space="preserve">efd56c69-db6d-5d2d-b7f3-eb176895bc25</t>
  </si>
  <si>
    <t xml:space="preserve">618881ac-775a-5e99-8ea5-ed023479e6a3</t>
  </si>
  <si>
    <t xml:space="preserve">5e8bd710-ba1e-569b-89e1-d37a8d74091b</t>
  </si>
  <si>
    <t xml:space="preserve">fede76fe-2904-5612-9ed2-f6aadbfda3a1</t>
  </si>
  <si>
    <t xml:space="preserve">b0188b1a-b4bb-5713-b108-7428c2c1934a</t>
  </si>
  <si>
    <t xml:space="preserve">37034d56-e161-5953-a4c7-82f01700f5bb</t>
  </si>
  <si>
    <t xml:space="preserve">d1df9ab7-3b82-52a4-8b26-68c86514842c</t>
  </si>
  <si>
    <t xml:space="preserve">73b21992-d3c3-54fa-a15e-c01ca9ee5608</t>
  </si>
  <si>
    <t xml:space="preserve">f582812f-b260-5d92-a646-88e5c8d58748</t>
  </si>
  <si>
    <t xml:space="preserve">170efbbd-543b-508b-aa4e-89d0df726994</t>
  </si>
  <si>
    <t xml:space="preserve">280b118a-6db9-5fdc-94e5-3714bd183f6d</t>
  </si>
  <si>
    <t xml:space="preserve">31523ec5-a6be-5ae0-be16-7529f1aa92ad</t>
  </si>
  <si>
    <t xml:space="preserve">67e66326-6c8a-55f5-9a3e-cd6913c3a8d8</t>
  </si>
  <si>
    <t xml:space="preserve">d59d0112-e92e-5a6e-932a-831f5248b093</t>
  </si>
  <si>
    <t xml:space="preserve">d7195502-29da-5f25-a0df-772b3d89f9f5</t>
  </si>
  <si>
    <t xml:space="preserve">3b4cedad-44f4-533b-8705-c6048f9be830</t>
  </si>
  <si>
    <t xml:space="preserve">f5cd579a-f570-595d-9011-7381a3a19223</t>
  </si>
  <si>
    <t xml:space="preserve">51c6ae2d-18b5-5ed2-ba54-acf68d7ec2a6</t>
  </si>
  <si>
    <t xml:space="preserve">2008e7da-46e8-5228-8af1-cd22403e77b7</t>
  </si>
  <si>
    <t xml:space="preserve">023437b3-2a2e-504b-a304-92624dc77c40</t>
  </si>
  <si>
    <t xml:space="preserve">9eeb6372-806d-5e13-a3d6-7c9db24876e6</t>
  </si>
  <si>
    <t xml:space="preserve">ebbb1d7e-0730-52ac-876c-b608943f2e35</t>
  </si>
  <si>
    <t xml:space="preserve">152143e9-8e73-5a04-a3c1-c618de1f2bf0</t>
  </si>
  <si>
    <t xml:space="preserve">680d0685-2dc7-5505-8970-a3afcbe9808a</t>
  </si>
  <si>
    <t xml:space="preserve">f6ef86ce-da7f-512e-8907-dbb60f792dc5</t>
  </si>
  <si>
    <t xml:space="preserve">e9c1f56a-5b28-58a7-8440-11aea3eeb41b</t>
  </si>
  <si>
    <t xml:space="preserve">4bcc1cfc-8c18-5b23-9ea6-9c6c726583c9</t>
  </si>
  <si>
    <t xml:space="preserve">718a7b46-79ff-5fed-8ef8-a2aedff326d9</t>
  </si>
  <si>
    <t xml:space="preserve">fd12d0aa-e03c-5e0c-ae9a-541075fe757c</t>
  </si>
  <si>
    <t xml:space="preserve">02e02d35-9301-5b83-9621-54bda468d15b</t>
  </si>
  <si>
    <t xml:space="preserve">085aa129-b92a-5926-a818-2551275dc578</t>
  </si>
  <si>
    <t xml:space="preserve">ae2af3c7-fdbb-5373-b585-d7ea01869ab3</t>
  </si>
  <si>
    <t xml:space="preserve">3bcfe529-98e5-5182-95b3-fe800510b4ce</t>
  </si>
  <si>
    <t xml:space="preserve">1925879d-ac68-5775-ae89-cc1c29f70b93</t>
  </si>
  <si>
    <t xml:space="preserve">d2675f48-4624-5d59-8db9-d346b98a97b9</t>
  </si>
  <si>
    <t xml:space="preserve">28e93e4f-a219-5f5d-b985-a65ae59eb8b4</t>
  </si>
  <si>
    <t xml:space="preserve">2e2c9f90-607f-59bd-9000-0db28a33ca8c</t>
  </si>
  <si>
    <t xml:space="preserve">f299dd35-4202-5237-b8f6-ba8126c9c00e</t>
  </si>
  <si>
    <t xml:space="preserve">738bfb40-dfb2-52c8-b311-5d2fb49fc7bd</t>
  </si>
  <si>
    <t xml:space="preserve">059bd844-4cb1-5c0e-8e92-dc53c6a3f22e</t>
  </si>
  <si>
    <t xml:space="preserve">d81004bb-dfe2-51a0-8202-f31a19d8142c</t>
  </si>
  <si>
    <t xml:space="preserve">5350f32e-a62d-5a1e-81e1-5fceb390ca2b</t>
  </si>
  <si>
    <t xml:space="preserve">7db84834-6fdf-5aa2-9f3b-cca8c4440478</t>
  </si>
  <si>
    <t xml:space="preserve">5dbf104c-4f99-51cf-a4a3-38ce413fb301</t>
  </si>
  <si>
    <t xml:space="preserve">21997ff2-7e30-5c52-95ce-54396e505adf</t>
  </si>
  <si>
    <t xml:space="preserve">09fa36ba-b3d6-546c-8311-ddf6594fdd27</t>
  </si>
  <si>
    <t xml:space="preserve">b5d6cc82-bf56-56e9-8f60-15e4048f9250</t>
  </si>
  <si>
    <t xml:space="preserve">dc2df2da-0dfd-52c8-82a6-a696573ddcaa</t>
  </si>
  <si>
    <t xml:space="preserve">d4c10fdb-8cea-56a4-b5b5-259ece984696</t>
  </si>
  <si>
    <t xml:space="preserve">764a2ad1-e619-5895-a0bf-b67105f8c443</t>
  </si>
  <si>
    <t xml:space="preserve">1ac5605a-81f8-5b4b-b60d-6649063acf59</t>
  </si>
  <si>
    <t xml:space="preserve">41cacd74-2318-5d2f-bbeb-5610bc3367cb</t>
  </si>
  <si>
    <t xml:space="preserve">4a4838ad-9858-5550-a7e8-97a5c001aff1</t>
  </si>
  <si>
    <t xml:space="preserve">3d8dc22f-01eb-5c51-95a4-871c3fa412d7</t>
  </si>
  <si>
    <t xml:space="preserve">3f8dde33-2ccd-5d57-90b6-eafef890922b</t>
  </si>
  <si>
    <t xml:space="preserve">f4e6b60d-4e5a-55a5-8330-dcf637cc2b4e</t>
  </si>
  <si>
    <t xml:space="preserve">8c74a89b-75ef-56d5-8be3-6d035a2f733e</t>
  </si>
  <si>
    <t xml:space="preserve">4687dab9-8083-5d9c-95f9-85381ec6f0d9</t>
  </si>
  <si>
    <t xml:space="preserve">b3fc3c18-718b-5445-af82-0fbb843b2c97</t>
  </si>
  <si>
    <t xml:space="preserve">bb10d107-8307-5e3c-9010-9990607bf9ce</t>
  </si>
  <si>
    <t xml:space="preserve">fb4b9b0b-c6aa-5607-a960-9c07ffaf8b2f</t>
  </si>
  <si>
    <t xml:space="preserve">87a7d515-3504-5877-88dd-04a92d3286b7</t>
  </si>
  <si>
    <t xml:space="preserve">41195628-b5a6-5a53-929a-a41781bfc2d6</t>
  </si>
  <si>
    <t xml:space="preserve">0b45a779-7547-5317-9a2a-b04912f231e4</t>
  </si>
  <si>
    <t xml:space="preserve">57357bd9-e788-54ec-aa7b-622cef9588e1</t>
  </si>
  <si>
    <t xml:space="preserve">b65dcbe4-a084-5482-a3f5-a0329ebbfbc5</t>
  </si>
  <si>
    <t xml:space="preserve">8906eec2-b44f-550f-bf74-0e98a913dd7b</t>
  </si>
  <si>
    <t xml:space="preserve">b5f25e02-d195-5b1b-80cf-9827a6d8f011</t>
  </si>
  <si>
    <t xml:space="preserve">25ff7576-b843-584c-b7c1-6991965e17d8</t>
  </si>
  <si>
    <t xml:space="preserve">b5b08e83-6b9f-54f7-8ef0-a4c5c40bc854</t>
  </si>
  <si>
    <t xml:space="preserve">601b62af-15bf-5ac3-a256-d75f5df0cada</t>
  </si>
  <si>
    <t xml:space="preserve">af5b840a-01ef-5af9-8289-8b799c850fd7</t>
  </si>
  <si>
    <t xml:space="preserve">ef638c4c-3e02-56bb-a491-6e8156d85706</t>
  </si>
  <si>
    <t xml:space="preserve">09b2aa2b-d1cb-541c-b85f-ca8d7cbaacbc</t>
  </si>
  <si>
    <t xml:space="preserve">864594e5-b089-5845-a1b3-8befd1859d53</t>
  </si>
  <si>
    <t xml:space="preserve">8fad79d3-c02b-5162-a6a9-ad05a4507046</t>
  </si>
  <si>
    <t xml:space="preserve">b7661d52-d087-5de4-a16e-82505bf04b02</t>
  </si>
  <si>
    <t xml:space="preserve">99b26afc-c74b-5937-964a-801ba99f3597</t>
  </si>
  <si>
    <t xml:space="preserve">ea8b3cee-51b7-5e79-8483-9e83dff5e169</t>
  </si>
  <si>
    <t xml:space="preserve">0d0de83a-54aa-5052-8087-797f765ecb6c</t>
  </si>
  <si>
    <t xml:space="preserve">ad38fa3b-2ba3-59e4-94b3-f1e2e98a05d3</t>
  </si>
  <si>
    <t xml:space="preserve">0e1fb339-32a6-5b14-a04f-a7a8f94f4492</t>
  </si>
  <si>
    <t xml:space="preserve">db316db2-d8c8-525d-8a5b-8ddc8dc0e6b8</t>
  </si>
  <si>
    <t xml:space="preserve">8aaa6ec8-e2e1-5ceb-be47-c56bd38997ec</t>
  </si>
  <si>
    <t xml:space="preserve">0b7fc8e5-dc71-5acf-a56d-40d067fddd8f</t>
  </si>
  <si>
    <t xml:space="preserve">6233917e-d5e5-5a4c-aa12-580a15076d6b</t>
  </si>
  <si>
    <t xml:space="preserve">6ab6e105-4b92-56db-b61f-1cf5b8273222</t>
  </si>
  <si>
    <t xml:space="preserve">7e5443f6-966a-5d04-8485-fe5e55bb5f7c</t>
  </si>
  <si>
    <t xml:space="preserve">aeece1da-db3c-532f-a862-22aed3e32d30</t>
  </si>
  <si>
    <t xml:space="preserve">60a80a11-423e-5873-b071-8ec6f2260452</t>
  </si>
  <si>
    <t xml:space="preserve">09105511-50f3-535d-923c-ca8aafb58dbc</t>
  </si>
  <si>
    <t xml:space="preserve">f4b0f2fb-0d35-598f-b59f-c318820dd1d3</t>
  </si>
  <si>
    <t xml:space="preserve">4f636acd-21ce-5495-bf7f-c2b0e8a5b67f</t>
  </si>
  <si>
    <t xml:space="preserve">a6dcb64e-b439-5552-9334-b94b673466e4</t>
  </si>
  <si>
    <t xml:space="preserve">14788f2e-552f-50b3-81df-3631f5ba4897</t>
  </si>
  <si>
    <t xml:space="preserve">bf246562-1f18-5c9b-9ff6-e482860612a2</t>
  </si>
  <si>
    <t xml:space="preserve">2285132b-755e-59e8-a5ac-2f9d548c9466</t>
  </si>
  <si>
    <t xml:space="preserve">bb5fbd50-26bd-5445-8e51-dc881c19f6f5</t>
  </si>
  <si>
    <t xml:space="preserve">ee570d64-7e30-5311-ab06-f524e8f295b3</t>
  </si>
  <si>
    <t xml:space="preserve">047d3702-1ba8-55c2-b356-57a3656bd14a</t>
  </si>
  <si>
    <t xml:space="preserve">fcf45710-00ed-5d7c-b38c-754905f2533b</t>
  </si>
  <si>
    <t xml:space="preserve">d034c2f3-3003-53b3-8f80-df87e1836047</t>
  </si>
  <si>
    <t xml:space="preserve">9ca111b4-78c5-5363-9a06-374da08fc84f</t>
  </si>
  <si>
    <t xml:space="preserve">8bf6f833-2952-5285-8485-511b802bc820</t>
  </si>
  <si>
    <t xml:space="preserve">ced5b9c2-a590-5d73-84ad-fa023b9aa7a4</t>
  </si>
  <si>
    <t xml:space="preserve">f0509cfa-9cfd-593f-ac2d-8670a877bb0a</t>
  </si>
  <si>
    <t xml:space="preserve">74340e78-8981-5fd9-931a-a9db14a6070a</t>
  </si>
  <si>
    <t xml:space="preserve">840a7943-c151-578a-86cc-be1dc2a5d451</t>
  </si>
  <si>
    <t xml:space="preserve">5027f6cf-cce7-56e1-b624-701acc10c7b9</t>
  </si>
  <si>
    <t xml:space="preserve">c05f94ed-41af-5683-960f-2893d196659f</t>
  </si>
  <si>
    <t xml:space="preserve">3ca8035b-cecb-5a1a-b355-d347121a4e00</t>
  </si>
  <si>
    <t xml:space="preserve">e8adb7a5-d266-5da0-a16d-e6db7ed641d3</t>
  </si>
  <si>
    <t xml:space="preserve">03e6ff52-d8c9-538e-919c-ddd50865dc00</t>
  </si>
  <si>
    <t xml:space="preserve">f604e882-8266-5936-b1ba-280e32016fe2</t>
  </si>
  <si>
    <t xml:space="preserve">cde2b9ee-4447-5d33-b996-bded2013bd91</t>
  </si>
  <si>
    <t xml:space="preserve">520226f5-8a7e-5b4c-9f6c-543e76a63aeb</t>
  </si>
  <si>
    <t xml:space="preserve">9209a183-07fc-5683-a887-b7e6163fe9b7</t>
  </si>
  <si>
    <t xml:space="preserve">1aab9bd1-6c66-56ce-bd9e-41ca28ec6a7a</t>
  </si>
  <si>
    <t xml:space="preserve">5adf3db9-af6b-5665-b73b-e4d2e468e0cf</t>
  </si>
  <si>
    <t xml:space="preserve">edd178a0-51ef-519b-acb1-05e0662e696f</t>
  </si>
  <si>
    <t xml:space="preserve">0d9cd6e4-23e5-5a12-a040-07bf5939a9e3</t>
  </si>
  <si>
    <t xml:space="preserve">53127820-4b77-5c32-91b5-56da2f60e48f</t>
  </si>
  <si>
    <t xml:space="preserve">4c90ac58-b788-52fc-b85c-50af276cf9ee</t>
  </si>
  <si>
    <t xml:space="preserve">4246d139-a849-5e2b-9c20-5ef1f030c882</t>
  </si>
  <si>
    <t xml:space="preserve">fe4fde4a-18d0-5d23-919a-26abaf39fd7b</t>
  </si>
  <si>
    <t xml:space="preserve">ee2fdc4b-4136-5a2a-a03c-03f75a2a39fc</t>
  </si>
  <si>
    <t xml:space="preserve">aede5f0e-01fe-5566-95bc-2da8d572b4db</t>
  </si>
  <si>
    <t xml:space="preserve">06fec882-dbba-5466-89c3-142a4cd7349f</t>
  </si>
  <si>
    <t xml:space="preserve">6bc74d54-c52e-562b-9cb4-9dad6d92faad</t>
  </si>
  <si>
    <t xml:space="preserve">64b96ae3-4247-5050-a011-e7feffc1d1a8</t>
  </si>
  <si>
    <t xml:space="preserve">cc6defb4-c0d5-5cca-96b4-d01631adc07b</t>
  </si>
  <si>
    <t xml:space="preserve">c84af8db-20e2-50be-b3e1-d179a16d2514</t>
  </si>
  <si>
    <t xml:space="preserve">ccdfed59-145e-53a4-aa33-5787710ba07a</t>
  </si>
  <si>
    <t xml:space="preserve">4e3544af-1a49-550d-ba11-48b0f743665c</t>
  </si>
  <si>
    <t xml:space="preserve">eb791dd0-28e4-500f-bb1b-b2679332bf36</t>
  </si>
  <si>
    <t xml:space="preserve">b884017a-e2b6-57d2-9172-d67e3fa5761b</t>
  </si>
  <si>
    <t xml:space="preserve">752f7115-766c-510c-8857-9fd14f075cdf</t>
  </si>
  <si>
    <t xml:space="preserve">e15e1189-c02e-5923-8fc5-0a27a9100da0</t>
  </si>
  <si>
    <t xml:space="preserve">d5ba1db8-9f70-52cc-8671-42521c5526a0</t>
  </si>
  <si>
    <t xml:space="preserve">dceeef4a-0962-5859-b069-eb75ee99995d</t>
  </si>
  <si>
    <t xml:space="preserve">4f8f3468-621a-5c50-b8b0-0b36be22906b</t>
  </si>
  <si>
    <t xml:space="preserve">c9ed5325-61d9-56e5-bd30-d60cdb33b450</t>
  </si>
  <si>
    <t xml:space="preserve">f5f9da0e-94ca-5549-81e5-23691b401019</t>
  </si>
  <si>
    <t xml:space="preserve">667edfa6-ff63-5774-91f0-bdc20841ee1e</t>
  </si>
  <si>
    <t xml:space="preserve">e302665b-8615-5534-b173-5a4b13e1dd60</t>
  </si>
  <si>
    <t xml:space="preserve">c4af9d9a-1165-5694-820c-872744eb57c0</t>
  </si>
  <si>
    <t xml:space="preserve">c3e4dc61-76bd-54bf-86e5-83909c20b43c</t>
  </si>
  <si>
    <t xml:space="preserve">549b589c-284b-575c-bf0d-e8370fe52689</t>
  </si>
  <si>
    <t xml:space="preserve">74df1c2c-445f-5628-b4fb-c7bff947a440</t>
  </si>
  <si>
    <t xml:space="preserve">0368f2c0-bddf-5c75-a623-36b5c742f737</t>
  </si>
  <si>
    <t xml:space="preserve">8f81d4cd-a9e0-5240-b4b8-fab994ec1f60</t>
  </si>
  <si>
    <t xml:space="preserve">0787a4e1-be29-5f35-b94b-ba515f5169b1</t>
  </si>
  <si>
    <t xml:space="preserve">618f6c9e-1be3-5737-987c-0d7442151ddd</t>
  </si>
  <si>
    <t xml:space="preserve">cc42f82e-644a-5d5e-8c00-82e3d4058aae</t>
  </si>
  <si>
    <t xml:space="preserve">1a17658e-27ea-5ab9-a194-b55375bf302d</t>
  </si>
  <si>
    <t xml:space="preserve">12c35f73-8b5c-59c5-960c-0d2d06330b68</t>
  </si>
  <si>
    <t xml:space="preserve">1c32c010-4bb9-5939-aedf-a6d50e98139d</t>
  </si>
  <si>
    <t xml:space="preserve">aa321dc2-0fe5-59de-af9a-65df815c0c31</t>
  </si>
  <si>
    <t xml:space="preserve">dbd396b8-2d3b-5843-ae28-7aa8a01a64e0</t>
  </si>
  <si>
    <t xml:space="preserve">28564e3c-594d-52cf-b8c2-dc44bc22558b</t>
  </si>
  <si>
    <t xml:space="preserve">329701c1-4dd5-5542-ad17-ccde2beba455</t>
  </si>
  <si>
    <t xml:space="preserve">a6f8ed19-ccff-5258-ac84-1329c930f5ac</t>
  </si>
  <si>
    <t xml:space="preserve">d4421714-0722-561f-8524-4cebffed7967</t>
  </si>
  <si>
    <t xml:space="preserve">4a996cba-6263-55fa-855f-d69dbf41c3e7</t>
  </si>
  <si>
    <t xml:space="preserve">c49ca7bd-48f9-5c69-9d20-6c8f0be21acb</t>
  </si>
  <si>
    <t xml:space="preserve">007731fc-a01e-5316-ba8a-dc5f2b49a885</t>
  </si>
  <si>
    <t xml:space="preserve">4585b02a-931f-5407-966e-5830509fd206</t>
  </si>
  <si>
    <t xml:space="preserve">ad7b82a7-76e6-5ec3-92ba-27244895f141</t>
  </si>
  <si>
    <t xml:space="preserve">d3c701ad-623c-5de0-b736-806581be47ce</t>
  </si>
  <si>
    <t xml:space="preserve">6c510eb9-6fef-5176-aa0c-11169c518970</t>
  </si>
  <si>
    <t xml:space="preserve">7f3b1f4f-9b7d-518d-9baa-c8c8649bb1b6</t>
  </si>
  <si>
    <t xml:space="preserve">85f26ed1-a170-523d-a039-2e8c298ec44e</t>
  </si>
  <si>
    <t xml:space="preserve">a6c62737-f0b1-58f4-8b41-3cfe9cb922a9</t>
  </si>
  <si>
    <t xml:space="preserve">61b7bb0d-6162-561d-85e2-e952d5db9195</t>
  </si>
  <si>
    <t xml:space="preserve">e2eb590e-3a39-52db-afe1-03a4dfdc11f3</t>
  </si>
  <si>
    <t xml:space="preserve">1b67d484-4abb-514a-862b-0c1a3926a429</t>
  </si>
  <si>
    <t xml:space="preserve">baa0e32a-5483-5b3f-adbe-4a19c12876ec</t>
  </si>
  <si>
    <t xml:space="preserve">6fa10a5e-3fc8-557c-9c12-2a6ce88515c3</t>
  </si>
  <si>
    <t xml:space="preserve">7692f725-d5b7-595f-bf9e-76beeac00492</t>
  </si>
  <si>
    <t xml:space="preserve">0dc671ed-2610-59c3-8c03-d846c583e9d9</t>
  </si>
  <si>
    <t xml:space="preserve">f7ffea42-d9d1-569a-9376-31afd0741c56</t>
  </si>
  <si>
    <t xml:space="preserve">c77e3560-bdd6-51e0-90d4-9be4c2eec3f7</t>
  </si>
  <si>
    <t xml:space="preserve">c16f99c2-9e82-539f-b7b7-4a1b75d5efe0</t>
  </si>
  <si>
    <t xml:space="preserve">1a955490-11f4-584e-9f74-cefaa9d306ab</t>
  </si>
  <si>
    <t xml:space="preserve">4753e558-b8d3-5e6a-aa28-d44e232f3e50</t>
  </si>
  <si>
    <t xml:space="preserve">55b5658d-9b6e-5e11-a5f1-6bc2606162ad</t>
  </si>
  <si>
    <t xml:space="preserve">e44b1aeb-096e-55f6-a979-fb53ae989124</t>
  </si>
  <si>
    <t xml:space="preserve">681504f1-bae2-5b9b-8d94-23159663c024</t>
  </si>
  <si>
    <t xml:space="preserve">55abdba3-2fc1-52e7-99c4-2af9fcbf190b</t>
  </si>
  <si>
    <t xml:space="preserve">0c734e6d-4b94-55e6-83f5-97fa6e77ca46</t>
  </si>
  <si>
    <t xml:space="preserve">18545b35-4007-5d1a-ac1d-10b10853b3d5</t>
  </si>
  <si>
    <t xml:space="preserve">e10c5118-ff5c-58e5-b853-e42f7e003403</t>
  </si>
  <si>
    <t xml:space="preserve">2d3d67ab-84bf-5fcf-9259-1bc5b73fbc93</t>
  </si>
  <si>
    <t xml:space="preserve">dfae1732-743d-5265-9346-5b29064caed7</t>
  </si>
  <si>
    <t xml:space="preserve">2a561310-5667-58a2-8522-a47ded7c67ea</t>
  </si>
  <si>
    <t xml:space="preserve">c67fa368-10a6-52d8-9cce-b1bcd1d0a400</t>
  </si>
  <si>
    <t xml:space="preserve">6a5d3038-c03d-5482-9aa6-cc42741cbbad</t>
  </si>
  <si>
    <t xml:space="preserve">e5717324-4e75-5fb6-b0a7-481888315b93</t>
  </si>
  <si>
    <t xml:space="preserve">00fd9de2-15e7-575e-9081-bbad5faa5567</t>
  </si>
  <si>
    <t xml:space="preserve">ca752bc9-c0fe-5ac6-b456-8a8e5dc2fe30</t>
  </si>
  <si>
    <t xml:space="preserve">5c59d711-9327-5981-9907-4f4dde825ae0</t>
  </si>
  <si>
    <t xml:space="preserve">4e9494dc-e1a2-587f-9619-2c8902d960a3</t>
  </si>
  <si>
    <t xml:space="preserve">d846abfa-eee8-5be6-9170-5b54da28ee18</t>
  </si>
  <si>
    <t xml:space="preserve">2c63e2a6-1d24-580b-8d45-08167dfc2790</t>
  </si>
  <si>
    <t xml:space="preserve">030438e8-30da-5ddb-b20d-9533c5c6b3fa</t>
  </si>
  <si>
    <t xml:space="preserve">a55ba9d3-05b4-5e0a-8fa4-2751f27af0e8</t>
  </si>
  <si>
    <t xml:space="preserve">c99f8ddc-f50f-5dc3-a66c-bf34e48aa075</t>
  </si>
  <si>
    <t xml:space="preserve">062ab38f-50a7-5eda-b93a-0beadf6c685b</t>
  </si>
  <si>
    <t xml:space="preserve">9283dbaf-2a6d-5db2-a0e4-9a702c3037dd</t>
  </si>
  <si>
    <t xml:space="preserve">006a087d-5f45-5209-8cce-3625d09e9ad4</t>
  </si>
  <si>
    <t xml:space="preserve">8f78a3f9-2181-5ebe-8edc-3bc28d674b3d</t>
  </si>
  <si>
    <t xml:space="preserve">050aa917-fcc3-56b6-9856-e0378a96df71</t>
  </si>
  <si>
    <t xml:space="preserve">9c7ce75e-fc9d-50c0-93a3-1c4414e46ea2</t>
  </si>
  <si>
    <t xml:space="preserve">fda6eb3a-d6ad-5355-96e6-02cde4c3c5c1</t>
  </si>
  <si>
    <t xml:space="preserve">c9c6f96e-e700-54b6-95ec-47f3743ca39c</t>
  </si>
  <si>
    <t xml:space="preserve">922657d6-ad27-5175-a683-e5d8d419f002</t>
  </si>
  <si>
    <t xml:space="preserve">22e79fa9-7886-5f20-a40d-731a3121d9ff</t>
  </si>
  <si>
    <t xml:space="preserve">63b560af-2756-547f-872d-2fbc6500512f</t>
  </si>
  <si>
    <t xml:space="preserve">67a56602-e864-52fb-bdd6-1bac9c40943a</t>
  </si>
  <si>
    <t xml:space="preserve">77b82dd4-a5e8-566f-a134-65d2209a991b</t>
  </si>
  <si>
    <t xml:space="preserve">0a93ced1-8597-5308-ab07-9f113a91bc6c</t>
  </si>
  <si>
    <t xml:space="preserve">86d6200b-5041-5635-a6b8-9c680588c949</t>
  </si>
  <si>
    <t xml:space="preserve">ff9fe1cc-6e7a-5f24-bd4a-9aa7758c65b3</t>
  </si>
  <si>
    <t xml:space="preserve">7c679b4e-e18a-504f-86c7-c3036ccd675a</t>
  </si>
  <si>
    <t xml:space="preserve">c2db07db-1dd1-5999-b2b4-0fca3261a707</t>
  </si>
  <si>
    <t xml:space="preserve">5c8339e7-5795-5714-8776-be013976486a</t>
  </si>
  <si>
    <t xml:space="preserve">bb501115-c575-51aa-a9d1-94e19f254451</t>
  </si>
  <si>
    <t xml:space="preserve">4cca95ad-02f4-5221-b754-d98154689a68</t>
  </si>
  <si>
    <t xml:space="preserve">ce5e4969-d8fd-50f6-a8e6-9e9c2e4840c8</t>
  </si>
  <si>
    <t xml:space="preserve">737f8d29-a116-599a-af2d-ae64b47f55b0</t>
  </si>
  <si>
    <t xml:space="preserve">2b04f05c-5fec-5d87-9fb8-987cd7b95d3d</t>
  </si>
  <si>
    <t xml:space="preserve">67b146d0-474f-552e-8374-3c4ec9c46f48</t>
  </si>
  <si>
    <t xml:space="preserve">7633a11d-1151-53d1-b052-c2cdf2ceacaf</t>
  </si>
  <si>
    <t xml:space="preserve">6a6a8c7f-14a8-5a05-bad3-fc1a3d0db024</t>
  </si>
  <si>
    <t xml:space="preserve">dab5a350-2fa0-5fff-9a49-4d5f0cc21baf</t>
  </si>
  <si>
    <t xml:space="preserve">02d6ee22-978a-57c8-925f-0e52e7ed5c2d</t>
  </si>
  <si>
    <t xml:space="preserve">79e8ca53-9d75-57fb-93e1-acb3bf57e447</t>
  </si>
  <si>
    <t xml:space="preserve">71243e69-783b-596e-8600-f2ebcacb8185</t>
  </si>
  <si>
    <t xml:space="preserve">e2803e43-13c3-5bf7-be98-13f6571755f7</t>
  </si>
  <si>
    <t xml:space="preserve">6ed49fd8-ce96-5588-a595-d1695defa6e6</t>
  </si>
  <si>
    <t xml:space="preserve">704cd054-d42b-566d-b13c-d98fbc9bedb9</t>
  </si>
  <si>
    <t xml:space="preserve">665ec77f-59b2-5d82-a19b-4a6c50d26eb6</t>
  </si>
  <si>
    <t xml:space="preserve">25d47fa6-6a0f-5903-b0a6-12001a84025a</t>
  </si>
  <si>
    <t xml:space="preserve">0227aa47-1425-5d79-a90d-a7fb9a318048</t>
  </si>
  <si>
    <t xml:space="preserve">4b452889-c0d5-5f1e-a393-3a813f78b9f5</t>
  </si>
  <si>
    <t xml:space="preserve">2aafbdd4-ef43-5866-a1c4-1eb1f413973c</t>
  </si>
  <si>
    <t xml:space="preserve">1aa4ec85-5e75-5fb7-a3e3-55f5eea589ed</t>
  </si>
  <si>
    <t xml:space="preserve">520decdb-f502-56a9-9c44-e80a0785341a</t>
  </si>
  <si>
    <t xml:space="preserve">aa270683-e56a-5cdc-8340-3a022675a776</t>
  </si>
  <si>
    <t xml:space="preserve">6849a7c1-6c17-573e-8489-3ddb0bc73f2a</t>
  </si>
  <si>
    <t xml:space="preserve">80298364-d668-57f7-8268-473d72302620</t>
  </si>
  <si>
    <t xml:space="preserve">11c1b34c-ecea-5053-8d19-65e6b06601e3</t>
  </si>
  <si>
    <t xml:space="preserve">77845147-b3bf-50af-8c7b-aa4ac9d93eca</t>
  </si>
  <si>
    <t xml:space="preserve">825116cb-9846-578e-974a-e17ca83e76c5</t>
  </si>
  <si>
    <t xml:space="preserve">2534b618-9e87-5100-b763-049d3c2dfe90</t>
  </si>
  <si>
    <t xml:space="preserve">d16427f8-7573-5fc7-84f3-fed9f0ffa30b</t>
  </si>
  <si>
    <t xml:space="preserve">7174b34f-671c-5fe9-a304-9cdae8c64c99</t>
  </si>
  <si>
    <t xml:space="preserve">04645256-68bb-55ee-b095-1b4a9cdc6ddc</t>
  </si>
  <si>
    <t xml:space="preserve">3e8da5fb-d0af-541e-bbb7-b2cef03c0ccf</t>
  </si>
  <si>
    <t xml:space="preserve">658a77be-a1c5-5dac-aa84-fc969f96dbde</t>
  </si>
  <si>
    <t xml:space="preserve">01180df0-d4f9-5641-b0a5-f288ecec91d5</t>
  </si>
  <si>
    <t xml:space="preserve">c62180d9-2653-5671-b21c-486ddd422e3f</t>
  </si>
  <si>
    <t xml:space="preserve">0999aae7-a04f-5958-9cc0-09b73cc78450</t>
  </si>
  <si>
    <t xml:space="preserve">38267e0e-1b71-57cf-a6a4-21ac3f0a6cd6</t>
  </si>
  <si>
    <t xml:space="preserve">a7030363-d9da-57bd-a2e2-3fe0c8c55daa</t>
  </si>
  <si>
    <t xml:space="preserve">a0bef8f7-8d79-567d-8dd3-7ef01f6e0f16</t>
  </si>
  <si>
    <t xml:space="preserve">534ee80e-3be5-5e58-a51c-e6d40ac702af</t>
  </si>
  <si>
    <t xml:space="preserve">d09c78d7-eb8a-55ff-bacf-46fa4c4939f6</t>
  </si>
  <si>
    <t xml:space="preserve">c12f4812-431c-5e5c-8157-308de141d522</t>
  </si>
  <si>
    <t xml:space="preserve">73ceb679-7b86-52be-ade6-a95291944c97</t>
  </si>
  <si>
    <t xml:space="preserve">c2c45afe-68a2-5a48-88da-ab19d572b7fd</t>
  </si>
  <si>
    <t xml:space="preserve">15ec94a2-64ba-5bf6-b99e-f34602295f7a</t>
  </si>
  <si>
    <t xml:space="preserve">e1d7a360-ba4a-5705-99b7-9cc7998b48cb</t>
  </si>
  <si>
    <t xml:space="preserve">13aa1999-c4c9-5049-8792-f9af8908e21a</t>
  </si>
  <si>
    <t xml:space="preserve">0c9f9caf-c155-5f4b-b9c1-c05c84a6534c</t>
  </si>
  <si>
    <t xml:space="preserve">21029b4e-4ceb-5dbb-aebf-eae3d134d211</t>
  </si>
  <si>
    <t xml:space="preserve">f2e21aa8-3da8-5386-bdab-f166a5b126cc</t>
  </si>
  <si>
    <t xml:space="preserve">6a43561f-6fc2-570a-aa1d-3426637ac3fd</t>
  </si>
  <si>
    <t xml:space="preserve">54653910-9885-5e44-b639-c54ac91779fc</t>
  </si>
  <si>
    <t xml:space="preserve">1f04d34d-b1e8-52ba-960a-6b3d482b03b7</t>
  </si>
  <si>
    <t xml:space="preserve">c3f9af60-4129-5331-9707-5480f3584fc8</t>
  </si>
  <si>
    <t xml:space="preserve">74016424-93da-51cb-9356-027a022b06dc</t>
  </si>
  <si>
    <t xml:space="preserve">dcb0d9df-289c-5d41-8c2c-62d04e231433</t>
  </si>
  <si>
    <t xml:space="preserve">a66f05ff-43e6-5ebb-ac0d-31c8dc79de4e</t>
  </si>
  <si>
    <t xml:space="preserve">23f7cbf7-8e4a-5a8c-86bc-0bd6472d52a6</t>
  </si>
  <si>
    <t xml:space="preserve">FR-01</t>
  </si>
  <si>
    <t xml:space="preserve">inzicht en nulmeting</t>
  </si>
  <si>
    <t xml:space="preserve">Oplossingsrichting: inzicht en nulmeting.</t>
  </si>
  <si>
    <t xml:space="preserve">4c9fb2fc-1068-5212-ab23-10a1ce6c50bf</t>
  </si>
  <si>
    <t xml:space="preserve">FR-02</t>
  </si>
  <si>
    <t xml:space="preserve">afwegen en prioriteren</t>
  </si>
  <si>
    <t xml:space="preserve">Oplossingsrichting: afwegen en prioriteren.</t>
  </si>
  <si>
    <t xml:space="preserve">0fee5cfe-4705-50a9-8cbf-6c76107ff5e0</t>
  </si>
  <si>
    <t xml:space="preserve">FR-03</t>
  </si>
  <si>
    <t xml:space="preserve">begroten en programmeren</t>
  </si>
  <si>
    <t xml:space="preserve">Oplossingsrichting: begroten en programmeren.</t>
  </si>
  <si>
    <t xml:space="preserve">a10ab7a7-5002-5a7f-83dc-0eb590547afb</t>
  </si>
  <si>
    <t xml:space="preserve">FR-04</t>
  </si>
  <si>
    <t xml:space="preserve">subsidiëren</t>
  </si>
  <si>
    <t xml:space="preserve">Oplossingsrichting: subsidiëren.</t>
  </si>
  <si>
    <t xml:space="preserve">f9782a22-6b3c-5277-8193-48baf011190a</t>
  </si>
  <si>
    <t xml:space="preserve">FR-05</t>
  </si>
  <si>
    <t xml:space="preserve">lenen</t>
  </si>
  <si>
    <t xml:space="preserve">Oplossingsrichting: lenen.</t>
  </si>
  <si>
    <t xml:space="preserve">d8e0f3d1-65a0-5d69-860e-696db1944dd3</t>
  </si>
  <si>
    <t xml:space="preserve">FR-06</t>
  </si>
  <si>
    <t xml:space="preserve">borgen of garanderen</t>
  </si>
  <si>
    <t xml:space="preserve">Oplossingsrichting: borgen of garanderen.</t>
  </si>
  <si>
    <t xml:space="preserve">0e34d710-fe4d-5528-908f-3ef3d31fdc9a</t>
  </si>
  <si>
    <t xml:space="preserve">FR-07</t>
  </si>
  <si>
    <t xml:space="preserve">bekostigen uit exploitatie</t>
  </si>
  <si>
    <t xml:space="preserve">Oplossingsrichting: bekostigen uit exploitatie.</t>
  </si>
  <si>
    <t xml:space="preserve">f792cc8a-38c9-5f4f-9afd-32664a6e079e</t>
  </si>
  <si>
    <t xml:space="preserve">FR-08</t>
  </si>
  <si>
    <t xml:space="preserve">reserve of voorziening inzetten</t>
  </si>
  <si>
    <t xml:space="preserve">Oplossingsrichting: reserve of voorziening inzetten.</t>
  </si>
  <si>
    <t xml:space="preserve">4a45daa2-caf0-53e4-9bc0-42c000711063</t>
  </si>
  <si>
    <t xml:space="preserve">FR-09</t>
  </si>
  <si>
    <t xml:space="preserve">Oplossingsrichting: kostprijsdekkende huur.</t>
  </si>
  <si>
    <t xml:space="preserve">79e5905d-20c2-53d1-8179-9281665edce9</t>
  </si>
  <si>
    <t xml:space="preserve">FR-10</t>
  </si>
  <si>
    <t xml:space="preserve">fiscale optimalisatie</t>
  </si>
  <si>
    <t xml:space="preserve">Oplossingsrichting: fiscale optimalisatie.</t>
  </si>
  <si>
    <t xml:space="preserve">dd372821-5d19-5dd1-9cd4-9d43a9846a0a</t>
  </si>
  <si>
    <t xml:space="preserve">FR-11</t>
  </si>
  <si>
    <t xml:space="preserve">eigendom of balans anders organiseren</t>
  </si>
  <si>
    <t xml:space="preserve">Oplossingsrichting: eigendom of balans anders organiseren.</t>
  </si>
  <si>
    <t xml:space="preserve">d98993e2-1179-5fd0-94f4-de044c9ee94d</t>
  </si>
  <si>
    <t xml:space="preserve">FR-12</t>
  </si>
  <si>
    <t xml:space="preserve">marktconstructie inzetten</t>
  </si>
  <si>
    <t xml:space="preserve">Oplossingsrichting: marktconstructie inzetten.</t>
  </si>
  <si>
    <t xml:space="preserve">038b93f6-92b9-5e79-9ae3-ed8a2dbbe696</t>
  </si>
  <si>
    <t xml:space="preserve">FR-13</t>
  </si>
  <si>
    <t xml:space="preserve">functies of gebouwen combineren</t>
  </si>
  <si>
    <t xml:space="preserve">Oplossingsrichting: functies of gebouwen combineren.</t>
  </si>
  <si>
    <t xml:space="preserve">4080460f-b536-530f-b5c4-090e5101becd</t>
  </si>
  <si>
    <t xml:space="preserve">FR-14</t>
  </si>
  <si>
    <t xml:space="preserve">gebiedsgerichte businesscase</t>
  </si>
  <si>
    <t xml:space="preserve">Oplossingsrichting: gebiedsgerichte businesscase.</t>
  </si>
  <si>
    <t xml:space="preserve">dfc3a749-9514-5e5c-a123-5dd9ee8d4fb4</t>
  </si>
  <si>
    <t xml:space="preserve">FR-15</t>
  </si>
  <si>
    <t xml:space="preserve">programmatisch inkopen</t>
  </si>
  <si>
    <t xml:space="preserve">Oplossingsrichting: programmatisch inkopen.</t>
  </si>
  <si>
    <t xml:space="preserve">11ef3fc8-8a45-5c80-ab27-9c2fe041e593</t>
  </si>
  <si>
    <t xml:space="preserve">FR-16</t>
  </si>
  <si>
    <t xml:space="preserve">maatschappelijke waarde onderbouwen</t>
  </si>
  <si>
    <t xml:space="preserve">Oplossingsrichting: maatschappelijke waarde onderbouwen.</t>
  </si>
  <si>
    <t xml:space="preserve">bdb07d32-cabb-58bc-9516-5de802ed3fc6</t>
  </si>
  <si>
    <t xml:space="preserve">FR-17</t>
  </si>
  <si>
    <t xml:space="preserve">Oplossingsrichting: monitoring en verantwoording.</t>
  </si>
  <si>
    <t xml:space="preserve">b62e7090-93f5-5951-8009-e092d485eb2f</t>
  </si>
  <si>
    <t xml:space="preserve">c4f7e3dd-c653-5aea-b4ba-2847aa44dea6</t>
  </si>
  <si>
    <t xml:space="preserve">4fa9f864-eeba-553d-b358-7c5296854ebf</t>
  </si>
  <si>
    <t xml:space="preserve">8997d599-b71c-5ca2-8050-e8b88b680a8f</t>
  </si>
  <si>
    <t xml:space="preserve">855c2f97-0a9b-5926-8a54-e50fdee86665</t>
  </si>
  <si>
    <t xml:space="preserve">42fe9961-e272-50e5-aeea-df8dc8fc12a7</t>
  </si>
  <si>
    <t xml:space="preserve">c8ead72c-655b-5702-8e5e-23ecd80c4656</t>
  </si>
  <si>
    <t xml:space="preserve">cad5101b-c463-5e75-a329-522d2aea6f42</t>
  </si>
  <si>
    <t xml:space="preserve">12eaf87e-b78b-5d12-abd7-d634d9ab8f3a</t>
  </si>
  <si>
    <t xml:space="preserve">033b3a91-16e4-55e2-9b99-51d7dfb5a75d</t>
  </si>
  <si>
    <t xml:space="preserve">2cf2f299-7814-581d-8a9d-2ee469c21cf1</t>
  </si>
  <si>
    <t xml:space="preserve">73eb1a43-052a-5374-92ec-24b8a1f71422</t>
  </si>
  <si>
    <t xml:space="preserve">4085fa3f-ef7f-5b9d-bf50-507faf95308c</t>
  </si>
  <si>
    <t xml:space="preserve">bc16d673-2f53-5c8f-bf27-ac07b6006ada</t>
  </si>
  <si>
    <t xml:space="preserve">837fcc81-ff7d-558e-af1f-2c79658c2a70</t>
  </si>
  <si>
    <t xml:space="preserve">f5ce94b0-7733-5f36-acee-6f21514c38bb</t>
  </si>
  <si>
    <t xml:space="preserve">d8da392a-d8de-5fce-ab62-e1f58293f0bd</t>
  </si>
  <si>
    <t xml:space="preserve">84707384-95a0-5667-968f-4199938994e6</t>
  </si>
  <si>
    <t xml:space="preserve">9d62fd9a-5157-5609-a9a5-3c2991fdad42</t>
  </si>
  <si>
    <t xml:space="preserve">1ffc6948-b34c-57b4-adc9-a076d162f383</t>
  </si>
  <si>
    <t xml:space="preserve">b96bf16a-1fb6-50e0-b41b-b8b96f561be9</t>
  </si>
  <si>
    <t xml:space="preserve">ea916a5b-3153-5844-b527-01bcab066f21</t>
  </si>
  <si>
    <t xml:space="preserve">637cc8c9-56d3-543b-b3cd-259d61efff4e</t>
  </si>
  <si>
    <t xml:space="preserve">1c37f0a6-91c4-5c45-9977-e6d6cf245e0d</t>
  </si>
  <si>
    <t xml:space="preserve">3f680c35-eff8-5945-83d2-f52a8880a2f4</t>
  </si>
  <si>
    <t xml:space="preserve">711bd4c7-c6c7-51c0-946e-ebf447314c56</t>
  </si>
  <si>
    <t xml:space="preserve">09eb1d3f-75f5-5174-bffb-ff8f5268300a</t>
  </si>
  <si>
    <t xml:space="preserve">434a000e-cd69-5ebf-9fca-0a556f61395c</t>
  </si>
  <si>
    <t xml:space="preserve">041c11e3-a3a8-5789-aac3-84337a83301d</t>
  </si>
  <si>
    <t xml:space="preserve">ddbf0d87-e5e5-5fb8-be14-d5b3bd0e40c2</t>
  </si>
  <si>
    <t xml:space="preserve">74532608-f454-533d-9abc-975a1d6364d7</t>
  </si>
  <si>
    <t xml:space="preserve">30db1858-7599-55ef-b025-ab0c08e08a50</t>
  </si>
  <si>
    <t xml:space="preserve">17011497-7be8-58e9-8c65-d066f7d1fc24</t>
  </si>
  <si>
    <t xml:space="preserve">9a7b7c0e-7c05-57c2-bbb9-0f4e2e1b4599</t>
  </si>
  <si>
    <t xml:space="preserve">b87157e6-c809-522b-8230-5eb17ec320e3</t>
  </si>
  <si>
    <t xml:space="preserve">13c16f54-55a1-57d9-83de-ff8018bb470a</t>
  </si>
  <si>
    <t xml:space="preserve">1d77b036-4439-539e-8174-42113d5f0444</t>
  </si>
  <si>
    <t xml:space="preserve">2fcb0e00-a246-58d5-b1c3-d87e97c9a599</t>
  </si>
  <si>
    <t xml:space="preserve">069b0001-cdc9-58b0-833e-aa6a7b73f3d7</t>
  </si>
  <si>
    <t xml:space="preserve">70d98ee6-c11e-540a-813b-8923f9fe1b27</t>
  </si>
  <si>
    <t xml:space="preserve">7ee51d8e-e3c6-5283-8879-02544ca5ac57</t>
  </si>
  <si>
    <t xml:space="preserve">f25b0011-8b34-50d1-8b66-f9d076ffb617</t>
  </si>
  <si>
    <t xml:space="preserve">7f0490ff-cb2e-5430-bdb4-52db34a9fae1</t>
  </si>
  <si>
    <t xml:space="preserve">c33c6f6d-f2fb-5ce9-af55-94079c256745</t>
  </si>
  <si>
    <t xml:space="preserve">37648c8f-9637-56ab-9536-92005a402c25</t>
  </si>
  <si>
    <t xml:space="preserve">782cb252-7c6d-5b87-af92-51102d777dc8</t>
  </si>
  <si>
    <t xml:space="preserve">d0d97a9d-fa1b-5504-94b1-92dcc7f93818</t>
  </si>
  <si>
    <t xml:space="preserve">1f8c93d8-0566-5b32-beb3-6c833fc91714</t>
  </si>
  <si>
    <t xml:space="preserve">28d20e87-8c42-5ae9-a845-f3a0ea7b6633</t>
  </si>
  <si>
    <t xml:space="preserve">2fe87fd2-1128-54c2-a39a-ae844333dfe8</t>
  </si>
  <si>
    <t xml:space="preserve">6222b19b-ce2d-59b8-a5d5-78272a63a0f8</t>
  </si>
  <si>
    <t xml:space="preserve">4f22f24f-0296-5ea2-ab76-8fc3291a0a24</t>
  </si>
  <si>
    <t xml:space="preserve">a4d52c90-d946-57ef-a5c5-fe17ca7a77a8</t>
  </si>
  <si>
    <t xml:space="preserve">4b71c012-ce49-59ee-b9ee-006489a0c276</t>
  </si>
  <si>
    <t xml:space="preserve">1452d96e-705f-51c0-bbb9-8f6192094194</t>
  </si>
  <si>
    <t xml:space="preserve">b6f94226-3569-5216-8069-2470d59e3266</t>
  </si>
  <si>
    <t xml:space="preserve">1175a96b-aa69-562b-898e-1eb0e6c036f6</t>
  </si>
  <si>
    <t xml:space="preserve">1b2cf129-2c7a-5fcd-a871-e472babea78a</t>
  </si>
  <si>
    <t xml:space="preserve">c93ca9bd-0ce5-50aa-890f-cc6b1f33791c</t>
  </si>
  <si>
    <t xml:space="preserve">587fb99a-0469-501b-b6ff-8fbab0deb6e6</t>
  </si>
  <si>
    <t xml:space="preserve">17f67a75-c8ac-5031-b7ad-af734e28c097</t>
  </si>
  <si>
    <t xml:space="preserve">44c3048f-c9cc-5085-aa1f-524bcacc8eae</t>
  </si>
  <si>
    <t xml:space="preserve">770419b5-65d5-513c-a6d3-303fedb4e33f</t>
  </si>
  <si>
    <t xml:space="preserve">b791dab8-5111-5a00-8a5f-1d653e394fb1</t>
  </si>
  <si>
    <t xml:space="preserve">9074162f-6715-5936-9359-084c0d82f4d5</t>
  </si>
  <si>
    <t xml:space="preserve">a25bdee6-9f68-59aa-8759-5edcb3a75af7</t>
  </si>
  <si>
    <t xml:space="preserve">621cb16a-346c-5e21-b2dd-e268a06146d2</t>
  </si>
  <si>
    <t xml:space="preserve">53cc9323-3c73-55b0-a091-455d2aa7e0a1</t>
  </si>
  <si>
    <t xml:space="preserve">aaa4f9bc-b4cd-5d14-bc40-3965427190de</t>
  </si>
  <si>
    <t xml:space="preserve">df3e136f-689f-59e9-ae0c-6bb8ce347a78</t>
  </si>
  <si>
    <t xml:space="preserve">974a930b-2885-57e9-92fa-7ce3cd44af30</t>
  </si>
  <si>
    <t xml:space="preserve">506fe671-c5eb-51a4-9530-eced079d4d8b</t>
  </si>
  <si>
    <t xml:space="preserve">fe60d4a6-bc21-5dcd-8901-d991977b6543</t>
  </si>
  <si>
    <t xml:space="preserve">11ac5fd2-7dc5-5f76-922b-a81cb60bf993</t>
  </si>
  <si>
    <t xml:space="preserve">92db36b3-1fc6-5209-a40a-646fb6a5f1c8</t>
  </si>
  <si>
    <t xml:space="preserve">718ec4f7-2f35-5107-a994-bd57a32cb741</t>
  </si>
  <si>
    <t xml:space="preserve">7afa761c-ee99-54fe-bb34-22fa5a1924bc</t>
  </si>
  <si>
    <t xml:space="preserve">6babc551-6a9f-59db-a604-deb0596ea608</t>
  </si>
  <si>
    <t xml:space="preserve">EF-01</t>
  </si>
  <si>
    <t xml:space="preserve">verlaagt initiële investering</t>
  </si>
  <si>
    <t xml:space="preserve">financieel</t>
  </si>
  <si>
    <t xml:space="preserve">DUMMY-aanvulling: effectcategorie</t>
  </si>
  <si>
    <t xml:space="preserve">bb5b011b-3f86-5f4f-9b12-730fd46ec22e</t>
  </si>
  <si>
    <t xml:space="preserve">EF-02</t>
  </si>
  <si>
    <t xml:space="preserve">verlaagt structurele lasten</t>
  </si>
  <si>
    <t xml:space="preserve">b94e6120-f890-5aff-a1aa-837dae9c4c92</t>
  </si>
  <si>
    <t xml:space="preserve">EF-03</t>
  </si>
  <si>
    <t xml:space="preserve">verschuift lasten in de tijd</t>
  </si>
  <si>
    <t xml:space="preserve">6439e6b5-1078-5388-b9fd-109da4371f63</t>
  </si>
  <si>
    <t xml:space="preserve">EF-04</t>
  </si>
  <si>
    <t xml:space="preserve">verschuift lasten tussen partijen</t>
  </si>
  <si>
    <t xml:space="preserve">28d9c442-7ff7-569b-950e-4063ebe5c1ad</t>
  </si>
  <si>
    <t xml:space="preserve">EF-05</t>
  </si>
  <si>
    <t xml:space="preserve">vergroot financieringsruimte</t>
  </si>
  <si>
    <t xml:space="preserve">cf5d968e-db47-5b24-9ab4-d3c45d87f8ff</t>
  </si>
  <si>
    <t xml:space="preserve">EF-06</t>
  </si>
  <si>
    <t xml:space="preserve">vermindert risico</t>
  </si>
  <si>
    <t xml:space="preserve">risico</t>
  </si>
  <si>
    <t xml:space="preserve">165faf34-4e0b-5f2f-ab3f-d3bbceb76b94</t>
  </si>
  <si>
    <t xml:space="preserve">EF-07</t>
  </si>
  <si>
    <t xml:space="preserve">geeft inzicht of data</t>
  </si>
  <si>
    <t xml:space="preserve">inzicht</t>
  </si>
  <si>
    <t xml:space="preserve">75a804a4-7936-56b9-859a-81f86d1050c9</t>
  </si>
  <si>
    <t xml:space="preserve">EF-08</t>
  </si>
  <si>
    <t xml:space="preserve">ondersteunt vergelijking</t>
  </si>
  <si>
    <t xml:space="preserve">519171e6-6470-53c1-89be-796641f4f9dc</t>
  </si>
  <si>
    <t xml:space="preserve">EF-09</t>
  </si>
  <si>
    <t xml:space="preserve">ondersteunt prioritering</t>
  </si>
  <si>
    <t xml:space="preserve">1231bf5b-8bc9-50d6-aea3-76ee6043c981</t>
  </si>
  <si>
    <t xml:space="preserve">EF-10</t>
  </si>
  <si>
    <t xml:space="preserve">ondersteunt verantwoording</t>
  </si>
  <si>
    <t xml:space="preserve">e1135b04-3e6b-5497-9f96-41fffdfce58b</t>
  </si>
  <si>
    <t xml:space="preserve">EF-11</t>
  </si>
  <si>
    <t xml:space="preserve">ondersteunt samenwerking</t>
  </si>
  <si>
    <t xml:space="preserve">samenwerking</t>
  </si>
  <si>
    <t xml:space="preserve">504cd691-6cb7-5a73-87ba-2e4fc61d6b2a</t>
  </si>
  <si>
    <t xml:space="preserve">EF-12</t>
  </si>
  <si>
    <t xml:space="preserve">borgt wettelijke naleving</t>
  </si>
  <si>
    <t xml:space="preserve">compliance</t>
  </si>
  <si>
    <t xml:space="preserve">09cedb29-26b0-5a67-b8a0-16a2a9a6fbaa</t>
  </si>
  <si>
    <t xml:space="preserve">EF-13</t>
  </si>
  <si>
    <t xml:space="preserve">verhoogt maatschappelijke waarde</t>
  </si>
  <si>
    <t xml:space="preserve">maatschappelijk</t>
  </si>
  <si>
    <t xml:space="preserve">5dd69ca3-4b54-5a1b-8fb1-eda3b1b1d88c</t>
  </si>
  <si>
    <t xml:space="preserve">EF-14</t>
  </si>
  <si>
    <t xml:space="preserve">geen direct financieel effect</t>
  </si>
  <si>
    <t xml:space="preserve">geen</t>
  </si>
  <si>
    <t xml:space="preserve">3222aff3-d960-5551-ba8f-d7f1365c2d1a</t>
  </si>
  <si>
    <t xml:space="preserve">verlaagt</t>
  </si>
  <si>
    <t xml:space="preserve">Indicatie v0.1: 20-40%, max 1,5 mln</t>
  </si>
  <si>
    <t xml:space="preserve">ef78c241-a425-56e4-92a6-3ce14db3e4a6</t>
  </si>
  <si>
    <t xml:space="preserve">Indicatie v0.1: Per apparaat</t>
  </si>
  <si>
    <t xml:space="preserve">47bd9ea7-c58e-5565-b6d8-7ca19ba8edd5</t>
  </si>
  <si>
    <t xml:space="preserve">Indicatie v0.1: Basisbedrag-correctie</t>
  </si>
  <si>
    <t xml:space="preserve">d10cc616-49f8-5c1b-8a9f-f422ff9d97fd</t>
  </si>
  <si>
    <t xml:space="preserve">Indicatie v0.1: EIA ca. 40% aftrek</t>
  </si>
  <si>
    <t xml:space="preserve">7089813d-bbf7-5150-97db-37a19fec1047</t>
  </si>
  <si>
    <t xml:space="preserve">c812c5b6-eeef-5666-91c7-217d3d855caa</t>
  </si>
  <si>
    <t xml:space="preserve">124fe0fd-1700-52a2-8db7-60ee8547b412</t>
  </si>
  <si>
    <t xml:space="preserve">49a48f10-84e2-51fe-98cd-328382c53b9f</t>
  </si>
  <si>
    <t xml:space="preserve">neutraal</t>
  </si>
  <si>
    <t xml:space="preserve">Indicatie v0.1: Gratis</t>
  </si>
  <si>
    <t xml:space="preserve">f4effb6e-77ab-52d2-a58d-ba830d01de9e</t>
  </si>
  <si>
    <t xml:space="preserve">verschuift</t>
  </si>
  <si>
    <t xml:space="preserve">Indicatie v0.1: Rente marktconform laag</t>
  </si>
  <si>
    <t xml:space="preserve">361cfe75-d2f2-5852-ac4b-c274a9fcaa20</t>
  </si>
  <si>
    <t xml:space="preserve">0886ece3-a8ca-552b-bd04-6f3c2a9df380</t>
  </si>
  <si>
    <t xml:space="preserve">ed59d21b-af35-5f34-a4de-cbec65a3bb0c</t>
  </si>
  <si>
    <t xml:space="preserve">b9b87ffe-b658-5173-840b-c4d0c7a4603c</t>
  </si>
  <si>
    <t xml:space="preserve">f7fa0ac1-f4af-597b-ad1b-71e4c5bb3d7f</t>
  </si>
  <si>
    <t xml:space="preserve">6cb92310-45db-5fb2-a6dc-ab2ab94a61b9</t>
  </si>
  <si>
    <t xml:space="preserve">ee4ef105-a601-5a17-abc6-115f8395e5b8</t>
  </si>
  <si>
    <t xml:space="preserve">21f6aa9d-7da1-57c8-b005-3abbee9e18e9</t>
  </si>
  <si>
    <t xml:space="preserve">71cb166b-490b-5dd0-bcf4-c95e9f5bc49e</t>
  </si>
  <si>
    <t xml:space="preserve">f2365b33-c1c2-576e-8d8b-652c2c013963</t>
  </si>
  <si>
    <t xml:space="preserve">098b7337-6119-55f7-b3b8-998af95f7fd5</t>
  </si>
  <si>
    <t xml:space="preserve">168bb664-7b6f-5829-a4c8-7e8a10d1784c</t>
  </si>
  <si>
    <t xml:space="preserve">988c05fe-2190-5b38-be00-c69654006fcb</t>
  </si>
  <si>
    <t xml:space="preserve">3b92488a-b292-5cb7-99ac-ee6a31b14ba3</t>
  </si>
  <si>
    <t xml:space="preserve">Indicatie v0.1: 875 euro/ton</t>
  </si>
  <si>
    <t xml:space="preserve">7acb1c2e-550e-5ec1-a139-d23b98741224</t>
  </si>
  <si>
    <t xml:space="preserve">fb5a81ce-1198-50d8-9f09-422512525195</t>
  </si>
  <si>
    <t xml:space="preserve">c56dec04-6a17-529d-967a-6324c724f811</t>
  </si>
  <si>
    <t xml:space="preserve">3d2f3693-7151-5423-aead-45c126ceb7d1</t>
  </si>
  <si>
    <t xml:space="preserve">b12cff01-5d19-5852-a371-8b263e12778e</t>
  </si>
  <si>
    <t xml:space="preserve">Indicatie v0.1: Rentekorting</t>
  </si>
  <si>
    <t xml:space="preserve">55c16e4e-dbbb-50b0-b5e9-b2af4445cade</t>
  </si>
  <si>
    <t xml:space="preserve">9f2dff33-a5ef-524f-806c-88531f9fd4fd</t>
  </si>
  <si>
    <t xml:space="preserve">64ff6c09-63aa-581e-bcc4-7af49b5654b0</t>
  </si>
  <si>
    <t xml:space="preserve">Indicatie v0.1: 50k-1 mln; korting 2,65% tot 250k</t>
  </si>
  <si>
    <t xml:space="preserve">e53eef3c-f2ea-52cc-a466-9d63e35c2141</t>
  </si>
  <si>
    <t xml:space="preserve">Indicatie v0.1: 10k-250k; 2% rente</t>
  </si>
  <si>
    <t xml:space="preserve">8672c6fa-860a-5be1-8172-8f01234c377d</t>
  </si>
  <si>
    <t xml:space="preserve">0efb91e5-83b6-543b-ae2c-ce89474c6513</t>
  </si>
  <si>
    <t xml:space="preserve">Indicatie v0.1: ca. 90% ontwikkelkosten</t>
  </si>
  <si>
    <t xml:space="preserve">2aa7948e-1b8b-556f-8f19-b576688b7f93</t>
  </si>
  <si>
    <t xml:space="preserve">c8ec22bd-4d71-5cfa-8894-1c831d903aa7</t>
  </si>
  <si>
    <t xml:space="preserve">c96b2b9d-fb65-59b1-ac3d-c7728a431dfc</t>
  </si>
  <si>
    <t xml:space="preserve">723e5c3f-39c8-5241-a988-8c2c229f7feb</t>
  </si>
  <si>
    <t xml:space="preserve">a08b8810-189c-5dab-a83d-99bdbe22dd9c</t>
  </si>
  <si>
    <t xml:space="preserve">0d08df1d-ec8c-5ee0-9dc2-329f7ab517d0</t>
  </si>
  <si>
    <t xml:space="preserve">91f5dc93-4433-51a4-94bc-cf2eb7a37bed</t>
  </si>
  <si>
    <t xml:space="preserve">5b10c55d-3a7e-5d25-8ea7-14cd5d6126fd</t>
  </si>
  <si>
    <t xml:space="preserve">c160772c-5bad-5f12-91ec-59799a5e9c89</t>
  </si>
  <si>
    <t xml:space="preserve">bca520c1-e3b1-5f77-a066-2e49cd3dddc5</t>
  </si>
  <si>
    <t xml:space="preserve">af4137d8-7db4-50e1-a81d-3813e5f15442</t>
  </si>
  <si>
    <t xml:space="preserve">4d5a9e04-d5e8-5990-9ae3-9054f5af9fcc</t>
  </si>
  <si>
    <t xml:space="preserve">4d7d04e9-a37c-5750-a19a-a69e995b46f5</t>
  </si>
  <si>
    <t xml:space="preserve">57520297-cbca-5bd0-bc77-49b68b3defca</t>
  </si>
  <si>
    <t xml:space="preserve">4b87bccc-368b-5cc2-a6e2-e0be94606768</t>
  </si>
  <si>
    <t xml:space="preserve">dc452896-4ca0-577a-90af-5b426b024acb</t>
  </si>
  <si>
    <t xml:space="preserve">a34209c8-693d-5791-9f28-bcc42b16e6f4</t>
  </si>
  <si>
    <t xml:space="preserve">Indicatie v0.1: 3 procentpunt korting tot €150.000; max. 70% kosten</t>
  </si>
  <si>
    <t xml:space="preserve">c7c0b4c3-1f79-5916-8605-efc2bd59516f</t>
  </si>
  <si>
    <t xml:space="preserve">Indicatie v0.1: Fondsomvang €5,6 mln</t>
  </si>
  <si>
    <t xml:space="preserve">1e56b419-5e3c-59ff-a470-f5e8611c0446</t>
  </si>
  <si>
    <t xml:space="preserve">Indicatie v0.1: €5.000-€100.000; 1,6%; 10-15 jaar</t>
  </si>
  <si>
    <t xml:space="preserve">97955d77-70d4-5b8d-8d3c-0f227ec7efbd</t>
  </si>
  <si>
    <t xml:space="preserve">80bc8147-86cb-5e3f-8fec-950eecb13006</t>
  </si>
  <si>
    <t xml:space="preserve">b8eb7724-1cc3-5342-9a68-9eed5595072e</t>
  </si>
  <si>
    <t xml:space="preserve">Indicatie v0.1: Volgens actuele openstelling</t>
  </si>
  <si>
    <t xml:space="preserve">4cc84395-af67-5e52-8804-79f45f69464f</t>
  </si>
  <si>
    <t xml:space="preserve">ffbf1c4d-ea5a-5552-85bf-351171b907f8</t>
  </si>
  <si>
    <t xml:space="preserve">3dc17d34-bf25-54b4-94b9-f4730ebe1229</t>
  </si>
  <si>
    <t xml:space="preserve">b35aa0a3-6f90-5c06-88bf-96f6acb8f78c</t>
  </si>
  <si>
    <t xml:space="preserve">56f26ef8-cd65-530b-b5f1-3ed396fc51d5</t>
  </si>
  <si>
    <t xml:space="preserve">8f488b2e-bbae-55e1-953b-5b7690efc996</t>
  </si>
  <si>
    <t xml:space="preserve">2cda62fa-f7b3-5138-983e-c057206453a5</t>
  </si>
  <si>
    <t xml:space="preserve">51b6332b-214a-5dd0-b638-ff98dff14995</t>
  </si>
  <si>
    <t xml:space="preserve">2e830e29-a162-5856-b080-bd1a891286b5</t>
  </si>
  <si>
    <t xml:space="preserve">a2b99249-d4e7-5038-bfb5-b707f6dac763</t>
  </si>
  <si>
    <t xml:space="preserve">Indicatie v0.1: 50% teruggaaf</t>
  </si>
  <si>
    <t xml:space="preserve">3ed78c6a-fd00-5278-beee-318357fae251</t>
  </si>
  <si>
    <t xml:space="preserve">12d88da5-df44-58de-914f-b1aa0197e555</t>
  </si>
  <si>
    <t xml:space="preserve">2caf5e04-e876-5987-861d-cc9f275ec258</t>
  </si>
  <si>
    <t xml:space="preserve">Indicatie v0.1: 300 mln (2 jaar)</t>
  </si>
  <si>
    <t xml:space="preserve">3e686132-4607-58cc-b6f9-c654b7fcbbc8</t>
  </si>
  <si>
    <t xml:space="preserve">Indicatie v0.1: Vaak 5k - 250k, lage rente</t>
  </si>
  <si>
    <t xml:space="preserve">39f813fb-e8db-580a-b1ef-a32420369c95</t>
  </si>
  <si>
    <t xml:space="preserve">698fb225-1a88-5a73-875e-ed486c6ad284</t>
  </si>
  <si>
    <t xml:space="preserve">Indicatie v0.1: Meestal 5k - 100k</t>
  </si>
  <si>
    <t xml:space="preserve">bc9bd091-629f-5cb6-96bb-0b250a9a2f41</t>
  </si>
  <si>
    <t xml:space="preserve">Indicatie v0.1: 60.000 euro</t>
  </si>
  <si>
    <t xml:space="preserve">55414260-abbb-5d16-b41e-f23226381fe6</t>
  </si>
  <si>
    <t xml:space="preserve">6d4f3c9a-39e3-567f-8cae-140d8e0f7e50</t>
  </si>
  <si>
    <t xml:space="preserve">38ac1f42-bec2-549d-8b00-5ecc4ba2fd1b</t>
  </si>
  <si>
    <t xml:space="preserve">ad5f4673-ca65-58d0-9786-53c9b5fe14bf</t>
  </si>
  <si>
    <t xml:space="preserve">9ade0e7c-200b-5c99-8657-c5b67a5fa541</t>
  </si>
  <si>
    <t xml:space="preserve">VT-01</t>
  </si>
  <si>
    <t xml:space="preserve">enum</t>
  </si>
  <si>
    <t xml:space="preserve">DUMMY-aanvulling: datatype</t>
  </si>
  <si>
    <t xml:space="preserve">0df8f7e9-3f2b-5b67-b809-58bf945b0bc1</t>
  </si>
  <si>
    <t xml:space="preserve">VT-02</t>
  </si>
  <si>
    <t xml:space="preserve">aanvragertype</t>
  </si>
  <si>
    <t xml:space="preserve">tekst</t>
  </si>
  <si>
    <t xml:space="preserve">70db3516-1593-51d7-ac2a-79708c7ce45a</t>
  </si>
  <si>
    <t xml:space="preserve">VT-03</t>
  </si>
  <si>
    <t xml:space="preserve">8f6321f8-7812-513a-b6ae-c84836ca9433</t>
  </si>
  <si>
    <t xml:space="preserve">VT-04</t>
  </si>
  <si>
    <t xml:space="preserve">gebouwfunctie</t>
  </si>
  <si>
    <t xml:space="preserve">6100ece4-a4c8-5527-a514-ae7dcfd1d20c</t>
  </si>
  <si>
    <t xml:space="preserve">VT-05</t>
  </si>
  <si>
    <t xml:space="preserve">eigendomssituatie</t>
  </si>
  <si>
    <t xml:space="preserve">81806c6b-e0c3-534a-b730-61e5ed7b5749</t>
  </si>
  <si>
    <t xml:space="preserve">VT-06</t>
  </si>
  <si>
    <t xml:space="preserve">geografisch gebied</t>
  </si>
  <si>
    <t xml:space="preserve">8a3c456c-e978-5d74-8dbf-7936e8759f4d</t>
  </si>
  <si>
    <t xml:space="preserve">VT-07</t>
  </si>
  <si>
    <t xml:space="preserve">projectomvang</t>
  </si>
  <si>
    <t xml:space="preserve">getal</t>
  </si>
  <si>
    <t xml:space="preserve">7a6fe53c-9fe3-5ff1-a375-1af2de6299ac</t>
  </si>
  <si>
    <t xml:space="preserve">VT-08</t>
  </si>
  <si>
    <t xml:space="preserve">investeringsbedrag</t>
  </si>
  <si>
    <t xml:space="preserve">ada0b659-b186-58cd-a151-fa07c7e35cfb</t>
  </si>
  <si>
    <t xml:space="preserve">VT-09</t>
  </si>
  <si>
    <t xml:space="preserve">eigen bijdrage</t>
  </si>
  <si>
    <t xml:space="preserve">c24b9653-4375-5385-81b3-c37288abf3a8</t>
  </si>
  <si>
    <t xml:space="preserve">VT-10</t>
  </si>
  <si>
    <t xml:space="preserve">energieprestatie</t>
  </si>
  <si>
    <t xml:space="preserve">ecb24e22-001a-5bf8-a2bd-b9f4ded1b270</t>
  </si>
  <si>
    <t xml:space="preserve">VT-11</t>
  </si>
  <si>
    <t xml:space="preserve">monumentstatus</t>
  </si>
  <si>
    <t xml:space="preserve">a7493ec3-f5b0-5220-835b-67c510b75b68</t>
  </si>
  <si>
    <t xml:space="preserve">VT-12</t>
  </si>
  <si>
    <t xml:space="preserve">wettelijke status</t>
  </si>
  <si>
    <t xml:space="preserve">dd5f850d-4e66-5545-ae4a-0aee4ef83447</t>
  </si>
  <si>
    <t xml:space="preserve">VT-13</t>
  </si>
  <si>
    <t xml:space="preserve">aanvraagdatum</t>
  </si>
  <si>
    <t xml:space="preserve">datum</t>
  </si>
  <si>
    <t xml:space="preserve">c6fe6da4-cdab-5254-a248-8ff8eaa8c1d5</t>
  </si>
  <si>
    <t xml:space="preserve">VT-14</t>
  </si>
  <si>
    <t xml:space="preserve">opdracht al verstrekt</t>
  </si>
  <si>
    <t xml:space="preserve">af97b157-3c53-541e-9e9b-a66499bb3d55</t>
  </si>
  <si>
    <t xml:space="preserve">VT-15</t>
  </si>
  <si>
    <t xml:space="preserve">vereiste businesscase</t>
  </si>
  <si>
    <t xml:space="preserve">ebc01f8b-abdb-577f-a1ce-60d57cccb14b</t>
  </si>
  <si>
    <t xml:space="preserve">VT-16</t>
  </si>
  <si>
    <t xml:space="preserve">vereiste energieanalyse</t>
  </si>
  <si>
    <t xml:space="preserve">2b9ca44f-382e-5ee7-90f8-461a2a646294</t>
  </si>
  <si>
    <t xml:space="preserve">VT-17</t>
  </si>
  <si>
    <t xml:space="preserve">vereiste expertise</t>
  </si>
  <si>
    <t xml:space="preserve">1be67f53-eadc-521d-98dc-06a952a2a8ec</t>
  </si>
  <si>
    <t xml:space="preserve">VT-18</t>
  </si>
  <si>
    <t xml:space="preserve">stapelbaarheid</t>
  </si>
  <si>
    <t xml:space="preserve">d31bec11-f439-5f24-a282-491f06bcc53d</t>
  </si>
  <si>
    <t xml:space="preserve">VT-19</t>
  </si>
  <si>
    <t xml:space="preserve">fiscale status</t>
  </si>
  <si>
    <t xml:space="preserve">d96cdc8d-5c31-54c3-9ebc-29c505eed36a</t>
  </si>
  <si>
    <t xml:space="preserve">Midden (100k - 1,5 mln)</t>
  </si>
  <si>
    <t xml:space="preserve">DUMMY-aanvulling: is_harde_voorwaarde, is_uitsluiting</t>
  </si>
  <si>
    <t xml:space="preserve">9941a222-41ac-5170-9245-c01e3f800bff</t>
  </si>
  <si>
    <t xml:space="preserve">Klein (&lt; 100k)</t>
  </si>
  <si>
    <t xml:space="preserve">c8bcd8e6-0028-5d70-abaf-d5d9349e89a2</t>
  </si>
  <si>
    <t xml:space="preserve">0ece5ff6-3438-5a59-bce0-079a103e4e12</t>
  </si>
  <si>
    <t xml:space="preserve">Programma (&gt; 30 mln)</t>
  </si>
  <si>
    <t xml:space="preserve">57babebe-c3ec-52ca-b7c4-3a68b0919154</t>
  </si>
  <si>
    <t xml:space="preserve">6fca3809-8233-5b81-baea-fdfb7e2f9525</t>
  </si>
  <si>
    <t xml:space="preserve">36a9e116-c269-5303-b0c8-079e1cb9b496</t>
  </si>
  <si>
    <t xml:space="preserve">970c4f11-d851-578a-b4f0-d46f5379a4bc</t>
  </si>
  <si>
    <t xml:space="preserve">Groot (1,5 - 30 mln)</t>
  </si>
  <si>
    <t xml:space="preserve">be321fd7-57b7-5104-9a0c-554491b0bd84</t>
  </si>
  <si>
    <t xml:space="preserve">fea9fb64-b8d0-5877-8564-aea8fde5f8f5</t>
  </si>
  <si>
    <t xml:space="preserve">7b5602cc-f917-556d-9e1a-c58bf55c8fe0</t>
  </si>
  <si>
    <t xml:space="preserve">446f4200-d621-5cf2-a05f-fc45bd5e7be2</t>
  </si>
  <si>
    <t xml:space="preserve">Afgeleid uit notitie v0.1: niet voor gemeenten</t>
  </si>
  <si>
    <t xml:space="preserve">1dade709-b88d-50d3-b2e1-eb3cdf458b70</t>
  </si>
  <si>
    <t xml:space="preserve">7ea493a9-7c56-5d44-8834-88e574bcd31f</t>
  </si>
  <si>
    <t xml:space="preserve">alle eigenaartypen</t>
  </si>
  <si>
    <t xml:space="preserve">f1cda0c2-8eab-5852-ab51-b2f373e45c21</t>
  </si>
  <si>
    <t xml:space="preserve">EUR</t>
  </si>
  <si>
    <t xml:space="preserve">f55370f6-7845-52df-b325-d74562d3ec70</t>
  </si>
  <si>
    <t xml:space="preserve">56b068cb-610c-542d-85c1-9f974661cea1</t>
  </si>
  <si>
    <t xml:space="preserve">60cc30db-fd53-57f5-8e48-64be6f959e74</t>
  </si>
  <si>
    <t xml:space="preserve">7622715d-4266-5901-9a53-46996cdcdc9c</t>
  </si>
  <si>
    <t xml:space="preserve">3742b9cb-6a33-5791-861c-c2ad2c0bae66</t>
  </si>
  <si>
    <t xml:space="preserve">d8c3a078-cd26-5dae-87b8-19ef59d9fc3a</t>
  </si>
  <si>
    <t xml:space="preserve">088e91dd-b927-50b9-9ea7-344a249253d7</t>
  </si>
  <si>
    <t xml:space="preserve">896d6d88-d1b4-586a-a7a2-670b3a0b5b92</t>
  </si>
  <si>
    <t xml:space="preserve">b05579b7-0fa2-53b3-9894-1035d1eaa5db</t>
  </si>
  <si>
    <t xml:space="preserve">47c33a98-d0cf-5476-890c-b204c775b718</t>
  </si>
  <si>
    <t xml:space="preserve">3ff4ee50-17d2-5766-b1a8-5b8e53024f75</t>
  </si>
  <si>
    <t xml:space="preserve">5dd6a308-1964-5abf-a750-39fcc8708ca6</t>
  </si>
  <si>
    <t xml:space="preserve">34da8bab-1a24-5214-a87c-9d2c7b80ee8b</t>
  </si>
  <si>
    <t xml:space="preserve">adda5a48-ad37-5bd6-a7a2-8faccd4452ab</t>
  </si>
  <si>
    <t xml:space="preserve">f18b2753-443c-59ef-9dff-b27b6c48e7fc</t>
  </si>
  <si>
    <t xml:space="preserve">e362f800-ec57-5800-8bfc-a292b267b090</t>
  </si>
  <si>
    <t xml:space="preserve">33ea9d1c-ebb1-55ad-824f-7025cc21a78c</t>
  </si>
  <si>
    <t xml:space="preserve">ddd4aca7-ce87-55e8-bb0f-5e75f98cdfd9</t>
  </si>
  <si>
    <t xml:space="preserve">17652d2b-12d3-5995-8807-78a7b182aff6</t>
  </si>
  <si>
    <t xml:space="preserve">2480bd6d-c25d-598b-8369-86e934d96daf</t>
  </si>
  <si>
    <t xml:space="preserve">a617f271-7057-5cac-929a-b6619c2cf3f4</t>
  </si>
  <si>
    <t xml:space="preserve">0515426c-f38c-5cc2-b3e8-f64c94a9add7</t>
  </si>
  <si>
    <t xml:space="preserve">e0429304-05d8-5eff-857f-1ba559857bba</t>
  </si>
  <si>
    <t xml:space="preserve">d025e334-8735-5acc-94fb-e5371e0f39be</t>
  </si>
  <si>
    <t xml:space="preserve">28704072-a9ea-5904-a572-acc53045ad60</t>
  </si>
  <si>
    <t xml:space="preserve">fff1bc54-fb23-59e1-835f-bdc4c1891fd1</t>
  </si>
  <si>
    <t xml:space="preserve">1f49b192-e5a8-5ec4-b8cb-bb3a0543deb5</t>
  </si>
  <si>
    <t xml:space="preserve">5af39b73-33cf-538f-9787-abc35254b771</t>
  </si>
  <si>
    <t xml:space="preserve">fdeef618-0769-5d86-a1bc-379b95e9f618</t>
  </si>
  <si>
    <t xml:space="preserve">f0afba88-e12c-52a6-ad35-e894f00354cf</t>
  </si>
  <si>
    <t xml:space="preserve">a8dea6cf-aefc-57b9-b718-8157b3542f74</t>
  </si>
  <si>
    <t xml:space="preserve">ad4a17f5-ee31-5886-9d4b-15f925877f38</t>
  </si>
  <si>
    <t xml:space="preserve">c491236b-731f-593c-b4dd-11255b655f80</t>
  </si>
  <si>
    <t xml:space="preserve">1b2b9721-ea34-52bd-93a3-a3f361547e00</t>
  </si>
  <si>
    <t xml:space="preserve">0d6fbe29-e6bc-59cd-a0e3-f9fff7357ea6</t>
  </si>
  <si>
    <t xml:space="preserve">ed8e5b5b-d73d-5822-809d-0d634ca484d3</t>
  </si>
  <si>
    <t xml:space="preserve">1a8b0042-9e43-5fd5-aaf1-aaadc1d4a554</t>
  </si>
  <si>
    <t xml:space="preserve">0abee148-3d6d-542d-a1d9-e96b11f721f9</t>
  </si>
  <si>
    <t xml:space="preserve">5ab1b41c-79de-526f-afa4-416ab19eb7d2</t>
  </si>
  <si>
    <t xml:space="preserve">ac783814-f2c9-51dd-a060-dfae3cdc3a99</t>
  </si>
  <si>
    <t xml:space="preserve">80d65491-f132-57f3-b85b-31db1dc06edf</t>
  </si>
  <si>
    <t xml:space="preserve">c1c7b938-5b01-556f-9d74-8b329d7b4adf</t>
  </si>
  <si>
    <t xml:space="preserve">a31544cf-31c1-516c-a30e-dd422f688aa2</t>
  </si>
  <si>
    <t xml:space="preserve">dd598baf-b96a-54e1-8a50-32c47099d35d</t>
  </si>
  <si>
    <t xml:space="preserve">e01c7aa3-ab7c-5a4b-9fac-4da0f88a1dd1</t>
  </si>
  <si>
    <t xml:space="preserve">2e36cb5b-3fc5-5df3-9fa9-b904de7dabb3</t>
  </si>
  <si>
    <t xml:space="preserve">0551c3f3-9480-571a-a92e-6b7517bf77cf</t>
  </si>
  <si>
    <t xml:space="preserve">d75c59c3-a350-5ada-ad50-8f1629bb91af</t>
  </si>
  <si>
    <t xml:space="preserve">d5b3569f-3c47-5d67-a4f6-fd7d4e7edc23</t>
  </si>
  <si>
    <t xml:space="preserve">eb0fb173-32f3-53f3-82ef-eae1e9c74203</t>
  </si>
  <si>
    <t xml:space="preserve">a0151774-a2c1-5381-a518-a565288af608</t>
  </si>
  <si>
    <t xml:space="preserve">4d934702-6f49-54d1-9f44-54d9d0a7b2b7</t>
  </si>
  <si>
    <t xml:space="preserve">bd73a9d9-143d-547c-921a-aac35467e428</t>
  </si>
  <si>
    <t xml:space="preserve">503e3abc-86e5-55f6-ab0a-e8c794215e6d</t>
  </si>
  <si>
    <t xml:space="preserve">3416d9b6-87f3-5777-baef-cb1da2be6df2</t>
  </si>
  <si>
    <t xml:space="preserve">719b9ce0-dfb9-57e9-a96d-97f75e5ca616</t>
  </si>
  <si>
    <t xml:space="preserve">db826380-25cb-5355-8cc0-01866977ca30</t>
  </si>
  <si>
    <t xml:space="preserve">8f1c2020-f046-571e-947c-cb661921fbb2</t>
  </si>
  <si>
    <t xml:space="preserve">aa0fcbd9-dd03-581b-a372-32e8a88762be</t>
  </si>
  <si>
    <t xml:space="preserve">5fe3e94b-97a7-5647-9bc0-d02a67e03385</t>
  </si>
  <si>
    <t xml:space="preserve">83b1074d-ad57-5434-be9d-223333e83741</t>
  </si>
  <si>
    <t xml:space="preserve">1bcc5437-c9b3-569e-a275-c2ceef03f79a</t>
  </si>
  <si>
    <t xml:space="preserve">6e4f1d32-5c63-5904-8a60-2daeb821981c</t>
  </si>
  <si>
    <t xml:space="preserve">92966f0f-37b0-57d4-8e20-9b40e258cc69</t>
  </si>
  <si>
    <t xml:space="preserve">f758c256-0962-5567-a084-f22afa9d92a8</t>
  </si>
  <si>
    <t xml:space="preserve">1ed3e091-6c33-51e9-929f-c1ce5ebf8e8b</t>
  </si>
  <si>
    <t xml:space="preserve">02b7254a-cce5-50d9-a3d8-9c368405758f</t>
  </si>
  <si>
    <t xml:space="preserve">5b0464df-6c34-52a0-aaad-0197ab038983</t>
  </si>
  <si>
    <t xml:space="preserve">Landelijk</t>
  </si>
  <si>
    <t xml:space="preserve">f846e2fc-45b4-5fe0-8647-c5f7d0b40082</t>
  </si>
  <si>
    <t xml:space="preserve">Provinciaal</t>
  </si>
  <si>
    <t xml:space="preserve">1d50df6e-729e-542a-a67e-bb2dbc6c65f8</t>
  </si>
  <si>
    <t xml:space="preserve">Regionaal (meerdere provincies)</t>
  </si>
  <si>
    <t xml:space="preserve">1cb6ed24-cec5-55b7-aaa6-465bd4aeec05</t>
  </si>
  <si>
    <t xml:space="preserve">c0624bde-fe05-5325-b236-b18c4aee8373</t>
  </si>
  <si>
    <t xml:space="preserve">Gemeentelijk/lokaal</t>
  </si>
  <si>
    <t xml:space="preserve">08b24b69-c499-5d32-ba1c-fbcdee6c62a4</t>
  </si>
  <si>
    <t xml:space="preserve">Provincie Gelderland</t>
  </si>
  <si>
    <t xml:space="preserve">NL</t>
  </si>
  <si>
    <t xml:space="preserve">897abcdf-dcc2-5740-aae5-7744d41ea450</t>
  </si>
  <si>
    <t xml:space="preserve">Provincie Limburg</t>
  </si>
  <si>
    <t xml:space="preserve">61443501-7271-538a-a3fc-b9c2495855fe</t>
  </si>
  <si>
    <t xml:space="preserve">Provincie Groningen</t>
  </si>
  <si>
    <t xml:space="preserve">d3160dc5-0831-5e55-bad0-c3fe55d784c2</t>
  </si>
  <si>
    <t xml:space="preserve">d1d18575-39d6-5518-b788-e2d7db0edc2a</t>
  </si>
  <si>
    <t xml:space="preserve">Gemeente Hardenberg</t>
  </si>
  <si>
    <t xml:space="preserve">7889bc59-09c1-58e3-86dd-569059637198</t>
  </si>
  <si>
    <t xml:space="preserve">d67a7e9d-9bda-5f1f-9ece-1f2ec54e8cd3</t>
  </si>
  <si>
    <t xml:space="preserve">0c6b9ad6-8017-5c92-9bd7-175f0eab84c5</t>
  </si>
  <si>
    <t xml:space="preserve">0de48620-2dbf-5194-9ed1-650253bc155f</t>
  </si>
  <si>
    <t xml:space="preserve">dc1a249a-12d9-593d-bc7b-e960e08ab873</t>
  </si>
  <si>
    <t xml:space="preserve">837d2aaa-c40b-5b19-b29f-78dc2de41dc9</t>
  </si>
  <si>
    <t xml:space="preserve">f43e069b-9290-5001-b1da-7f1eccb8a311</t>
  </si>
  <si>
    <t xml:space="preserve">6ff6192e-698c-5ace-b9ea-23786fdfd7e6</t>
  </si>
  <si>
    <t xml:space="preserve">9c1a3966-04c0-509d-a267-21d5df71a658</t>
  </si>
  <si>
    <t xml:space="preserve">4876d84a-b904-5acf-90d4-5c0c01a22b2d</t>
  </si>
  <si>
    <t xml:space="preserve">a772c8a5-9e20-5b31-b0aa-c11086fe4b65</t>
  </si>
  <si>
    <t xml:space="preserve">f95f5937-c649-580c-b5b4-625f76f10077</t>
  </si>
  <si>
    <t xml:space="preserve">9e1c1874-4c79-5dc7-848e-adf4ed02bcd6</t>
  </si>
  <si>
    <t xml:space="preserve">1044b5c6-6ca1-5306-b6ba-5777bd679dc7</t>
  </si>
  <si>
    <t xml:space="preserve">e66cfd84-fc1d-5959-bed5-75bed7a2d9e0</t>
  </si>
  <si>
    <t xml:space="preserve">522d472c-15e0-5a79-9c8a-2c023f08ca71</t>
  </si>
  <si>
    <t xml:space="preserve">3c427c47-e57d-5da4-96aa-fc7e95a2cf70</t>
  </si>
  <si>
    <t xml:space="preserve">3a6cc41a-1b31-5d51-aa4c-aa057c48ff8f</t>
  </si>
  <si>
    <t xml:space="preserve">5bd70eeb-91fe-5986-9c2a-4db5687e2cd2</t>
  </si>
  <si>
    <t xml:space="preserve">3b122cfd-2139-5a58-8465-1f81e23aa8d0</t>
  </si>
  <si>
    <t xml:space="preserve">8535b905-8935-5c15-8036-5cc2c2adb167</t>
  </si>
  <si>
    <t xml:space="preserve">d6acea73-297f-5dda-b80d-1c29dad8e816</t>
  </si>
  <si>
    <t xml:space="preserve">37382bca-a6f2-52d1-8ec1-f0db345e7ad3</t>
  </si>
  <si>
    <t xml:space="preserve">38351ed1-1d8d-5fb3-aa22-de5f06278425</t>
  </si>
  <si>
    <t xml:space="preserve">DUMMY-aanvulling: is_primary</t>
  </si>
  <si>
    <t xml:space="preserve">5ca63f34-7f91-57d1-9662-066db1c67de8</t>
  </si>
  <si>
    <t xml:space="preserve">dda793c1-099f-54d5-8196-bf98640186d5</t>
  </si>
  <si>
    <t xml:space="preserve">c904d213-00ed-5808-964b-26d1eb2c1961</t>
  </si>
  <si>
    <t xml:space="preserve">029c1c2f-97f2-5951-98f5-049230e1cd1b</t>
  </si>
  <si>
    <t xml:space="preserve">b9e237b0-c7fd-5985-be67-d56ad68643cc</t>
  </si>
  <si>
    <t xml:space="preserve">0c8db9cc-213d-576a-9ed7-6f86fcab480f</t>
  </si>
  <si>
    <t xml:space="preserve">8ab3d510-4715-5638-b3f9-6a84cb80617b</t>
  </si>
  <si>
    <t xml:space="preserve">9133a8eb-b8da-5d76-8af6-178b3bd41fba</t>
  </si>
  <si>
    <t xml:space="preserve">83f6f30b-548d-5b10-997f-e429879bc73a</t>
  </si>
  <si>
    <t xml:space="preserve">fee8be44-bf35-56d1-a871-4e6499f4870d</t>
  </si>
  <si>
    <t xml:space="preserve">ac35f076-bdde-5c89-9054-519d29917090</t>
  </si>
  <si>
    <t xml:space="preserve">90ce67d4-57a2-5bd5-a56e-099108235a50</t>
  </si>
  <si>
    <t xml:space="preserve">b1435bb5-ae02-50ad-943c-b9d72cc05ea6</t>
  </si>
  <si>
    <t xml:space="preserve">93bc9818-b53f-5776-a423-7df6a3a03c7c</t>
  </si>
  <si>
    <t xml:space="preserve">40c205ec-2ed3-55b2-a982-88b33d44bb90</t>
  </si>
  <si>
    <t xml:space="preserve">f56a5b19-2d13-5229-8984-513c9ad8fbb6</t>
  </si>
  <si>
    <t xml:space="preserve">20cd75a0-5485-5943-8b76-199361acc05f</t>
  </si>
  <si>
    <t xml:space="preserve">e427c9fe-dffb-54a0-83ae-a60af5d1fcde</t>
  </si>
  <si>
    <t xml:space="preserve">4a3d121e-f177-56c5-af10-9992962ef05f</t>
  </si>
  <si>
    <t xml:space="preserve">3f4ed00f-c944-5f7c-952a-ccd6d7047194</t>
  </si>
  <si>
    <t xml:space="preserve">ae5b0a5a-e250-52a7-9627-769972a5d5f9</t>
  </si>
  <si>
    <t xml:space="preserve">d894141b-b1c9-52c0-b2fb-95ae7d1ced4e</t>
  </si>
  <si>
    <t xml:space="preserve">6fbb2ed4-8857-5db4-8126-79811a76bc73</t>
  </si>
  <si>
    <t xml:space="preserve">f15fdb62-4404-59ac-8e11-ab4a6b71b804</t>
  </si>
  <si>
    <t xml:space="preserve">05faa5c0-4ef7-588f-adcc-bc9f65a69253</t>
  </si>
  <si>
    <t xml:space="preserve">bf3e3245-c2ba-51d2-94c2-e74e4f508ddf</t>
  </si>
  <si>
    <t xml:space="preserve">c316d854-278e-5f2e-9af5-51567622ec8a</t>
  </si>
  <si>
    <t xml:space="preserve">e4a808e9-01a9-5908-b911-6f13cf26fed7</t>
  </si>
  <si>
    <t xml:space="preserve">b9d79752-cd04-58e9-85ec-032daed53053</t>
  </si>
  <si>
    <t xml:space="preserve">b11799b1-c9f1-58f6-be5f-03fc769f15e7</t>
  </si>
  <si>
    <t xml:space="preserve">6ccafa6d-7285-5060-bc96-f74f44de5339</t>
  </si>
  <si>
    <t xml:space="preserve">a19d3a8b-0171-52e4-8a05-c9dfaea29ed9</t>
  </si>
  <si>
    <t xml:space="preserve">b1856ce7-b871-55e4-8b78-48471b1b7d12</t>
  </si>
  <si>
    <t xml:space="preserve">4a906220-fd8b-5b50-b38e-dd0dabd8a2a0</t>
  </si>
  <si>
    <t xml:space="preserve">39fba381-e965-5933-a21e-6c3a8ea8cade</t>
  </si>
  <si>
    <t xml:space="preserve">52a5ea79-ce01-5408-bfec-e3e04052657a</t>
  </si>
  <si>
    <t xml:space="preserve">44290f0f-fa1b-5578-acea-f35de0b3e84b</t>
  </si>
  <si>
    <t xml:space="preserve">52cf9cea-8287-5e63-82c5-e4cc314e6b7a</t>
  </si>
  <si>
    <t xml:space="preserve">2673a122-1953-5877-b0cf-20aaf3d1ab8b</t>
  </si>
  <si>
    <t xml:space="preserve">dacdb473-641a-513c-b82b-9ab042e6676e</t>
  </si>
  <si>
    <t xml:space="preserve">7d16d04b-2cfa-5913-9469-162a56f3d967</t>
  </si>
  <si>
    <t xml:space="preserve">ddbb6c99-e77e-543c-9337-56a97fc328c5</t>
  </si>
  <si>
    <t xml:space="preserve">030a5c7e-89e6-58f9-881e-d0c02eb04ff4</t>
  </si>
  <si>
    <t xml:space="preserve">134d351f-cdec-53e4-8273-e17188681a28</t>
  </si>
  <si>
    <t xml:space="preserve">f9a3fefa-78e7-5406-a31a-f4badce775f3</t>
  </si>
  <si>
    <t xml:space="preserve">3e015590-cb80-5efa-bde3-4cbe6436d97c</t>
  </si>
  <si>
    <t xml:space="preserve">65a1b487-17df-5be0-b524-d579a3d98f4d</t>
  </si>
  <si>
    <t xml:space="preserve">06c2410f-91a4-5e43-8b35-d7fa3842183c</t>
  </si>
  <si>
    <t xml:space="preserve">618a8f9c-fb9c-5118-9778-da2ed5b1ddf5</t>
  </si>
  <si>
    <t xml:space="preserve">8971e625-0f87-5a5b-96dc-f66f7e724af4</t>
  </si>
  <si>
    <t xml:space="preserve">a9f45d1c-5e5a-5a7b-9ca5-70b53c08d510</t>
  </si>
  <si>
    <t xml:space="preserve">647409e7-9bfb-505a-902a-075c425c2395</t>
  </si>
  <si>
    <t xml:space="preserve">844ccadf-7aa7-51f0-86eb-4f0174c2a80b</t>
  </si>
  <si>
    <t xml:space="preserve">36221289-6259-5829-a6b8-f911b858b4a6</t>
  </si>
  <si>
    <t xml:space="preserve">98331d48-fdb8-591e-aa11-b813a1fd4d70</t>
  </si>
  <si>
    <t xml:space="preserve">Specifiek gebied afgeleid van beheerder in catalogus v0.1</t>
  </si>
  <si>
    <t xml:space="preserve">7dd621c2-7219-58fb-b770-e18eeb54cd14</t>
  </si>
  <si>
    <t xml:space="preserve">087de3c2-0dd9-59bb-83cf-0b5554da01e9</t>
  </si>
  <si>
    <t xml:space="preserve">6e0f5382-7ce3-59bd-9427-d67b6a2667d8</t>
  </si>
  <si>
    <t xml:space="preserve">9b736c9e-dc42-5aeb-9659-06211a689f38</t>
  </si>
  <si>
    <t xml:space="preserve">196d37b7-1691-5e0c-9992-183304f2f5ca</t>
  </si>
  <si>
    <t xml:space="preserve">c2d89592-fe4e-5575-9ae8-e113c26b25a8</t>
  </si>
  <si>
    <t xml:space="preserve">2026-06-01</t>
  </si>
  <si>
    <t xml:space="preserve">2026-10-16</t>
  </si>
  <si>
    <t xml:space="preserve">Deadline/ronde v0.1: 1 jun - 16 okt 2026</t>
  </si>
  <si>
    <t xml:space="preserve">DUMMY-aanvulling: einddatum, laatst_gecontroleerd_op, openstelling_status, startdatum</t>
  </si>
  <si>
    <t xml:space="preserve">7545beef-d0a1-5919-af92-4bec8d771540</t>
  </si>
  <si>
    <t xml:space="preserve">Deadline/ronde v0.1: Jaarrond</t>
  </si>
  <si>
    <t xml:space="preserve">DUMMY-aanvulling: laatst_gecontroleerd_op, openstelling_status</t>
  </si>
  <si>
    <t xml:space="preserve">e4818c3f-6e9a-5082-90e5-6e0c271a4cbb</t>
  </si>
  <si>
    <t xml:space="preserve">Deadline/ronde v0.1: Rondes</t>
  </si>
  <si>
    <t xml:space="preserve">34ed397f-c4ee-55e3-b1ac-1c69c831437f</t>
  </si>
  <si>
    <t xml:space="preserve">a51a9e86-845f-55dd-a23e-21df54e45b83</t>
  </si>
  <si>
    <t xml:space="preserve">Deadline/ronde v0.1: Begin kalenderjaar</t>
  </si>
  <si>
    <t xml:space="preserve">922cec48-da76-51de-a822-6034b36c79b8</t>
  </si>
  <si>
    <t xml:space="preserve">Deadline/ronde v0.1: Afbouw 2027</t>
  </si>
  <si>
    <t xml:space="preserve">d2169a36-7448-5cb8-8290-847ffa4a1f0b</t>
  </si>
  <si>
    <t xml:space="preserve">Deadline/ronde v0.1: Per gemeentegrootte</t>
  </si>
  <si>
    <t xml:space="preserve">b7a69ccd-921c-5854-ad40-3ba5c7fbd675</t>
  </si>
  <si>
    <t xml:space="preserve">2026-12-30</t>
  </si>
  <si>
    <t xml:space="preserve">Deadline/ronde v0.1: t/m 30-12-2026</t>
  </si>
  <si>
    <t xml:space="preserve">DUMMY-aanvulling: einddatum, laatst_gecontroleerd_op, openstelling_status</t>
  </si>
  <si>
    <t xml:space="preserve">40c5d629-cfa1-5ea9-aff3-cbcf506f2e77</t>
  </si>
  <si>
    <t xml:space="preserve">Deadline/ronde v0.1: Jaarlijks achteraf</t>
  </si>
  <si>
    <t xml:space="preserve">1e1d459c-724b-56c8-a8ba-fb28eafedd6a</t>
  </si>
  <si>
    <t xml:space="preserve">Deadline/ronde v0.1: Per gemeente</t>
  </si>
  <si>
    <t xml:space="preserve">27b4cc66-dfa0-531a-a7a2-4873df540d0a</t>
  </si>
  <si>
    <t xml:space="preserve">Deadline/ronde v0.1: Per fonds</t>
  </si>
  <si>
    <t xml:space="preserve">cedc55c9-2200-5fab-b4e9-1b4b884519af</t>
  </si>
  <si>
    <t xml:space="preserve">Deadline/ronde v0.1: Calls checken</t>
  </si>
  <si>
    <t xml:space="preserve">4553814c-5ef4-5113-a14b-8896df93eff7</t>
  </si>
  <si>
    <t xml:space="preserve">https://example.org/aanvragen/I-005</t>
  </si>
  <si>
    <t xml:space="preserve">DUMMY: status en data niet gecontroleerd</t>
  </si>
  <si>
    <t xml:space="preserve">6246f0eb-9bee-5104-adcc-eea350ef385f</t>
  </si>
  <si>
    <t xml:space="preserve">2026-09-01</t>
  </si>
  <si>
    <t xml:space="preserve">2026-12-31</t>
  </si>
  <si>
    <t xml:space="preserve">jaarlijks</t>
  </si>
  <si>
    <t xml:space="preserve">https://example.org/aanvragen/I-007</t>
  </si>
  <si>
    <t xml:space="preserve">0d807985-7db2-50e7-87e9-8e9ca0273f18</t>
  </si>
  <si>
    <t xml:space="preserve">2026-06-30</t>
  </si>
  <si>
    <t xml:space="preserve">2027-01-15</t>
  </si>
  <si>
    <t xml:space="preserve">https://example.org/aanvragen/I-009</t>
  </si>
  <si>
    <t xml:space="preserve">ec97132e-b015-5110-afa3-79a7ead85381</t>
  </si>
  <si>
    <t xml:space="preserve">https://example.org/aanvragen/I-010</t>
  </si>
  <si>
    <t xml:space="preserve">bcf35e67-b73e-5f90-80f1-15ff0c4740c9</t>
  </si>
  <si>
    <t xml:space="preserve">https://example.org/aanvragen/I-012</t>
  </si>
  <si>
    <t xml:space="preserve">5897ef8b-04f1-5df1-9a57-a984243e8e2d</t>
  </si>
  <si>
    <t xml:space="preserve">https://example.org/aanvragen/I-031</t>
  </si>
  <si>
    <t xml:space="preserve">35152357-afb5-57ff-965c-cc7d09b3f046</t>
  </si>
  <si>
    <t xml:space="preserve">https://example.org/aanvragen/I-032</t>
  </si>
  <si>
    <t xml:space="preserve">630b710f-6305-517c-ba1f-781ce278fe1b</t>
  </si>
  <si>
    <t xml:space="preserve">https://example.org/aanvragen/I-033</t>
  </si>
  <si>
    <t xml:space="preserve">960faa99-1041-5830-b3c4-88c3361af988</t>
  </si>
  <si>
    <t xml:space="preserve">https://example.org/aanvragen/I-034</t>
  </si>
  <si>
    <t xml:space="preserve">94ef643e-6dc5-5588-931e-0767aaf87823</t>
  </si>
  <si>
    <t xml:space="preserve">https://example.org/aanvragen/I-035</t>
  </si>
  <si>
    <t xml:space="preserve">fe6672e2-fe81-5265-bddc-1cd43f1ef0f1</t>
  </si>
  <si>
    <t xml:space="preserve">https://example.org/aanvragen/I-036</t>
  </si>
  <si>
    <t xml:space="preserve">becd25bb-e461-5101-97e8-692af4590876</t>
  </si>
  <si>
    <t xml:space="preserve">https://example.org/aanvragen/I-037</t>
  </si>
  <si>
    <t xml:space="preserve">31083d52-a7cf-543f-84b4-33e70bc0e9f0</t>
  </si>
  <si>
    <t xml:space="preserve">https://example.org/aanvragen/I-051</t>
  </si>
  <si>
    <t xml:space="preserve">de411c01-b4c4-5d3d-9929-0cb70fc54d29</t>
  </si>
  <si>
    <t xml:space="preserve">https://example.org/aanvragen/I-052</t>
  </si>
  <si>
    <t xml:space="preserve">fedb8c7a-26dd-53f9-9caa-236e8411c07d</t>
  </si>
  <si>
    <t xml:space="preserve">https://example.org/aanvragen/I-054</t>
  </si>
  <si>
    <t xml:space="preserve">fd9463a3-97f4-5e06-aa7f-25438887bf33</t>
  </si>
  <si>
    <t xml:space="preserve">https://example.org/aanvragen/I-056</t>
  </si>
  <si>
    <t xml:space="preserve">cc3ea19b-108f-582e-ba46-e6b55c1e1dad</t>
  </si>
  <si>
    <t xml:space="preserve">https://example.org/aanvragen/I-057</t>
  </si>
  <si>
    <t xml:space="preserve">cd0626ae-6b66-56f1-bc4e-f94309deab0a</t>
  </si>
  <si>
    <t xml:space="preserve">https://example.org/aanvragen/I-068</t>
  </si>
  <si>
    <t xml:space="preserve">083e0a0f-5e71-5bf2-8fb7-53f0ce842de3</t>
  </si>
  <si>
    <t xml:space="preserve">https://example.org/aanvragen/I-071</t>
  </si>
  <si>
    <t xml:space="preserve">af5935e5-b562-5bd3-b398-184bee451cba</t>
  </si>
  <si>
    <t xml:space="preserve">https://example.org/aanvragen/I-077</t>
  </si>
  <si>
    <t xml:space="preserve">77574280-c22d-5b04-8be9-5af005091b64</t>
  </si>
  <si>
    <t xml:space="preserve">collegeprogramma</t>
  </si>
  <si>
    <t xml:space="preserve">eens per 4 jaar</t>
  </si>
  <si>
    <t xml:space="preserve">DUMMY-aanvulling: momenttype, periodiciteit</t>
  </si>
  <si>
    <t xml:space="preserve">1507c6cb-546b-5a25-b683-d2337b03f5cf</t>
  </si>
  <si>
    <t xml:space="preserve">kadernota</t>
  </si>
  <si>
    <t xml:space="preserve">P&amp;C-cyclus</t>
  </si>
  <si>
    <t xml:space="preserve">3d947d1a-439a-576a-a673-2c1961c83c1a</t>
  </si>
  <si>
    <t xml:space="preserve">PC-03</t>
  </si>
  <si>
    <t xml:space="preserve">voorjaarsnota</t>
  </si>
  <si>
    <t xml:space="preserve">15e1e180-1550-5c01-b418-c51088edf4b1</t>
  </si>
  <si>
    <t xml:space="preserve">e4b29642-4865-53ef-9b0f-0ea0293771e6</t>
  </si>
  <si>
    <t xml:space="preserve">9d90db9e-25ec-569d-875e-b8760555dbb4</t>
  </si>
  <si>
    <t xml:space="preserve">bestuursrapportage</t>
  </si>
  <si>
    <t xml:space="preserve">halfjaarlijks</t>
  </si>
  <si>
    <t xml:space="preserve">8301e2fb-0f33-59ec-bc61-06639a333b21</t>
  </si>
  <si>
    <t xml:space="preserve">jaarrekening</t>
  </si>
  <si>
    <t xml:space="preserve">75669d4d-d8a8-5dce-98de-e6d4713965c1</t>
  </si>
  <si>
    <t xml:space="preserve">PC-08</t>
  </si>
  <si>
    <t xml:space="preserve">subsidieronde</t>
  </si>
  <si>
    <t xml:space="preserve">extern</t>
  </si>
  <si>
    <t xml:space="preserve">wisselend</t>
  </si>
  <si>
    <t xml:space="preserve">eb4c0822-7ac4-5443-aa64-ae42fd146b79</t>
  </si>
  <si>
    <t xml:space="preserve">PC-09</t>
  </si>
  <si>
    <t xml:space="preserve">MJOP-actualisatie</t>
  </si>
  <si>
    <t xml:space="preserve">beheer</t>
  </si>
  <si>
    <t xml:space="preserve">8fb60b0b-ef9f-56bf-9101-c8d2cf1f7016</t>
  </si>
  <si>
    <t xml:space="preserve">portefeuilleoverleg</t>
  </si>
  <si>
    <t xml:space="preserve">overleg</t>
  </si>
  <si>
    <t xml:space="preserve">DUMMY-aanvulling: momenttype</t>
  </si>
  <si>
    <t xml:space="preserve">7b77439e-9f1f-5439-b6d3-0137e0fb248b</t>
  </si>
  <si>
    <t xml:space="preserve">natuurlijk onderhoudsmoment</t>
  </si>
  <si>
    <t xml:space="preserve">93b19eef-5990-5169-be6a-0b01779dad4a</t>
  </si>
  <si>
    <t xml:space="preserve">PC-12</t>
  </si>
  <si>
    <t xml:space="preserve">wettelijke deadline</t>
  </si>
  <si>
    <t xml:space="preserve">wettelijk</t>
  </si>
  <si>
    <t xml:space="preserve">5b8dd65f-5ac3-507e-8917-74b964333941</t>
  </si>
  <si>
    <t xml:space="preserve">PC-13</t>
  </si>
  <si>
    <t xml:space="preserve">b182eb73-524c-5cfe-99da-30e409d5380e</t>
  </si>
  <si>
    <t xml:space="preserve">3ccfcc62-7801-5d9e-be0c-ad81748df010</t>
  </si>
  <si>
    <t xml:space="preserve">35673081-b8f8-5ae3-a121-c4ab8e96fd49</t>
  </si>
  <si>
    <t xml:space="preserve">cbfd6026-bb37-560e-a2f1-5c9bf8e3ac10</t>
  </si>
  <si>
    <t xml:space="preserve">b542d720-79ee-574e-bc6c-d243c04d0336</t>
  </si>
  <si>
    <t xml:space="preserve">c9fc6ff8-e8ba-5f5f-937f-73e285122c53</t>
  </si>
  <si>
    <t xml:space="preserve">967ac1e1-6229-537e-aafe-9f819b52a4ab</t>
  </si>
  <si>
    <t xml:space="preserve">81ab809f-109a-553b-b852-6c06e3b4b6be</t>
  </si>
  <si>
    <t xml:space="preserve">c3842118-9266-5ee8-95e4-59dc526a1ea9</t>
  </si>
  <si>
    <t xml:space="preserve">1d7ee4e6-cef7-5fd4-b797-43b776adc626</t>
  </si>
  <si>
    <t xml:space="preserve">8829d55a-257e-5b87-b599-1ad80d7fed84</t>
  </si>
  <si>
    <t xml:space="preserve">c3e685bf-ada0-5895-b76c-80a612510d4d</t>
  </si>
  <si>
    <t xml:space="preserve">015d53b6-4db2-54d4-ad19-d47604801f47</t>
  </si>
  <si>
    <t xml:space="preserve">bc7fa568-0a0f-5da9-be74-48c5d234dce5</t>
  </si>
  <si>
    <t xml:space="preserve">3fa8267c-203a-5062-8f02-a255ad31451c</t>
  </si>
  <si>
    <t xml:space="preserve">242774bc-4770-5c72-ae04-481171eea275</t>
  </si>
  <si>
    <t xml:space="preserve">60032bdd-d927-5392-8faa-d2a47bdfc259</t>
  </si>
  <si>
    <t xml:space="preserve">a8012994-1b96-59cb-a3b5-5ab0ed8732d9</t>
  </si>
  <si>
    <t xml:space="preserve">b33088d3-7679-5321-8d3c-69e7a369416f</t>
  </si>
  <si>
    <t xml:space="preserve">2c3a999f-be06-58a7-8f31-06df0800f23b</t>
  </si>
  <si>
    <t xml:space="preserve">f75aa10f-3f38-56d0-99ca-4f472e80718b</t>
  </si>
  <si>
    <t xml:space="preserve">0754b51a-2957-5550-a62a-9c7caedf3698</t>
  </si>
  <si>
    <t xml:space="preserve">6598cc0f-74ac-5d2a-adf8-807b5dca6acb</t>
  </si>
  <si>
    <t xml:space="preserve">9bdc00c1-4c07-5367-9e7d-cf0c0b584b79</t>
  </si>
  <si>
    <t xml:space="preserve">35495bee-783e-5599-8fbb-b7e42032c872</t>
  </si>
  <si>
    <t xml:space="preserve">4484a23e-2851-590b-af74-7a4b01b722a0</t>
  </si>
  <si>
    <t xml:space="preserve">ed9d763c-a1df-527c-88d7-de8c28a32565</t>
  </si>
  <si>
    <t xml:space="preserve">3508fb88-7474-57a3-83b4-9e76c5f1004e</t>
  </si>
  <si>
    <t xml:space="preserve">17b8e8bb-10b1-5fbd-9267-ec417ee3a38f</t>
  </si>
  <si>
    <t xml:space="preserve">c1c18661-ca33-5e08-a8bd-d8e988f5df75</t>
  </si>
  <si>
    <t xml:space="preserve">37754402-7910-5a4b-a495-ef2bbb88f07d</t>
  </si>
  <si>
    <t xml:space="preserve">e7192523-ceff-5f32-be74-fbb1ad2da408</t>
  </si>
  <si>
    <t xml:space="preserve">1420a8fe-e09d-5167-9cf5-0f8eac910569</t>
  </si>
  <si>
    <t xml:space="preserve">b41022cc-bbcd-5d59-a4ef-9ea940ac09ad</t>
  </si>
  <si>
    <t xml:space="preserve">68ce89b1-c19b-5136-b396-f1cb14b907e8</t>
  </si>
  <si>
    <t xml:space="preserve">de188cc5-f4f1-5b20-a3c9-17f57360fa39</t>
  </si>
  <si>
    <t xml:space="preserve">247f71f1-b6fc-54ce-b9ed-242f6402dade</t>
  </si>
  <si>
    <t xml:space="preserve">188a0e98-f177-5df4-a63d-9b9e580b29d0</t>
  </si>
  <si>
    <t xml:space="preserve">f28e91ab-6223-5e9f-be3d-0dbd8f61a7b5</t>
  </si>
  <si>
    <t xml:space="preserve">47e27f51-7731-5e74-bbad-4158118b7b2f</t>
  </si>
  <si>
    <t xml:space="preserve">31c6330e-e205-509d-b54e-94f4549f6455</t>
  </si>
  <si>
    <t xml:space="preserve">be3000c1-1629-5354-88a2-fd28f2c2c6d6</t>
  </si>
  <si>
    <t xml:space="preserve">6649108b-ee91-56c2-8776-94f027b8bd6a</t>
  </si>
  <si>
    <t xml:space="preserve">c48de6ee-7b86-5a74-a87f-2373a2867684</t>
  </si>
  <si>
    <t xml:space="preserve">f60d5b75-f3d5-5ec1-aef7-01b7dc2228e4</t>
  </si>
  <si>
    <t xml:space="preserve">af8049b7-49b1-511b-b08c-f9ac5483f97c</t>
  </si>
  <si>
    <t xml:space="preserve">971dc525-4b42-5a8d-aac7-95cfcd0a7c5d</t>
  </si>
  <si>
    <t xml:space="preserve">fa5d3864-00c7-599f-84b4-44d43c50d119</t>
  </si>
  <si>
    <t xml:space="preserve">e30b8b0a-c670-5a06-8190-8e1ddeef10a1</t>
  </si>
  <si>
    <t xml:space="preserve">a2af8e87-4016-51da-93dd-8cd2768e50ad</t>
  </si>
  <si>
    <t xml:space="preserve">342f14bb-ee72-57a0-84ac-b6a96c2f7a73</t>
  </si>
  <si>
    <t xml:space="preserve">d57e428c-2e54-51a0-a2ed-d62481f790b2</t>
  </si>
  <si>
    <t xml:space="preserve">587e4eef-3c32-56b8-86ba-c2dceff3cbbf</t>
  </si>
  <si>
    <t xml:space="preserve">dcd18652-fd2d-5738-afab-c013b5ca948c</t>
  </si>
  <si>
    <t xml:space="preserve">69a860ed-8bf7-55ff-873a-8b10569b74b4</t>
  </si>
  <si>
    <t xml:space="preserve">6b2f5bdd-85bb-5d0b-98fe-c86a16c27d4e</t>
  </si>
  <si>
    <t xml:space="preserve">748adbd9-5ddb-565c-8321-211649346af3</t>
  </si>
  <si>
    <t xml:space="preserve">0cfd8f1d-f3aa-5f65-b7cc-8d0f60febe8b</t>
  </si>
  <si>
    <t xml:space="preserve">aa0510a5-eed3-5769-b167-d2c68112bb95</t>
  </si>
  <si>
    <t xml:space="preserve">f65c6936-c92e-5490-b7b4-0b06ffd94aff</t>
  </si>
  <si>
    <t xml:space="preserve">06a9f99b-d9c2-5651-9657-2a1ae2b783e9</t>
  </si>
  <si>
    <t xml:space="preserve">1da17a68-dc43-5435-be94-a03caecfc7e8</t>
  </si>
  <si>
    <t xml:space="preserve">6579627b-3a01-5159-bd6c-fbc90404103b</t>
  </si>
  <si>
    <t xml:space="preserve">172d9d73-adf9-54dc-98ba-a049a6eaf567</t>
  </si>
  <si>
    <t xml:space="preserve">5d43a70d-8b4f-517a-b3f5-836666d0ac5e</t>
  </si>
  <si>
    <t xml:space="preserve">Start van de fase</t>
  </si>
  <si>
    <t xml:space="preserve">e4f34299-af9c-5905-a6c6-0aab2ac34d6d</t>
  </si>
  <si>
    <t xml:space="preserve">76d05c67-e392-5b59-a1da-a99cf8273805</t>
  </si>
  <si>
    <t xml:space="preserve">82ac57fa-6ee1-5f82-b608-3f4ce5cc9ffe</t>
  </si>
  <si>
    <t xml:space="preserve">52762479-b31c-5e46-a5dc-d200ff2aca87</t>
  </si>
  <si>
    <t xml:space="preserve">b2d04238-a5e6-53ac-aaa5-a676cb194c98</t>
  </si>
  <si>
    <t xml:space="preserve">ce00a20d-6deb-532b-899e-a5532e927e6a</t>
  </si>
  <si>
    <t xml:space="preserve">46005621-fac0-5395-930f-f862fbf01a24</t>
  </si>
  <si>
    <t xml:space="preserve">bb361dda-5216-5f66-8ca1-e74ae3c76d2d</t>
  </si>
  <si>
    <t xml:space="preserve">f73375a9-4186-5279-9994-69a0f6e7a6d5</t>
  </si>
  <si>
    <t xml:space="preserve">deaeacae-3b98-5dcb-94e6-67d01a2dfcc9</t>
  </si>
  <si>
    <t xml:space="preserve">fb7ce87a-4605-5934-8786-5729410ebc1b</t>
  </si>
  <si>
    <t xml:space="preserve">567ef1c7-0436-5fb9-9c30-48a2a06eda79</t>
  </si>
  <si>
    <t xml:space="preserve">bd7fbf3d-912f-50b6-ae73-15146b883ac3</t>
  </si>
  <si>
    <t xml:space="preserve">b8d5f4f3-952e-5aaa-b0ca-a31f56e23a98</t>
  </si>
  <si>
    <t xml:space="preserve">e889e258-5237-5110-93e8-9a5e3f14f36e</t>
  </si>
  <si>
    <t xml:space="preserve">e64c1310-1a83-5346-8ea9-d10789e4f300</t>
  </si>
  <si>
    <t xml:space="preserve">36741d51-b867-5f14-a325-ecd5f73a777b</t>
  </si>
  <si>
    <t xml:space="preserve">8ed3fd52-f1ac-5dce-a43c-5c061e989008</t>
  </si>
  <si>
    <t xml:space="preserve">cebf0cb1-f9a6-555d-a929-2d8af1886293</t>
  </si>
  <si>
    <t xml:space="preserve">0c08f654-ce9d-5b3d-8e90-3b4e665781ed</t>
  </si>
  <si>
    <t xml:space="preserve">4e3f8f1b-ad3b-57e9-bc89-f45db350aa65</t>
  </si>
  <si>
    <t xml:space="preserve">394389ab-c649-5019-a5be-faac6cb2884a</t>
  </si>
  <si>
    <t xml:space="preserve">50767054-a53e-538d-b0b8-cf5b856bc2a2</t>
  </si>
  <si>
    <t xml:space="preserve">e4b7bab9-4860-5886-a409-89daf78d001b</t>
  </si>
  <si>
    <t xml:space="preserve">c09fa57c-8459-5350-9236-6068bad6bd8a</t>
  </si>
  <si>
    <t xml:space="preserve">d9e5d17f-e444-5694-8fb2-47d330c2e8b8</t>
  </si>
  <si>
    <t xml:space="preserve">44164265-1a46-562d-bda2-9f314f478143</t>
  </si>
  <si>
    <t xml:space="preserve">31c6e9b0-fbb3-5478-8863-13096b244ee4</t>
  </si>
  <si>
    <t xml:space="preserve">c73c6772-83e4-576e-93a3-e21108d01e6c</t>
  </si>
  <si>
    <t xml:space="preserve">a517df9c-4a9b-50c0-9c7e-8ec8d424c518</t>
  </si>
  <si>
    <t xml:space="preserve">c54d9260-22f8-52e5-ad47-7b8c01bc6fbd</t>
  </si>
  <si>
    <t xml:space="preserve">b2fa6957-6b8c-5271-aef5-c036d6d31b54</t>
  </si>
  <si>
    <t xml:space="preserve">21577a4f-9e0f-554a-8ab1-43edd3f53a9e</t>
  </si>
  <si>
    <t xml:space="preserve">3593ba72-0d1b-51a1-ab1c-ea84eb2f6343</t>
  </si>
  <si>
    <t xml:space="preserve">7c1634cb-c396-5eda-87c1-cf1d9ca72d58</t>
  </si>
  <si>
    <t xml:space="preserve">554bdf83-1b8b-5df5-97e9-ca0903a09f6e</t>
  </si>
  <si>
    <t xml:space="preserve">6e988ff1-908c-5bb7-bc8e-c36eb904ad65</t>
  </si>
  <si>
    <t xml:space="preserve">983e2b46-6e7d-5bf4-9b9e-65e03aa0a379</t>
  </si>
  <si>
    <t xml:space="preserve">30d51e38-356c-5b75-81d1-280d0b77ea57</t>
  </si>
  <si>
    <t xml:space="preserve">c907ebdc-f952-53f4-96a8-763d248b9a34</t>
  </si>
  <si>
    <t xml:space="preserve">e14bbe53-131c-5d9f-aeb8-0a1bdcd9c1dc</t>
  </si>
  <si>
    <t xml:space="preserve">05ee8de9-24e8-5ab4-9e7a-2ccbf7e53f70</t>
  </si>
  <si>
    <t xml:space="preserve">6eb6d658-7603-5ca2-b3fb-0e852c263d29</t>
  </si>
  <si>
    <t xml:space="preserve">f5442faf-f7e9-5a67-a3d3-69e2f3046c67</t>
  </si>
  <si>
    <t xml:space="preserve">2b867033-8bbd-57c5-a4c6-7d872aafacbb</t>
  </si>
  <si>
    <t xml:space="preserve">1e2dcc1a-9148-5e34-8c9f-6aa267867d7d</t>
  </si>
  <si>
    <t xml:space="preserve">00aa36e1-7cb1-5936-9637-1e582622736e</t>
  </si>
  <si>
    <t xml:space="preserve">b5e0f5ff-a384-5275-8cbd-927733b86cf6</t>
  </si>
  <si>
    <t xml:space="preserve">d8e3a849-3160-50fa-8a3b-caee1db83355</t>
  </si>
  <si>
    <t xml:space="preserve">507645ce-0652-5ae7-8f90-804d76bace12</t>
  </si>
  <si>
    <t xml:space="preserve">3a840fdc-68ae-517b-8a46-53f26a169e1a</t>
  </si>
  <si>
    <t xml:space="preserve">b58ba34c-3683-5fa2-9b1d-e2c1b56d4637</t>
  </si>
  <si>
    <t xml:space="preserve">3e3ac73c-e9a7-5832-b5ab-4ffd89dd860f</t>
  </si>
  <si>
    <t xml:space="preserve">9496cd53-4686-5806-bf07-7fa5a664c140</t>
  </si>
  <si>
    <t xml:space="preserve">d787a929-943c-514f-94f2-36a6b1f0a599</t>
  </si>
  <si>
    <t xml:space="preserve">6f41b3da-c71e-51e4-8c23-d9cd5eb61fcd</t>
  </si>
  <si>
    <t xml:space="preserve">33cee8bd-2efb-5eae-9ed6-2fd4d3a9c9fd</t>
  </si>
  <si>
    <t xml:space="preserve">9a225c16-e723-5f47-bf40-c7adce4ba9b7</t>
  </si>
  <si>
    <t xml:space="preserve">3c21d122-37bc-5c97-a8df-dd2845e6b11b</t>
  </si>
  <si>
    <t xml:space="preserve">f80541cd-1296-5ae5-afd6-336432aa067c</t>
  </si>
  <si>
    <t xml:space="preserve">7f6151a3-5194-568d-a023-36289316ca78</t>
  </si>
  <si>
    <t xml:space="preserve">ce3789d4-84c7-527f-8b05-e202cea4bec4</t>
  </si>
  <si>
    <t xml:space="preserve">49acc32d-046b-540c-8269-76bf50aba250</t>
  </si>
  <si>
    <t xml:space="preserve">df2edd24-2d79-58b3-861f-c1fdbbcbdc11</t>
  </si>
  <si>
    <t xml:space="preserve">cdff0106-fd66-5d5c-942c-a08c33dd66ea</t>
  </si>
  <si>
    <t xml:space="preserve">0e9615ba-5219-5e63-9544-7c7e6c261c8e</t>
  </si>
  <si>
    <t xml:space="preserve">45eb2060-3ac9-5010-9b79-6177cd86fd2a</t>
  </si>
  <si>
    <t xml:space="preserve">99c6d465-f34f-5d23-86e9-8e42e357b88b</t>
  </si>
  <si>
    <t xml:space="preserve">ed0b10b6-fbf9-50da-9d8f-094d89750e8a</t>
  </si>
  <si>
    <t xml:space="preserve">06cf74b6-24b3-5204-b177-620aebd19140</t>
  </si>
  <si>
    <t xml:space="preserve">b4bcc613-9263-5fbb-ae3b-a0dc71287660</t>
  </si>
  <si>
    <t xml:space="preserve">bdb4888a-b201-5974-b74a-f96721d17928</t>
  </si>
  <si>
    <t xml:space="preserve">72c179bf-9bb0-52b2-ada0-ca85e95a18ba</t>
  </si>
  <si>
    <t xml:space="preserve">2b6792c4-bac6-525c-9136-0a13527f591f</t>
  </si>
  <si>
    <t xml:space="preserve">a38ff59a-2b19-5572-a60a-15a07edad5b2</t>
  </si>
  <si>
    <t xml:space="preserve">f2e21143-2c16-5e55-a28c-ce64e1c32cca</t>
  </si>
  <si>
    <t xml:space="preserve">0fddb85d-8e90-5a02-a4bc-44dab469565e</t>
  </si>
  <si>
    <t xml:space="preserve">9a345fe2-37ad-5246-b08e-9bf4b15d46f6</t>
  </si>
  <si>
    <t xml:space="preserve">656f5556-16ae-5700-8a6b-90284cf84a88</t>
  </si>
  <si>
    <t xml:space="preserve">d8bd9b31-62ea-5d2d-acbe-e8ace8d426e1</t>
  </si>
  <si>
    <t xml:space="preserve">113be218-774c-5eda-aa6e-f9ce668098da</t>
  </si>
  <si>
    <t xml:space="preserve">eaba87c1-dfe7-58a0-b3c1-69a82b3777ca</t>
  </si>
  <si>
    <t xml:space="preserve">02e8f0b6-e80e-527f-8c23-2b70a87fdaef</t>
  </si>
  <si>
    <t xml:space="preserve">6c3ee433-6a32-5068-86f6-7f4e907bd4f1</t>
  </si>
  <si>
    <t xml:space="preserve">8bde996c-9662-5269-b859-8fbd44c0e3f5</t>
  </si>
  <si>
    <t xml:space="preserve">f0f84b91-dd13-5048-8032-4b4eedce0e9c</t>
  </si>
  <si>
    <t xml:space="preserve">5027747e-35d6-5eb5-bc54-63491f61b02c</t>
  </si>
  <si>
    <t xml:space="preserve">cffacbb6-5e45-561a-961c-0d2aac840e4d</t>
  </si>
  <si>
    <t xml:space="preserve">001dde2e-15f4-5ebf-bbc2-4e126655f3b6</t>
  </si>
  <si>
    <t xml:space="preserve">90eb9a91-962a-5bd7-a7fb-97cda432e7ec</t>
  </si>
  <si>
    <t xml:space="preserve">2335573b-2779-547e-a3d3-40786a33e7f8</t>
  </si>
  <si>
    <t xml:space="preserve">dc13e60a-c767-557a-93e1-c0c005640303</t>
  </si>
  <si>
    <t xml:space="preserve">1b2d235c-7254-52f1-beb2-d89d5c251475</t>
  </si>
  <si>
    <t xml:space="preserve">a2aff132-0659-5181-bc9c-47fc298c2013</t>
  </si>
  <si>
    <t xml:space="preserve">f03572b5-692d-5793-8fa2-d2e573c028f4</t>
  </si>
  <si>
    <t xml:space="preserve">c0cd6a9d-d338-531b-af93-acac45df2fd4</t>
  </si>
  <si>
    <t xml:space="preserve">7fe17f03-a42b-54dd-a8b8-f0a4cf0988f3</t>
  </si>
  <si>
    <t xml:space="preserve">47196eb4-32c3-5fb5-bfe0-2eb9ce0a2543</t>
  </si>
  <si>
    <t xml:space="preserve">a4a57b30-7c67-5c2f-b001-92e21255c681</t>
  </si>
  <si>
    <t xml:space="preserve">5a37a4bf-e905-5960-8042-4875480f0413</t>
  </si>
  <si>
    <t xml:space="preserve">db593c1a-9dab-5360-8d2a-f9eb0a528141</t>
  </si>
  <si>
    <t xml:space="preserve">03df74b7-ea08-56cb-adc6-402583aa4149</t>
  </si>
  <si>
    <t xml:space="preserve">e5a595e6-7cd3-57be-b345-a26576f3b1e6</t>
  </si>
  <si>
    <t xml:space="preserve">408305e4-ad78-5d0b-8342-527359f977e2</t>
  </si>
  <si>
    <t xml:space="preserve">dad2ea36-1534-5da4-9dad-7fc4a6ec0e44</t>
  </si>
  <si>
    <t xml:space="preserve">a8e56f34-c89e-54bc-830d-7b85fa6b973c</t>
  </si>
  <si>
    <t xml:space="preserve">a36c4c06-3784-5e07-bd83-f4fe6c098b5b</t>
  </si>
  <si>
    <t xml:space="preserve">f4a981e9-c527-5edc-a263-f2a398fa1139</t>
  </si>
  <si>
    <t xml:space="preserve">53e648b2-43a8-5cb6-87cb-a93265333a5c</t>
  </si>
  <si>
    <t xml:space="preserve">94fef97d-e2e6-52ca-b463-6c80ac19c097</t>
  </si>
  <si>
    <t xml:space="preserve">e3232100-ef45-502c-afdb-971164eba744</t>
  </si>
  <si>
    <t xml:space="preserve">7715994d-416c-50b5-9f8d-e0ceaf4b0602</t>
  </si>
  <si>
    <t xml:space="preserve">99a68adc-1c16-5597-a055-5e3dcc243a26</t>
  </si>
  <si>
    <t xml:space="preserve">9831cdc5-0467-5cf1-a963-988d2550699c</t>
  </si>
  <si>
    <t xml:space="preserve">3f003fe2-8b7f-56bc-ae25-c3e99ebfc788</t>
  </si>
  <si>
    <t xml:space="preserve">ef91bec6-a0d3-52f4-a09d-9e78b7679434</t>
  </si>
  <si>
    <t xml:space="preserve">22ceedf9-24a2-5ebd-a5d5-64e1c42ed4ce</t>
  </si>
  <si>
    <t xml:space="preserve">3d82fcb6-c706-5deb-a82a-bbdb11352f23</t>
  </si>
  <si>
    <t xml:space="preserve">b3c30a6b-39a0-5d1e-a412-94ba4550585a</t>
  </si>
  <si>
    <t xml:space="preserve">96e6fb17-711b-53ee-830c-93259c7169b2</t>
  </si>
  <si>
    <t xml:space="preserve">a80760f6-183a-5f89-a0d2-470e73f1d8e1</t>
  </si>
  <si>
    <t xml:space="preserve">5154a2d6-887f-5771-b0d5-bf248becf887</t>
  </si>
  <si>
    <t xml:space="preserve">50ee64de-a8f6-549e-9662-9b8cdd67de78</t>
  </si>
  <si>
    <t xml:space="preserve">14665550-46fe-5194-8392-241daa9f90b5</t>
  </si>
  <si>
    <t xml:space="preserve">567ef8c7-6980-510f-aa4d-c9e556b7d4c0</t>
  </si>
  <si>
    <t xml:space="preserve">65ae6d74-508e-5ebc-b4bb-72e59993a856</t>
  </si>
  <si>
    <t xml:space="preserve">f56331f9-3241-50d2-a160-0411d55477eb</t>
  </si>
  <si>
    <t xml:space="preserve">f8aee0ac-6740-57d0-a567-5b1393ff4d8a</t>
  </si>
  <si>
    <t xml:space="preserve">21c6c151-defc-5ab2-85ad-09ee85a7533a</t>
  </si>
  <si>
    <t xml:space="preserve">a76b8472-252f-5b61-b4cb-f41f768ca44b</t>
  </si>
  <si>
    <t xml:space="preserve">4531adbb-27c1-5a19-a6dd-96f29132c41e</t>
  </si>
  <si>
    <t xml:space="preserve">c99bea30-6a28-5c7b-abc5-cd6d69734d93</t>
  </si>
  <si>
    <t xml:space="preserve">63c4c8b2-4255-5bca-8de2-f776105e7190</t>
  </si>
  <si>
    <t xml:space="preserve">c47abadd-8842-5d4f-89d1-c5fa617e324c</t>
  </si>
  <si>
    <t xml:space="preserve">9dad9630-98b0-56b4-a34e-6e856a43858f</t>
  </si>
  <si>
    <t xml:space="preserve">4723c17d-9ce8-59d3-ba1a-a1270dfa8c98</t>
  </si>
  <si>
    <t xml:space="preserve">be59fabe-a7fe-51a4-91cd-8ba26365ad9a</t>
  </si>
  <si>
    <t xml:space="preserve">57646dd2-1696-5362-acb1-d6451b1ed734</t>
  </si>
  <si>
    <t xml:space="preserve">90c9ada5-ca40-5640-b2c4-79a72bf0faf8</t>
  </si>
  <si>
    <t xml:space="preserve">493fb14f-5158-5fde-8aae-92cbe7d16842</t>
  </si>
  <si>
    <t xml:space="preserve">c3639c71-5ab7-5717-b556-a7d0bc092c33</t>
  </si>
  <si>
    <t xml:space="preserve">1c12e176-12a9-57c0-bebf-4ad2b5fb4adc</t>
  </si>
  <si>
    <t xml:space="preserve">2b810ff4-35d6-597c-adeb-a6c288fbabc2</t>
  </si>
  <si>
    <t xml:space="preserve">IRT-08</t>
  </si>
  <si>
    <t xml:space="preserve">sterk</t>
  </si>
  <si>
    <t xml:space="preserve">DUMMY: relatie niet gevalideerd</t>
  </si>
  <si>
    <t xml:space="preserve">f2a6659a-2336-5146-9620-9565cd69fffa</t>
  </si>
  <si>
    <t xml:space="preserve">3e5d2c3f-72fb-555f-84ee-2a45436d3f79</t>
  </si>
  <si>
    <t xml:space="preserve">IRT-07</t>
  </si>
  <si>
    <t xml:space="preserve">1e0f1719-4715-5400-bce0-4714facc1d90</t>
  </si>
  <si>
    <t xml:space="preserve">IRT-13</t>
  </si>
  <si>
    <t xml:space="preserve">d28de93e-8105-5d04-95f4-6be5d4acfd21</t>
  </si>
  <si>
    <t xml:space="preserve">IRT-14</t>
  </si>
  <si>
    <t xml:space="preserve">047b423e-66ef-5aac-9a58-f9f28634fd24</t>
  </si>
  <si>
    <t xml:space="preserve">IRT-01</t>
  </si>
  <si>
    <t xml:space="preserve">81d3b9e6-f15c-50a5-b48d-a515010ea0e5</t>
  </si>
  <si>
    <t xml:space="preserve">IRT-12</t>
  </si>
  <si>
    <t xml:space="preserve">db1c0bf9-4827-5880-9d5f-4600c9ece490</t>
  </si>
  <si>
    <t xml:space="preserve">IRT-06</t>
  </si>
  <si>
    <t xml:space="preserve">05a340e0-f701-5a4d-aa0f-2f1deb50c940</t>
  </si>
  <si>
    <t xml:space="preserve">e9aafc7c-4a74-515d-b5fe-9ef7e38294d7</t>
  </si>
  <si>
    <t xml:space="preserve">IRT-11</t>
  </si>
  <si>
    <t xml:space="preserve">df41662c-bff2-5389-bf6e-4a2d92acf655</t>
  </si>
  <si>
    <t xml:space="preserve">IRT-10</t>
  </si>
  <si>
    <t xml:space="preserve">e4710c95-08be-5184-b0ec-a65b00e7b648</t>
  </si>
  <si>
    <t xml:space="preserve">863e9f0d-e80a-5b59-a578-f4ccc11d0b67</t>
  </si>
  <si>
    <t xml:space="preserve">433d3fb8-4223-5c7b-87d0-633df3014134</t>
  </si>
  <si>
    <t xml:space="preserve">IRT-09</t>
  </si>
  <si>
    <t xml:space="preserve">c85a821d-1dd4-558e-ab25-e9d48adefccd</t>
  </si>
  <si>
    <t xml:space="preserve">b255893c-add0-5038-ad3a-b22f08f99300</t>
  </si>
  <si>
    <t xml:space="preserve">IRT-15</t>
  </si>
  <si>
    <t xml:space="preserve">1daa23ad-25bd-52e5-8eaa-b65346cadca2</t>
  </si>
  <si>
    <t xml:space="preserve">IRT-02</t>
  </si>
  <si>
    <t xml:space="preserve">0d9e15cf-7a00-55c0-9b8b-8628051aae6a</t>
  </si>
  <si>
    <t xml:space="preserve">aanvulling op</t>
  </si>
  <si>
    <t xml:space="preserve">e037de3d-8b45-5ecb-aef9-b2008284f880</t>
  </si>
  <si>
    <t xml:space="preserve">alternatief voor</t>
  </si>
  <si>
    <t xml:space="preserve">f15eed47-585e-5048-9f47-bbdc5ab8b57c</t>
  </si>
  <si>
    <t xml:space="preserve">IRT-03</t>
  </si>
  <si>
    <t xml:space="preserve">voorwaarde voor</t>
  </si>
  <si>
    <t xml:space="preserve">6875bac6-48a6-5b5c-a255-7c6de33d6c13</t>
  </si>
  <si>
    <t xml:space="preserve">IRT-04</t>
  </si>
  <si>
    <t xml:space="preserve">e1aed506-6d9a-5292-a4fd-15c75555d3a7</t>
  </si>
  <si>
    <t xml:space="preserve">IRT-05</t>
  </si>
  <si>
    <t xml:space="preserve">gebruikt gegevens uit</t>
  </si>
  <si>
    <t xml:space="preserve">46acb1c6-2aa0-544b-bf07-c20dc9ddd50b</t>
  </si>
  <si>
    <t xml:space="preserve">levert gegevens aan</t>
  </si>
  <si>
    <t xml:space="preserve">b3779462-b440-5827-a25b-7f8e341caa57</t>
  </si>
  <si>
    <t xml:space="preserve">kan worden gecombineerd met</t>
  </si>
  <si>
    <t xml:space="preserve">396f1acd-7121-5266-b76c-aef097fda8bb</t>
  </si>
  <si>
    <t xml:space="preserve">kan niet worden gecombineerd met</t>
  </si>
  <si>
    <t xml:space="preserve">42d7610c-2b16-57a5-85bf-26bb422ddfed</t>
  </si>
  <si>
    <t xml:space="preserve">sectorspecifieke variant van</t>
  </si>
  <si>
    <t xml:space="preserve">45385a79-882a-56f7-8cf1-2f6fa90082d5</t>
  </si>
  <si>
    <t xml:space="preserve">regionale variant van</t>
  </si>
  <si>
    <t xml:space="preserve">345850ca-e2b0-5366-accf-41de7e8542a6</t>
  </si>
  <si>
    <t xml:space="preserve">verdieping op</t>
  </si>
  <si>
    <t xml:space="preserve">8b8d55e9-7018-5b8c-9d45-402b6c05a229</t>
  </si>
  <si>
    <t xml:space="preserve">verwijst naar</t>
  </si>
  <si>
    <t xml:space="preserve">2a0acafe-c89c-53f3-bfbc-f51606adf946</t>
  </si>
  <si>
    <t xml:space="preserve">vervangt</t>
  </si>
  <si>
    <t xml:space="preserve">56441148-1fbd-5cb5-9b44-8e38ea51c548</t>
  </si>
  <si>
    <t xml:space="preserve">is vervangen door</t>
  </si>
  <si>
    <t xml:space="preserve">d778f88a-d78d-54ef-9058-95987c8e3247</t>
  </si>
  <si>
    <t xml:space="preserve">mogelijke doublure van</t>
  </si>
  <si>
    <t xml:space="preserve">d30c1b11-a41f-56f6-a66f-ccbd495f587c</t>
  </si>
  <si>
    <t xml:space="preserve">KP-001</t>
  </si>
  <si>
    <t xml:space="preserve">Handreiking financiële sturing op maatschappelijk vastgoed (dummy)</t>
  </si>
  <si>
    <t xml:space="preserve">Bouwblok 3</t>
  </si>
  <si>
    <t xml:space="preserve">Dummy-kennisproduct voor het website-prototype.</t>
  </si>
  <si>
    <t xml:space="preserve">https://example.org/kennis/KP-001</t>
  </si>
  <si>
    <t xml:space="preserve">in ontwikkeling</t>
  </si>
  <si>
    <t xml:space="preserve">2026-12-01</t>
  </si>
  <si>
    <t xml:space="preserve">d0ac7da5-f7f3-57d2-bb21-571be9e150d2</t>
  </si>
  <si>
    <t xml:space="preserve">KP-002</t>
  </si>
  <si>
    <t xml:space="preserve">Webinar bekostigingstechnieken (dummy)</t>
  </si>
  <si>
    <t xml:space="preserve">webinar</t>
  </si>
  <si>
    <t xml:space="preserve">Kennisdeling</t>
  </si>
  <si>
    <t xml:space="preserve">https://example.org/kennis/KP-002</t>
  </si>
  <si>
    <t xml:space="preserve">beschikbaar</t>
  </si>
  <si>
    <t xml:space="preserve">c7ed4e54-954a-59bc-82af-d6376b69f33e</t>
  </si>
  <si>
    <t xml:space="preserve">KP-003</t>
  </si>
  <si>
    <t xml:space="preserve">Praktijkcase gemeentelijke businesscase (dummy)</t>
  </si>
  <si>
    <t xml:space="preserve">Praktijk</t>
  </si>
  <si>
    <t xml:space="preserve">https://example.org/kennis/KP-003</t>
  </si>
  <si>
    <t xml:space="preserve">8812810c-b874-5425-892d-9c4497f05c8e</t>
  </si>
  <si>
    <t xml:space="preserve">KP-004</t>
  </si>
  <si>
    <t xml:space="preserve">Kennisdossier fiscaliteit maatschappelijk vastgoed (dummy)</t>
  </si>
  <si>
    <t xml:space="preserve">kennisdossier</t>
  </si>
  <si>
    <t xml:space="preserve">Bouwblok 4</t>
  </si>
  <si>
    <t xml:space="preserve">https://example.org/kennis/KP-004</t>
  </si>
  <si>
    <t xml:space="preserve">2027-03-01</t>
  </si>
  <si>
    <t xml:space="preserve">728c9cee-6e20-5b2a-b5a8-9f38027a175b</t>
  </si>
  <si>
    <t xml:space="preserve">KP-005</t>
  </si>
  <si>
    <t xml:space="preserve">Leergang financieel vastgoedbeheer (dummy)</t>
  </si>
  <si>
    <t xml:space="preserve">Opleiding</t>
  </si>
  <si>
    <t xml:space="preserve">https://example.org/kennis/KP-005</t>
  </si>
  <si>
    <t xml:space="preserve">bdf9c612-8e8e-50ab-839c-76b81d800215</t>
  </si>
  <si>
    <t xml:space="preserve">KP-006</t>
  </si>
  <si>
    <t xml:space="preserve">Rekenvoorbeeld TCO verduurzaming (dummy)</t>
  </si>
  <si>
    <t xml:space="preserve">rekenvoorbeeld</t>
  </si>
  <si>
    <t xml:space="preserve">Bouwblok 2</t>
  </si>
  <si>
    <t xml:space="preserve">https://example.org/kennis/KP-006</t>
  </si>
  <si>
    <t xml:space="preserve">2026-11-15</t>
  </si>
  <si>
    <t xml:space="preserve">723adfbe-e8fe-5d86-beae-92c72a6a6141</t>
  </si>
  <si>
    <t xml:space="preserve">verdieping</t>
  </si>
  <si>
    <t xml:space="preserve">baf12e3b-b4cc-566a-876a-8cb1396e54ef</t>
  </si>
  <si>
    <t xml:space="preserve">88cefa3d-9f80-5298-b1c2-54af365850de</t>
  </si>
  <si>
    <t xml:space="preserve">a138c779-0d1f-5db1-8feb-00649327d21c</t>
  </si>
  <si>
    <t xml:space="preserve">fdccfaa6-928e-5043-a9f9-8cd169b16694</t>
  </si>
  <si>
    <t xml:space="preserve">25c445c2-8fb4-5197-ae79-f29fb25f68b6</t>
  </si>
  <si>
    <t xml:space="preserve">0ecaea06-911c-52d2-bdd0-153943db625a</t>
  </si>
  <si>
    <t xml:space="preserve">69ab6b95-f897-5117-8bf8-1fd2715976de</t>
  </si>
  <si>
    <t xml:space="preserve">711cf45c-7076-540c-9f39-5bc72091d0e9</t>
  </si>
  <si>
    <t xml:space="preserve">ba0a07c9-20b3-5481-af3e-ac6ac11045e6</t>
  </si>
  <si>
    <t xml:space="preserve">7c24daac-89df-5436-af03-85664a1ae566</t>
  </si>
  <si>
    <t xml:space="preserve">728f1119-3274-56cd-9f0f-900df0c90b81</t>
  </si>
  <si>
    <t xml:space="preserve">2e0ab729-2e4e-57cb-97ab-27eca51c32ac</t>
  </si>
  <si>
    <t xml:space="preserve">0f8fccda-fb75-567d-ad88-9acc4ef5e2ae</t>
  </si>
  <si>
    <t xml:space="preserve">0c1fef6c-7c43-5064-85d1-f9c20e558e1e</t>
  </si>
  <si>
    <t xml:space="preserve">fad3177a-1322-5990-8e30-8cf7fdc845cd</t>
  </si>
  <si>
    <t xml:space="preserve">c9ebe9e3-d438-5871-b396-8bdb238b27a7</t>
  </si>
  <si>
    <t xml:space="preserve">7fdc61d6-0964-50c0-8908-1cfa8a8b4c42</t>
  </si>
  <si>
    <t xml:space="preserve">22b859b7-c5ce-5703-afb3-52c88f095f65</t>
  </si>
  <si>
    <t xml:space="preserve">4c8c072b-2b94-5ac2-aac7-1376cad39056</t>
  </si>
  <si>
    <t xml:space="preserve">276bbd3c-d1fd-5c4e-9b13-b15c7996f58a</t>
  </si>
  <si>
    <t xml:space="preserve">VS-01</t>
  </si>
  <si>
    <t xml:space="preserve">niet beoordeeld</t>
  </si>
  <si>
    <t xml:space="preserve">533f12ee-ddd3-5543-8474-a101f953029d</t>
  </si>
  <si>
    <t xml:space="preserve">eerste inventarisatie</t>
  </si>
  <si>
    <t xml:space="preserve">93a4d4fd-1dc8-51cc-b30b-fca530d76fb0</t>
  </si>
  <si>
    <t xml:space="preserve">VS-03</t>
  </si>
  <si>
    <t xml:space="preserve">bron gecontroleerd</t>
  </si>
  <si>
    <t xml:space="preserve">b62ac972-a1d3-59a8-86f0-95f234ddfe54</t>
  </si>
  <si>
    <t xml:space="preserve">VS-04</t>
  </si>
  <si>
    <t xml:space="preserve">intern inhoudelijk gecontroleerd</t>
  </si>
  <si>
    <t xml:space="preserve">ae3680ff-b362-5924-9ae1-01991725c8d0</t>
  </si>
  <si>
    <t xml:space="preserve">VS-05</t>
  </si>
  <si>
    <t xml:space="preserve">expert gecontroleerd</t>
  </si>
  <si>
    <t xml:space="preserve">a6c0b4bc-3910-543d-bc4a-849b5f58716c</t>
  </si>
  <si>
    <t xml:space="preserve">VS-06</t>
  </si>
  <si>
    <t xml:space="preserve">praktijk gevalideerd</t>
  </si>
  <si>
    <t xml:space="preserve">97dd2ba7-5920-5f5d-8c2c-445cb165c965</t>
  </si>
  <si>
    <t xml:space="preserve">VS-07</t>
  </si>
  <si>
    <t xml:space="preserve">kernteam vastgesteld</t>
  </si>
  <si>
    <t xml:space="preserve">e26ee98c-429a-5780-90c6-e83345f0f9e0</t>
  </si>
  <si>
    <t xml:space="preserve">VS-08</t>
  </si>
  <si>
    <t xml:space="preserve">actualisatie nodig</t>
  </si>
  <si>
    <t xml:space="preserve">13388c56-d123-5d88-8259-954e2e776e19</t>
  </si>
  <si>
    <t xml:space="preserve">VS-09</t>
  </si>
  <si>
    <t xml:space="preserve">vervallen</t>
  </si>
  <si>
    <t xml:space="preserve">6c125435-83c4-5bb0-9671-3e39f47e97f8</t>
  </si>
  <si>
    <t xml:space="preserve">intern concept</t>
  </si>
  <si>
    <t xml:space="preserve">5643a652-15ee-50dd-b9ca-eea4366be88a</t>
  </si>
  <si>
    <t xml:space="preserve">intern gevalideerd</t>
  </si>
  <si>
    <t xml:space="preserve">88f95626-0e9b-5c35-9f38-16484934d41a</t>
  </si>
  <si>
    <t xml:space="preserve">PS-03</t>
  </si>
  <si>
    <t xml:space="preserve">klaar voor review</t>
  </si>
  <si>
    <t xml:space="preserve">909f1656-2fc7-5363-a07e-3f84cf1b74d1</t>
  </si>
  <si>
    <t xml:space="preserve">publiceerbaar</t>
  </si>
  <si>
    <t xml:space="preserve">4000b6d6-6345-537f-a0f9-3cc391e16585</t>
  </si>
  <si>
    <t xml:space="preserve">PS-05</t>
  </si>
  <si>
    <t xml:space="preserve">gepubliceerd</t>
  </si>
  <si>
    <t xml:space="preserve">2951220e-57f6-5d8b-999e-2b2c43567c08</t>
  </si>
  <si>
    <t xml:space="preserve">PS-06</t>
  </si>
  <si>
    <t xml:space="preserve">tijdelijk verborgen</t>
  </si>
  <si>
    <t xml:space="preserve">35f8b922-b66b-503b-a73d-7394d5d3ea22</t>
  </si>
  <si>
    <t xml:space="preserve">PS-07</t>
  </si>
  <si>
    <t xml:space="preserve">39c4deef-4306-5f47-ad08-7c67c1c70196</t>
  </si>
  <si>
    <t xml:space="preserve">5cb41a8b-ec44-541c-88f5-6d5f92828ea5</t>
  </si>
  <si>
    <t xml:space="preserve">controleren</t>
  </si>
  <si>
    <t xml:space="preserve">0754def1-d62b-5dbc-91fb-2da7ac3e8dba</t>
  </si>
  <si>
    <t xml:space="preserve">8c083c73-44e9-5802-bd7d-34e266046ea7</t>
  </si>
  <si>
    <t xml:space="preserve">IS-04</t>
  </si>
  <si>
    <t xml:space="preserve">toekomstige openstelling</t>
  </si>
  <si>
    <t xml:space="preserve">19e2487c-5019-51cb-9bf6-0a97f7b5822c</t>
  </si>
  <si>
    <t xml:space="preserve">IS-05</t>
  </si>
  <si>
    <t xml:space="preserve">tijdelijk gesloten</t>
  </si>
  <si>
    <t xml:space="preserve">f2da63b5-67c7-57df-a857-e43efd47c716</t>
  </si>
  <si>
    <t xml:space="preserve">IS-06</t>
  </si>
  <si>
    <t xml:space="preserve">verlopen</t>
  </si>
  <si>
    <t xml:space="preserve">899b1253-0661-5cf8-b623-25c0583a6267</t>
  </si>
  <si>
    <t xml:space="preserve">IS-07</t>
  </si>
  <si>
    <t xml:space="preserve">vervangen</t>
  </si>
  <si>
    <t xml:space="preserve">cbc969b3-9969-5baa-90a4-29537ac73b9a</t>
  </si>
  <si>
    <t xml:space="preserve">IS-08</t>
  </si>
  <si>
    <t xml:space="preserve">18550256-a300-5d83-96c6-9a586fefbf37</t>
  </si>
  <si>
    <t xml:space="preserve">2026-09-25</t>
  </si>
  <si>
    <t xml:space="preserve">Dummy Validator</t>
  </si>
  <si>
    <t xml:space="preserve">Dummy: geen opmerkingen.</t>
  </si>
  <si>
    <t xml:space="preserve">8dddbec5-4aba-57e6-9ccd-42564bb56409</t>
  </si>
  <si>
    <t xml:space="preserve">400efede-4a46-53b5-8ce3-0ac2dfdddaf6</t>
  </si>
  <si>
    <t xml:space="preserve">e465ca1f-7fbe-525c-a201-03920fa71ef1</t>
  </si>
  <si>
    <t xml:space="preserve">6a54a3e7-8f0e-5ca2-9095-581340ed7397</t>
  </si>
  <si>
    <t xml:space="preserve">9e18bfc3-c5e7-5c77-8048-331181358469</t>
  </si>
  <si>
    <t xml:space="preserve">6b65d304-5cc9-552d-87a2-5c3b588cea55</t>
  </si>
  <si>
    <t xml:space="preserve">9e44d44c-85ff-53c4-8ad4-d38eccc9b6cd</t>
  </si>
  <si>
    <t xml:space="preserve">483edcd7-42e9-562e-af94-577253a81522</t>
  </si>
  <si>
    <t xml:space="preserve">wijziging</t>
  </si>
  <si>
    <t xml:space="preserve">Dummy: Bron gecontroleerd</t>
  </si>
  <si>
    <t xml:space="preserve">2026-09-10 10:15:00</t>
  </si>
  <si>
    <t xml:space="preserve">dummy-redacteur</t>
  </si>
  <si>
    <t xml:space="preserve">60d30b41-bf54-5181-8316-8a9cc8476349</t>
  </si>
  <si>
    <t xml:space="preserve">Dummy: Doelgroep aangescherpt</t>
  </si>
  <si>
    <t xml:space="preserve">2026-09-13 10:15:00</t>
  </si>
  <si>
    <t xml:space="preserve">10286404-b0f9-5d6a-837c-b1436bbe38e1</t>
  </si>
  <si>
    <t xml:space="preserve">Dummy: Vervangen door I-077</t>
  </si>
  <si>
    <t xml:space="preserve">2026-09-16 10:15:00</t>
  </si>
  <si>
    <t xml:space="preserve">9d8df816-576b-5cc1-bed7-59d725567428</t>
  </si>
  <si>
    <t xml:space="preserve">Dummy: Redactionele controle</t>
  </si>
  <si>
    <t xml:space="preserve">2026-09-19 10:15:00</t>
  </si>
  <si>
    <t xml:space="preserve">833c5833-41f1-58c4-8526-b52187c42869</t>
  </si>
  <si>
    <t xml:space="preserve">2025-11-01</t>
  </si>
  <si>
    <t xml:space="preserve">2026-03-01</t>
  </si>
  <si>
    <t xml:space="preserve">Dummy: Nieuwe versie rekenmodel</t>
  </si>
  <si>
    <t xml:space="preserve">2026-09-22 10:15:00</t>
  </si>
  <si>
    <t xml:space="preserve">d2c26cf6-ea97-53fc-ae98-3555048afde3</t>
  </si>
  <si>
    <t xml:space="preserve">2026-09-30</t>
  </si>
  <si>
    <t xml:space="preserve">Dummy: Openstelling verlengd</t>
  </si>
  <si>
    <t xml:space="preserve">2026-09-25 10:15:00</t>
  </si>
  <si>
    <t xml:space="preserve">930435df-295e-54d5-96fa-39cc0832cc24</t>
  </si>
  <si>
    <t xml:space="preserve">Dummy Redactie</t>
  </si>
  <si>
    <t xml:space="preserve">Periodieke actualiteitscontrole</t>
  </si>
  <si>
    <t xml:space="preserve">gepland</t>
  </si>
  <si>
    <t xml:space="preserve">aa768774-00ab-5047-81a3-d98dcf1b87f3</t>
  </si>
  <si>
    <t xml:space="preserve">ee8d9d56-3052-57d6-8849-e65d78a30396</t>
  </si>
  <si>
    <t xml:space="preserve">ce305ca4-f0e3-5039-a381-99f0ca9e8fae</t>
  </si>
  <si>
    <t xml:space="preserve">8858817a-aa26-5ed8-b811-48c3d85635a4</t>
  </si>
  <si>
    <t xml:space="preserve">1c04f25b-0c40-5d72-96a1-d6dabf2f2735</t>
  </si>
  <si>
    <t xml:space="preserve">2027-03-15</t>
  </si>
  <si>
    <t xml:space="preserve">11abad87-943d-5e14-8648-046ae6e1038b</t>
  </si>
  <si>
    <t xml:space="preserve">2027-09-01</t>
  </si>
  <si>
    <t xml:space="preserve">c4dc4cb2-8ead-55fc-b24b-b4003b9368fc</t>
  </si>
  <si>
    <t xml:space="preserve">2026-12-15</t>
  </si>
  <si>
    <t xml:space="preserve">61282edf-eabd-59fd-a7f1-2e7102603912</t>
  </si>
  <si>
    <t xml:space="preserve">4db097de-56cc-5eca-bfe9-fa1014c11c82</t>
  </si>
  <si>
    <t xml:space="preserve">6a29f587-d927-5087-80e1-4ef622ddf1c2</t>
  </si>
  <si>
    <t xml:space="preserve">KA-001</t>
  </si>
  <si>
    <t xml:space="preserve">Structurele bekostiging</t>
  </si>
  <si>
    <t xml:space="preserve">Bewijs uit inventarisatie: Veel subsidie- en leeninstrumenten, weinig permanente dekking van kapitaallasten. Gevolg: Financierbaar is niet automatisch begrotings- of exploitatiehaalbaar.</t>
  </si>
  <si>
    <t xml:space="preserve">Kapitaallasten, huur, subsidie en besparingen integraal tonen.</t>
  </si>
  <si>
    <t xml:space="preserve">Bron: tabblad Hiatenanalyse v0.1 | DUMMY-aanvulling: analysetype, financiele_vraag_id, prioriteit, status</t>
  </si>
  <si>
    <t xml:space="preserve">6680c9d2-281a-5436-b4b1-3177b96cb845</t>
  </si>
  <si>
    <t xml:space="preserve">KA-002</t>
  </si>
  <si>
    <t xml:space="preserve">Garantie- en middensegment</t>
  </si>
  <si>
    <t xml:space="preserve">Bewijs uit inventarisatie: Leningen kennen krediettoetsen, zekerheden en doelgroepgrenzen. Gevolg: Eigenaren zonder garantie of reserves kunnen buiten routes vallen.</t>
  </si>
  <si>
    <t xml:space="preserve">Garantiestatus, kasstroom en afwijzingsgrond als filters.</t>
  </si>
  <si>
    <t xml:space="preserve">Bron: tabblad Hiatenanalyse v0.1 | DUMMY-aanvulling: analysetype, eigenaartype_id, status</t>
  </si>
  <si>
    <t xml:space="preserve">56bca9f7-6426-5a5d-ad92-f822524a3ca1</t>
  </si>
  <si>
    <t xml:space="preserve">KA-003</t>
  </si>
  <si>
    <t xml:space="preserve">Regionale fragmentatie</t>
  </si>
  <si>
    <t xml:space="preserve">Bewijs uit inventarisatie: Regelingen verschillen per provincie en gemeente en veranderen in de tijd. Gevolg: Vestigingsplaats bepaalt instrumentkeuze.</t>
  </si>
  <si>
    <t xml:space="preserve">Regionaal filter plus actualiteitsbeheer.</t>
  </si>
  <si>
    <t xml:space="preserve">Bron: tabblad Hiatenanalyse v0.1 | DUMMY-aanvulling: analysetype, status</t>
  </si>
  <si>
    <t xml:space="preserve">eb750008-0232-579d-b694-b938b499f2e5</t>
  </si>
  <si>
    <t xml:space="preserve">KA-004</t>
  </si>
  <si>
    <t xml:space="preserve">Huur en split incentive</t>
  </si>
  <si>
    <t xml:space="preserve">Bewijs uit inventarisatie: Kosten en baten landen vaak bij verschillende partijen. Gevolg: Positieve businesscase voor het gebouw kan per partij negatief zijn.</t>
  </si>
  <si>
    <t xml:space="preserve">Contract- en verdeelmodule opnemen.</t>
  </si>
  <si>
    <t xml:space="preserve">Bron: tabblad Hiatenanalyse v0.1 | DUMMY-aanvulling: analysetype, financiele_vraag_id, rol_id, status</t>
  </si>
  <si>
    <t xml:space="preserve">3f397422-adc0-5a02-b6b0-90808be479e1</t>
  </si>
  <si>
    <t xml:space="preserve">KA-005</t>
  </si>
  <si>
    <t xml:space="preserve">Sociaal vastgoed</t>
  </si>
  <si>
    <t xml:space="preserve">Bewijs uit inventarisatie: Ondersteuning is verspreid over dorpshuizen, bewonersinitiatieven en provincies. Gevolg: Vrijwilligersorganisaties missen één ingang en uitvoeringscapaciteit.</t>
  </si>
  <si>
    <t xml:space="preserve">Vereenvoudigde begeleide route met ontzorgingsverwijzing.</t>
  </si>
  <si>
    <t xml:space="preserve">Bron: tabblad Hiatenanalyse v0.1 | DUMMY-aanvulling: analysetype, objecttype_id, status</t>
  </si>
  <si>
    <t xml:space="preserve">ec492f47-ef33-5c38-87d2-8aa6e809c175</t>
  </si>
  <si>
    <t xml:space="preserve">KA-006</t>
  </si>
  <si>
    <t xml:space="preserve">Netcongestie</t>
  </si>
  <si>
    <t xml:space="preserve">Bewijs uit inventarisatie: Subsidievoorwaarden erkennen het onderwerp, maar integrale financiële modellen zijn beperkt zichtbaar. Gevolg: Technische haalbaarheid beïnvloedt investering en exploitatie.</t>
  </si>
  <si>
    <t xml:space="preserve">Netcapaciteit, opslag en flexibiliteit als beslischeck.</t>
  </si>
  <si>
    <t xml:space="preserve">9960859a-13d7-5b3a-8920-ded1650722bd</t>
  </si>
  <si>
    <t xml:space="preserve">KA-007</t>
  </si>
  <si>
    <t xml:space="preserve">Dekking: Geldstroom</t>
  </si>
  <si>
    <t xml:space="preserve">Subsidies en leenroutes zijn relatief goed gevuld; structurele lasten minder.</t>
  </si>
  <si>
    <t xml:space="preserve">zeer hoog</t>
  </si>
  <si>
    <t xml:space="preserve">Maak bekostiging gelijkwaardig aan subsidiematching.</t>
  </si>
  <si>
    <t xml:space="preserve">Bron: tabblad Dekkingsanalyse v0.1 | DUMMY-aanvulling: analysetype, status</t>
  </si>
  <si>
    <t xml:space="preserve">33ac19ba-1537-58f5-af27-3842a95d770e</t>
  </si>
  <si>
    <t xml:space="preserve">KA-008</t>
  </si>
  <si>
    <t xml:space="preserve">Dekking: Eigenaartype</t>
  </si>
  <si>
    <t xml:space="preserve">Geschiktheid hangt sterk af van eigendom, belastingplicht, garantie en subsidierelatie.</t>
  </si>
  <si>
    <t xml:space="preserve">Gebruik deze vier kenmerken als eerste routeringsfilters.</t>
  </si>
  <si>
    <t xml:space="preserve">1b0de61d-116f-5805-bce2-44cd1d8e284b</t>
  </si>
  <si>
    <t xml:space="preserve">KA-009</t>
  </si>
  <si>
    <t xml:space="preserve">Dekking: Schaal</t>
  </si>
  <si>
    <t xml:space="preserve">Kleine projecten vragen ontzorging; grote programma’s kunnen bundelen en Europese projectsteun benutten.</t>
  </si>
  <si>
    <t xml:space="preserve">Vraag projectomvang en bundelbaarheid uit.</t>
  </si>
  <si>
    <t xml:space="preserve">91f979ed-0df9-5782-a6bb-8d6bbcaaad36</t>
  </si>
  <si>
    <t xml:space="preserve">KA-010</t>
  </si>
  <si>
    <t xml:space="preserve">Dekking: Regio</t>
  </si>
  <si>
    <t xml:space="preserve">Provinciale en lokale regelingen verschillen.</t>
  </si>
  <si>
    <t xml:space="preserve">Voeg provincie en gemeente als verplicht filter toe.</t>
  </si>
  <si>
    <t xml:space="preserve">732deda8-f4d5-59a0-bbd1-f8d3c792739c</t>
  </si>
  <si>
    <t xml:space="preserve">KA-011</t>
  </si>
  <si>
    <t xml:space="preserve">Geen instrument bij: Strategie herijken</t>
  </si>
  <si>
    <t xml:space="preserve">Berekend uit de dummy-koppelingen: 0 instrument(en) gekoppeld aan dit beslismoment.</t>
  </si>
  <si>
    <t xml:space="preserve">Inventariseer instrumenten voor dit beslismoment.</t>
  </si>
  <si>
    <t xml:space="preserve">16cd47e4-bce6-5c79-8c72-041a6b6c3aa7</t>
  </si>
  <si>
    <t xml:space="preserve">KA-012</t>
  </si>
  <si>
    <t xml:space="preserve">Geen instrument bij: Haalbaarheid en varianten beoordelen</t>
  </si>
  <si>
    <t xml:space="preserve">a3c02b88-f999-5717-bfaa-be2bf34b4ec2</t>
  </si>
  <si>
    <t xml:space="preserve">KA-013</t>
  </si>
  <si>
    <t xml:space="preserve">Eén instrument bij: Voorkeursvariant kiezen</t>
  </si>
  <si>
    <t xml:space="preserve">Berekend uit de dummy-koppelingen: 1 instrument(en) gekoppeld aan dit beslismoment.</t>
  </si>
  <si>
    <t xml:space="preserve">8cdc6336-c765-5c6e-9964-86492044912d</t>
  </si>
  <si>
    <t xml:space="preserve">KA-014</t>
  </si>
  <si>
    <t xml:space="preserve">Geen instrument bij: Investeringsbesluit nemen</t>
  </si>
  <si>
    <t xml:space="preserve">9fa38f9e-4d1a-57b7-8736-e3d1714f7f7f</t>
  </si>
  <si>
    <t xml:space="preserve">KA-015</t>
  </si>
  <si>
    <t xml:space="preserve">Geen instrument bij: Oplevering accepteren</t>
  </si>
  <si>
    <t xml:space="preserve">cb23e9a3-c0e8-54be-9a48-98d592ace4a7</t>
  </si>
  <si>
    <t xml:space="preserve">KA-016</t>
  </si>
  <si>
    <t xml:space="preserve">Geen instrument bij: Exploitatie en prestaties evalueren</t>
  </si>
  <si>
    <t xml:space="preserve">10a61ccb-4f0a-5c67-bf39-f6d9426cf6f6</t>
  </si>
  <si>
    <t xml:space="preserve">Dekking van kapitaallasten uitwerken</t>
  </si>
  <si>
    <t xml:space="preserve">Dummy-actie: dekking van kapitaallasten uitwerken.</t>
  </si>
  <si>
    <t xml:space="preserve">uitwerken</t>
  </si>
  <si>
    <t xml:space="preserve">29cbb7e5-1a89-5ea1-9463-6d18034a9225</t>
  </si>
  <si>
    <t xml:space="preserve">Garantiestatus als filter toevoegen</t>
  </si>
  <si>
    <t xml:space="preserve">Dummy-actie: garantiestatus als filter toevoegen.</t>
  </si>
  <si>
    <t xml:space="preserve">ontwerpen</t>
  </si>
  <si>
    <t xml:space="preserve">f5b60937-00ed-56c0-80c8-1fe6ff6f53c1</t>
  </si>
  <si>
    <t xml:space="preserve">Regionale regelingen per provincie inventariseren</t>
  </si>
  <si>
    <t xml:space="preserve">Dummy-actie: regionale regelingen per provincie inventariseren.</t>
  </si>
  <si>
    <t xml:space="preserve">inventariseren</t>
  </si>
  <si>
    <t xml:space="preserve">d47911fb-e7a5-50ad-afa9-4d82dde1bab6</t>
  </si>
  <si>
    <t xml:space="preserve">Format huurafspraken opnemen</t>
  </si>
  <si>
    <t xml:space="preserve">Dummy-actie: format huurafspraken opnemen.</t>
  </si>
  <si>
    <t xml:space="preserve">koppelen</t>
  </si>
  <si>
    <t xml:space="preserve">490da467-9ca0-5de1-b1e2-aa621deb3238</t>
  </si>
  <si>
    <t xml:space="preserve">Sociaal-vastgoedroute ontwerpen</t>
  </si>
  <si>
    <t xml:space="preserve">Dummy-actie: sociaal-vastgoedroute ontwerpen.</t>
  </si>
  <si>
    <t xml:space="preserve">d1cc2467-00d1-5377-83fd-3f8446b6ac7d</t>
  </si>
  <si>
    <t xml:space="preserve">Netcapaciteit als beslischeck toevoegen</t>
  </si>
  <si>
    <t xml:space="preserve">Dummy-actie: netcapaciteit als beslischeck toevoegen.</t>
  </si>
  <si>
    <t xml:space="preserve">a5f30503-1064-5f3b-baf2-a5c3a22e4462</t>
  </si>
  <si>
    <t xml:space="preserve">De rondedata kloppen niet meer.</t>
  </si>
  <si>
    <t xml:space="preserve">2026-09-20 14:30:00</t>
  </si>
  <si>
    <t xml:space="preserve">nieuw</t>
  </si>
  <si>
    <t xml:space="preserve">b50bb24f-8a50-59b3-b22f-47c6193750b0</t>
  </si>
  <si>
    <t xml:space="preserve">Heeft ons geholpen bij het prioriteren.</t>
  </si>
  <si>
    <t xml:space="preserve">2026-09-21 14:30:00</t>
  </si>
  <si>
    <t xml:space="preserve">749cb2ce-1fc9-580e-99eb-210730f31247</t>
  </si>
  <si>
    <t xml:space="preserve">Wat moet ik concreet doen na deze stap?</t>
  </si>
  <si>
    <t xml:space="preserve">2026-09-22 14:30:00</t>
  </si>
  <si>
    <t xml:space="preserve">f011ae2b-2b31-54f4-baff-b1a6f40e4bed</t>
  </si>
  <si>
    <t xml:space="preserve">Ik mis een instrument voor structurele dekking.</t>
  </si>
  <si>
    <t xml:space="preserve">2026-09-23 14:30:00</t>
  </si>
  <si>
    <t xml:space="preserve">ffe897ae-b371-50a8-ac78-945c04081e05</t>
  </si>
  <si>
    <t xml:space="preserve">Onze prioritering verloopt anders.</t>
  </si>
  <si>
    <t xml:space="preserve">2026-09-24 14:30:00</t>
  </si>
  <si>
    <t xml:space="preserve">ddbf543a-9533-5d90-9d0c-945e039f6d66</t>
  </si>
  <si>
    <t xml:space="preserve">Hoort niet bij onze objectsoort.</t>
  </si>
  <si>
    <t xml:space="preserve">2026-09-25 14:30:00</t>
  </si>
  <si>
    <t xml:space="preserve">294c96bf-6079-51be-9cbf-9e484228babe</t>
  </si>
  <si>
    <t xml:space="preserve">Voeg een voorbeeldberekening toe.</t>
  </si>
  <si>
    <t xml:space="preserve">2026-09-26 14:30:00</t>
  </si>
  <si>
    <t xml:space="preserve">f9b3c971-e164-549c-8426-e2e1acc8bb07</t>
  </si>
  <si>
    <t xml:space="preserve">Wat wordt bedoeld met programmatisch bundelen?</t>
  </si>
  <si>
    <t xml:space="preserve">2026-09-27 14:30:00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</si>
</sst>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760A6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5760A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07DB5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760A6"/>
        <bgColor rgb="FF6B7280"/>
      </patternFill>
    </fill>
    <fill>
      <patternFill patternType="solid">
        <fgColor rgb="FFB8AED6"/>
        <bgColor rgb="FFCC99FF"/>
      </patternFill>
    </fill>
    <fill>
      <patternFill patternType="solid">
        <fgColor rgb="FFE2DF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5760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7DB5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B8AE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DF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DB5"/>
      <rgbColor rgb="FFB8AED6"/>
      <rgbColor rgb="FF6B7280"/>
      <rgbColor rgb="FF9999FF"/>
      <rgbColor rgb="FF993366"/>
      <rgbColor rgb="FFFFFFCC"/>
      <rgbColor rgb="FFCCFFFF"/>
      <rgbColor rgb="FF660066"/>
      <rgbColor rgb="FFFF8080"/>
      <rgbColor rgb="FF0066CC"/>
      <rgbColor rgb="FFE2DF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60A6"/>
      <rgbColor rgb="FF9462A6"/>
      <rgbColor rgb="FF003366"/>
      <rgbColor rgb="FF339966"/>
      <rgbColor rgb="FF111827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Financieel_Vastgoedkompas_datamodel_DUMMY_v0.1.xlsx" TargetMode="External"/><Relationship Id="rId2" Type="http://schemas.openxmlformats.org/officeDocument/2006/relationships/hyperlink" Target="Financieel_Vastgoedkompas_datamodel_DUMMY_v0.1.xlsx" TargetMode="External"/><Relationship Id="rId3" Type="http://schemas.openxmlformats.org/officeDocument/2006/relationships/hyperlink" Target="Financieel_Vastgoedkompas_datamodel_DUMMY_v0.1.xlsx" TargetMode="External"/><Relationship Id="rId4" Type="http://schemas.openxmlformats.org/officeDocument/2006/relationships/hyperlink" Target="Financieel_Vastgoedkompas_datamodel_DUMMY_v0.1.xlsx" TargetMode="External"/><Relationship Id="rId5" Type="http://schemas.openxmlformats.org/officeDocument/2006/relationships/hyperlink" Target="Financieel_Vastgoedkompas_datamodel_DUMMY_v0.1.xlsx" TargetMode="External"/><Relationship Id="rId6" Type="http://schemas.openxmlformats.org/officeDocument/2006/relationships/hyperlink" Target="Financieel_Vastgoedkompas_datamodel_DUMMY_v0.1.xlsx" TargetMode="External"/><Relationship Id="rId7" Type="http://schemas.openxmlformats.org/officeDocument/2006/relationships/hyperlink" Target="Financieel_Vastgoedkompas_datamodel_DUMMY_v0.1.xlsx" TargetMode="External"/><Relationship Id="rId8" Type="http://schemas.openxmlformats.org/officeDocument/2006/relationships/hyperlink" Target="Financieel_Vastgoedkompas_datamodel_DUMMY_v0.1.xlsx" TargetMode="External"/><Relationship Id="rId9" Type="http://schemas.openxmlformats.org/officeDocument/2006/relationships/hyperlink" Target="Financieel_Vastgoedkompas_datamodel_DUMMY_v0.1.xlsx" TargetMode="External"/><Relationship Id="rId10" Type="http://schemas.openxmlformats.org/officeDocument/2006/relationships/hyperlink" Target="Financieel_Vastgoedkompas_datamodel_DUMMY_v0.1.xlsx" TargetMode="External"/><Relationship Id="rId11" Type="http://schemas.openxmlformats.org/officeDocument/2006/relationships/hyperlink" Target="Financieel_Vastgoedkompas_datamodel_DUMMY_v0.1.xlsx" TargetMode="External"/><Relationship Id="rId12" Type="http://schemas.openxmlformats.org/officeDocument/2006/relationships/hyperlink" Target="Financieel_Vastgoedkompas_datamodel_DUMMY_v0.1.xlsx" TargetMode="External"/><Relationship Id="rId13" Type="http://schemas.openxmlformats.org/officeDocument/2006/relationships/hyperlink" Target="Financieel_Vastgoedkompas_datamodel_DUMMY_v0.1.xlsx" TargetMode="External"/><Relationship Id="rId14" Type="http://schemas.openxmlformats.org/officeDocument/2006/relationships/hyperlink" Target="Financieel_Vastgoedkompas_datamodel_DUMMY_v0.1.xlsx" TargetMode="External"/><Relationship Id="rId15" Type="http://schemas.openxmlformats.org/officeDocument/2006/relationships/hyperlink" Target="Financieel_Vastgoedkompas_datamodel_DUMMY_v0.1.xlsx" TargetMode="External"/><Relationship Id="rId16" Type="http://schemas.openxmlformats.org/officeDocument/2006/relationships/hyperlink" Target="Financieel_Vastgoedkompas_datamodel_DUMMY_v0.1.xlsx" TargetMode="External"/><Relationship Id="rId17" Type="http://schemas.openxmlformats.org/officeDocument/2006/relationships/hyperlink" Target="Financieel_Vastgoedkompas_datamodel_DUMMY_v0.1.xlsx" TargetMode="External"/><Relationship Id="rId18" Type="http://schemas.openxmlformats.org/officeDocument/2006/relationships/hyperlink" Target="Financieel_Vastgoedkompas_datamodel_DUMMY_v0.1.xlsx" TargetMode="External"/><Relationship Id="rId19" Type="http://schemas.openxmlformats.org/officeDocument/2006/relationships/hyperlink" Target="Financieel_Vastgoedkompas_datamodel_DUMMY_v0.1.xlsx" TargetMode="External"/><Relationship Id="rId20" Type="http://schemas.openxmlformats.org/officeDocument/2006/relationships/hyperlink" Target="Financieel_Vastgoedkompas_datamodel_DUMMY_v0.1.xlsx" TargetMode="External"/><Relationship Id="rId21" Type="http://schemas.openxmlformats.org/officeDocument/2006/relationships/hyperlink" Target="Financieel_Vastgoedkompas_datamodel_DUMMY_v0.1.xlsx" TargetMode="External"/><Relationship Id="rId22" Type="http://schemas.openxmlformats.org/officeDocument/2006/relationships/hyperlink" Target="Financieel_Vastgoedkompas_datamodel_DUMMY_v0.1.xlsx" TargetMode="External"/><Relationship Id="rId23" Type="http://schemas.openxmlformats.org/officeDocument/2006/relationships/hyperlink" Target="Financieel_Vastgoedkompas_datamodel_DUMMY_v0.1.xlsx" TargetMode="External"/><Relationship Id="rId24" Type="http://schemas.openxmlformats.org/officeDocument/2006/relationships/hyperlink" Target="Financieel_Vastgoedkompas_datamodel_DUMMY_v0.1.xlsx" TargetMode="External"/><Relationship Id="rId25" Type="http://schemas.openxmlformats.org/officeDocument/2006/relationships/hyperlink" Target="Financieel_Vastgoedkompas_datamodel_DUMMY_v0.1.xlsx" TargetMode="External"/><Relationship Id="rId26" Type="http://schemas.openxmlformats.org/officeDocument/2006/relationships/hyperlink" Target="Financieel_Vastgoedkompas_datamodel_DUMMY_v0.1.xlsx" TargetMode="External"/><Relationship Id="rId27" Type="http://schemas.openxmlformats.org/officeDocument/2006/relationships/hyperlink" Target="Financieel_Vastgoedkompas_datamodel_DUMMY_v0.1.xlsx" TargetMode="External"/><Relationship Id="rId28" Type="http://schemas.openxmlformats.org/officeDocument/2006/relationships/hyperlink" Target="Financieel_Vastgoedkompas_datamodel_DUMMY_v0.1.xlsx" TargetMode="External"/><Relationship Id="rId29" Type="http://schemas.openxmlformats.org/officeDocument/2006/relationships/hyperlink" Target="Financieel_Vastgoedkompas_datamodel_DUMMY_v0.1.xlsx" TargetMode="External"/><Relationship Id="rId30" Type="http://schemas.openxmlformats.org/officeDocument/2006/relationships/hyperlink" Target="Financieel_Vastgoedkompas_datamodel_DUMMY_v0.1.xlsx" TargetMode="External"/><Relationship Id="rId31" Type="http://schemas.openxmlformats.org/officeDocument/2006/relationships/hyperlink" Target="Financieel_Vastgoedkompas_datamodel_DUMMY_v0.1.xlsx" TargetMode="External"/><Relationship Id="rId32" Type="http://schemas.openxmlformats.org/officeDocument/2006/relationships/hyperlink" Target="Financieel_Vastgoedkompas_datamodel_DUMMY_v0.1.xlsx" TargetMode="External"/><Relationship Id="rId33" Type="http://schemas.openxmlformats.org/officeDocument/2006/relationships/hyperlink" Target="Financieel_Vastgoedkompas_datamodel_DUMMY_v0.1.xlsx" TargetMode="External"/><Relationship Id="rId34" Type="http://schemas.openxmlformats.org/officeDocument/2006/relationships/hyperlink" Target="Financieel_Vastgoedkompas_datamodel_DUMMY_v0.1.xlsx" TargetMode="External"/><Relationship Id="rId35" Type="http://schemas.openxmlformats.org/officeDocument/2006/relationships/hyperlink" Target="Financieel_Vastgoedkompas_datamodel_DUMMY_v0.1.xlsx" TargetMode="External"/><Relationship Id="rId36" Type="http://schemas.openxmlformats.org/officeDocument/2006/relationships/hyperlink" Target="Financieel_Vastgoedkompas_datamodel_DUMMY_v0.1.xlsx" TargetMode="External"/><Relationship Id="rId37" Type="http://schemas.openxmlformats.org/officeDocument/2006/relationships/hyperlink" Target="Financieel_Vastgoedkompas_datamodel_DUMMY_v0.1.xlsx" TargetMode="External"/><Relationship Id="rId38" Type="http://schemas.openxmlformats.org/officeDocument/2006/relationships/hyperlink" Target="Financieel_Vastgoedkompas_datamodel_DUMMY_v0.1.xlsx" TargetMode="External"/><Relationship Id="rId39" Type="http://schemas.openxmlformats.org/officeDocument/2006/relationships/hyperlink" Target="Financieel_Vastgoedkompas_datamodel_DUMMY_v0.1.xlsx" TargetMode="External"/><Relationship Id="rId40" Type="http://schemas.openxmlformats.org/officeDocument/2006/relationships/hyperlink" Target="Financieel_Vastgoedkompas_datamodel_DUMMY_v0.1.xlsx" TargetMode="External"/><Relationship Id="rId41" Type="http://schemas.openxmlformats.org/officeDocument/2006/relationships/hyperlink" Target="Financieel_Vastgoedkompas_datamodel_DUMMY_v0.1.xlsx" TargetMode="External"/><Relationship Id="rId42" Type="http://schemas.openxmlformats.org/officeDocument/2006/relationships/hyperlink" Target="Financieel_Vastgoedkompas_datamodel_DUMMY_v0.1.xlsx" TargetMode="External"/><Relationship Id="rId43" Type="http://schemas.openxmlformats.org/officeDocument/2006/relationships/hyperlink" Target="Financieel_Vastgoedkompas_datamodel_DUMMY_v0.1.xlsx" TargetMode="External"/><Relationship Id="rId44" Type="http://schemas.openxmlformats.org/officeDocument/2006/relationships/hyperlink" Target="Financieel_Vastgoedkompas_datamodel_DUMMY_v0.1.xlsx" TargetMode="External"/><Relationship Id="rId45" Type="http://schemas.openxmlformats.org/officeDocument/2006/relationships/hyperlink" Target="Financieel_Vastgoedkompas_datamodel_DUMMY_v0.1.xlsx" TargetMode="External"/><Relationship Id="rId46" Type="http://schemas.openxmlformats.org/officeDocument/2006/relationships/hyperlink" Target="Financieel_Vastgoedkompas_datamodel_DUMMY_v0.1.xlsx" TargetMode="External"/><Relationship Id="rId47" Type="http://schemas.openxmlformats.org/officeDocument/2006/relationships/hyperlink" Target="Financieel_Vastgoedkompas_datamodel_DUMMY_v0.1.xlsx" TargetMode="External"/><Relationship Id="rId48" Type="http://schemas.openxmlformats.org/officeDocument/2006/relationships/hyperlink" Target="Financieel_Vastgoedkompas_datamodel_DUMMY_v0.1.xlsx" TargetMode="External"/><Relationship Id="rId49" Type="http://schemas.openxmlformats.org/officeDocument/2006/relationships/hyperlink" Target="Financieel_Vastgoedkompas_datamodel_DUMMY_v0.1.xlsx" TargetMode="External"/><Relationship Id="rId50" Type="http://schemas.openxmlformats.org/officeDocument/2006/relationships/hyperlink" Target="Financieel_Vastgoedkompas_datamodel_DUMMY_v0.1.xlsx" TargetMode="External"/><Relationship Id="rId51" Type="http://schemas.openxmlformats.org/officeDocument/2006/relationships/hyperlink" Target="Financieel_Vastgoedkompas_datamodel_DUMMY_v0.1.xlsx" TargetMode="External"/><Relationship Id="rId52" Type="http://schemas.openxmlformats.org/officeDocument/2006/relationships/hyperlink" Target="Financieel_Vastgoedkompas_datamodel_DUMMY_v0.1.xlsx" TargetMode="External"/><Relationship Id="rId53" Type="http://schemas.openxmlformats.org/officeDocument/2006/relationships/hyperlink" Target="Financieel_Vastgoedkompas_datamodel_DUMMY_v0.1.xlsx" TargetMode="External"/><Relationship Id="rId54" Type="http://schemas.openxmlformats.org/officeDocument/2006/relationships/hyperlink" Target="Financieel_Vastgoedkompas_datamodel_DUMMY_v0.1.xlsx" TargetMode="External"/><Relationship Id="rId55" Type="http://schemas.openxmlformats.org/officeDocument/2006/relationships/hyperlink" Target="Financieel_Vastgoedkompas_datamodel_DUMMY_v0.1.xlsx" TargetMode="External"/><Relationship Id="rId56" Type="http://schemas.openxmlformats.org/officeDocument/2006/relationships/hyperlink" Target="Financieel_Vastgoedkompas_datamodel_DUMMY_v0.1.xlsx" TargetMode="External"/><Relationship Id="rId57" Type="http://schemas.openxmlformats.org/officeDocument/2006/relationships/hyperlink" Target="Financieel_Vastgoedkompas_datamodel_DUMMY_v0.1.xlsx" TargetMode="External"/><Relationship Id="rId58" Type="http://schemas.openxmlformats.org/officeDocument/2006/relationships/hyperlink" Target="Financieel_Vastgoedkompas_datamodel_DUMMY_v0.1.xlsx" TargetMode="External"/><Relationship Id="rId59" Type="http://schemas.openxmlformats.org/officeDocument/2006/relationships/hyperlink" Target="Financieel_Vastgoedkompas_datamodel_DUMMY_v0.1.xlsx" TargetMode="External"/><Relationship Id="rId60" Type="http://schemas.openxmlformats.org/officeDocument/2006/relationships/hyperlink" Target="Financieel_Vastgoedkompas_datamodel_DUMMY_v0.1.xlsx" TargetMode="External"/><Relationship Id="rId61" Type="http://schemas.openxmlformats.org/officeDocument/2006/relationships/hyperlink" Target="Financieel_Vastgoedkompas_datamodel_DUMMY_v0.1.xlsx" TargetMode="External"/><Relationship Id="rId62" Type="http://schemas.openxmlformats.org/officeDocument/2006/relationships/hyperlink" Target="Financieel_Vastgoedkompas_datamodel_DUMMY_v0.1.xlsx" TargetMode="External"/><Relationship Id="rId63" Type="http://schemas.openxmlformats.org/officeDocument/2006/relationships/hyperlink" Target="Financieel_Vastgoedkompas_datamodel_DUMMY_v0.1.xlsx" TargetMode="External"/><Relationship Id="rId64" Type="http://schemas.openxmlformats.org/officeDocument/2006/relationships/hyperlink" Target="Financieel_Vastgoedkompas_datamodel_DUMMY_v0.1.xlsx" TargetMode="External"/><Relationship Id="rId65" Type="http://schemas.openxmlformats.org/officeDocument/2006/relationships/hyperlink" Target="Financieel_Vastgoedkompas_datamodel_DUMMY_v0.1.xlsx" TargetMode="External"/><Relationship Id="rId66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2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6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7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9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0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1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2.v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3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4.v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5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6.v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7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28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29.v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0.v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1.v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2.v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3.v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4.v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5.v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6.v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7.v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38.v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39.v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40.v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1.v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42.v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43.v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44.v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45.v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46.v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comments" Target="../comments53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47.v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comments" Target="../comments54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48.v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comments" Target="../comments55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49.v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comments" Target="../comments56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50.v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comments" Target="../comments57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51.v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comments" Target="../comments58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52.v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comments" Target="../comments59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53.v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comments" Target="../comments60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54.v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comments" Target="../comments61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55.v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comments" Target="../comments62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56.v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comments" Target="../comments63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57.v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comments" Target="../comments64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58.v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comments" Target="../comments65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59.v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comments" Target="../comments66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60.v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comments" Target="../comments67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61.v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comments" Target="../comments68.xml"/><Relationship Id="rId2" Type="http://schemas.openxmlformats.org/officeDocument/2006/relationships/drawing" Target="../drawings/drawing65.xml"/><Relationship Id="rId3" Type="http://schemas.openxmlformats.org/officeDocument/2006/relationships/vmlDrawing" Target="../drawings/vmlDrawing62.v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comments" Target="../comments69.xml"/><Relationship Id="rId2" Type="http://schemas.openxmlformats.org/officeDocument/2006/relationships/drawing" Target="../drawings/drawing66.xml"/><Relationship Id="rId3" Type="http://schemas.openxmlformats.org/officeDocument/2006/relationships/vmlDrawing" Target="../drawings/vmlDrawing63.v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comments" Target="../comments70.xml"/><Relationship Id="rId2" Type="http://schemas.openxmlformats.org/officeDocument/2006/relationships/drawing" Target="../drawings/drawing67.xml"/><Relationship Id="rId3" Type="http://schemas.openxmlformats.org/officeDocument/2006/relationships/vmlDrawing" Target="../drawings/vmlDrawing64.v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comments" Target="../comments71.xml"/><Relationship Id="rId2" Type="http://schemas.openxmlformats.org/officeDocument/2006/relationships/drawing" Target="../drawings/drawing68.xml"/><Relationship Id="rId3" Type="http://schemas.openxmlformats.org/officeDocument/2006/relationships/vmlDrawing" Target="../drawings/vmlDrawing6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4" t="s">
        <v>3</v>
      </c>
    </row>
    <row r="5" customFormat="false" ht="35.0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35.0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35.0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23.85" hidden="false" customHeight="false" outlineLevel="0" collapsed="false">
      <c r="A12" s="3" t="s">
        <v>18</v>
      </c>
      <c r="B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23.85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</row>
    <row r="5" customFormat="false" ht="15" hidden="false" customHeight="false" outlineLevel="0" collapsed="false">
      <c r="A5" s="4" t="n">
        <v>1</v>
      </c>
      <c r="B5" s="4" t="s">
        <v>29</v>
      </c>
      <c r="C5" s="4" t="s">
        <v>30</v>
      </c>
      <c r="D5" s="4" t="n">
        <v>10</v>
      </c>
      <c r="E5" s="4" t="n">
        <v>0</v>
      </c>
      <c r="F5" s="4" t="n">
        <v>10</v>
      </c>
      <c r="G5" s="6" t="n">
        <f aca="false">IF(D5=0,0,F5/D5)</f>
        <v>1</v>
      </c>
    </row>
    <row r="6" customFormat="false" ht="15" hidden="false" customHeight="false" outlineLevel="0" collapsed="false">
      <c r="A6" s="4" t="n">
        <v>2</v>
      </c>
      <c r="B6" s="4" t="s">
        <v>31</v>
      </c>
      <c r="C6" s="4" t="s">
        <v>30</v>
      </c>
      <c r="D6" s="4" t="n">
        <v>4</v>
      </c>
      <c r="E6" s="4" t="n">
        <v>0</v>
      </c>
      <c r="F6" s="4" t="n">
        <v>4</v>
      </c>
      <c r="G6" s="6" t="n">
        <f aca="false">IF(D6=0,0,F6/D6)</f>
        <v>1</v>
      </c>
    </row>
    <row r="7" customFormat="false" ht="15" hidden="false" customHeight="false" outlineLevel="0" collapsed="false">
      <c r="A7" s="4" t="n">
        <v>3</v>
      </c>
      <c r="B7" s="4" t="s">
        <v>32</v>
      </c>
      <c r="C7" s="4" t="s">
        <v>30</v>
      </c>
      <c r="D7" s="4" t="n">
        <v>12</v>
      </c>
      <c r="E7" s="4" t="n">
        <v>0</v>
      </c>
      <c r="F7" s="4" t="n">
        <v>12</v>
      </c>
      <c r="G7" s="6" t="n">
        <f aca="false">IF(D7=0,0,F7/D7)</f>
        <v>1</v>
      </c>
    </row>
    <row r="8" customFormat="false" ht="15" hidden="false" customHeight="false" outlineLevel="0" collapsed="false">
      <c r="A8" s="4" t="n">
        <v>4</v>
      </c>
      <c r="B8" s="4" t="s">
        <v>33</v>
      </c>
      <c r="C8" s="4" t="s">
        <v>30</v>
      </c>
      <c r="D8" s="4" t="n">
        <v>16</v>
      </c>
      <c r="E8" s="4" t="n">
        <v>0</v>
      </c>
      <c r="F8" s="4" t="n">
        <v>16</v>
      </c>
      <c r="G8" s="6" t="n">
        <f aca="false">IF(D8=0,0,F8/D8)</f>
        <v>1</v>
      </c>
    </row>
    <row r="9" customFormat="false" ht="15" hidden="false" customHeight="false" outlineLevel="0" collapsed="false">
      <c r="A9" s="4" t="n">
        <v>5</v>
      </c>
      <c r="B9" s="4" t="s">
        <v>34</v>
      </c>
      <c r="C9" s="4" t="s">
        <v>30</v>
      </c>
      <c r="D9" s="4" t="n">
        <v>16</v>
      </c>
      <c r="E9" s="4" t="n">
        <v>0</v>
      </c>
      <c r="F9" s="4" t="n">
        <v>16</v>
      </c>
      <c r="G9" s="6" t="n">
        <f aca="false">IF(D9=0,0,F9/D9)</f>
        <v>1</v>
      </c>
    </row>
    <row r="10" customFormat="false" ht="15" hidden="false" customHeight="false" outlineLevel="0" collapsed="false">
      <c r="A10" s="4" t="n">
        <v>6</v>
      </c>
      <c r="B10" s="4" t="s">
        <v>35</v>
      </c>
      <c r="C10" s="4" t="s">
        <v>30</v>
      </c>
      <c r="D10" s="4" t="n">
        <v>14</v>
      </c>
      <c r="E10" s="4" t="n">
        <v>14</v>
      </c>
      <c r="F10" s="4" t="n">
        <v>0</v>
      </c>
      <c r="G10" s="6" t="n">
        <f aca="false">IF(D10=0,0,F10/D10)</f>
        <v>0</v>
      </c>
    </row>
    <row r="11" customFormat="false" ht="15" hidden="false" customHeight="false" outlineLevel="0" collapsed="false">
      <c r="A11" s="4" t="n">
        <v>7</v>
      </c>
      <c r="B11" s="4" t="s">
        <v>36</v>
      </c>
      <c r="C11" s="4" t="s">
        <v>30</v>
      </c>
      <c r="D11" s="4" t="n">
        <v>22</v>
      </c>
      <c r="E11" s="4" t="n">
        <v>0</v>
      </c>
      <c r="F11" s="4" t="n">
        <v>22</v>
      </c>
      <c r="G11" s="6" t="n">
        <f aca="false">IF(D11=0,0,F11/D11)</f>
        <v>1</v>
      </c>
    </row>
    <row r="12" customFormat="false" ht="15" hidden="false" customHeight="false" outlineLevel="0" collapsed="false">
      <c r="A12" s="4" t="n">
        <v>8</v>
      </c>
      <c r="B12" s="4" t="s">
        <v>37</v>
      </c>
      <c r="C12" s="4" t="s">
        <v>30</v>
      </c>
      <c r="D12" s="4" t="n">
        <v>9</v>
      </c>
      <c r="E12" s="4" t="n">
        <v>9</v>
      </c>
      <c r="F12" s="4" t="n">
        <v>0</v>
      </c>
      <c r="G12" s="6" t="n">
        <f aca="false">IF(D12=0,0,F12/D12)</f>
        <v>0</v>
      </c>
    </row>
    <row r="13" customFormat="false" ht="15" hidden="false" customHeight="false" outlineLevel="0" collapsed="false">
      <c r="A13" s="4" t="n">
        <v>9</v>
      </c>
      <c r="B13" s="4" t="s">
        <v>38</v>
      </c>
      <c r="C13" s="4" t="s">
        <v>30</v>
      </c>
      <c r="D13" s="4" t="n">
        <v>18</v>
      </c>
      <c r="E13" s="4" t="n">
        <v>0</v>
      </c>
      <c r="F13" s="4" t="n">
        <v>18</v>
      </c>
      <c r="G13" s="6" t="n">
        <f aca="false">IF(D13=0,0,F13/D13)</f>
        <v>1</v>
      </c>
    </row>
    <row r="14" customFormat="false" ht="15" hidden="false" customHeight="false" outlineLevel="0" collapsed="false">
      <c r="A14" s="4" t="n">
        <v>10</v>
      </c>
      <c r="B14" s="4" t="s">
        <v>39</v>
      </c>
      <c r="C14" s="4" t="s">
        <v>30</v>
      </c>
      <c r="D14" s="4" t="n">
        <v>10</v>
      </c>
      <c r="E14" s="4" t="n">
        <v>10</v>
      </c>
      <c r="F14" s="4" t="n">
        <v>0</v>
      </c>
      <c r="G14" s="6" t="n">
        <f aca="false">IF(D14=0,0,F14/D14)</f>
        <v>0</v>
      </c>
    </row>
    <row r="15" customFormat="false" ht="15" hidden="false" customHeight="false" outlineLevel="0" collapsed="false">
      <c r="A15" s="4" t="n">
        <v>11</v>
      </c>
      <c r="B15" s="4" t="s">
        <v>40</v>
      </c>
      <c r="C15" s="4" t="s">
        <v>30</v>
      </c>
      <c r="D15" s="4" t="n">
        <v>21</v>
      </c>
      <c r="E15" s="4" t="n">
        <v>21</v>
      </c>
      <c r="F15" s="4" t="n">
        <v>0</v>
      </c>
      <c r="G15" s="6" t="n">
        <f aca="false">IF(D15=0,0,F15/D15)</f>
        <v>0</v>
      </c>
    </row>
    <row r="16" customFormat="false" ht="15" hidden="false" customHeight="false" outlineLevel="0" collapsed="false">
      <c r="A16" s="4" t="n">
        <v>12</v>
      </c>
      <c r="B16" s="4" t="s">
        <v>41</v>
      </c>
      <c r="C16" s="4" t="s">
        <v>42</v>
      </c>
      <c r="D16" s="4" t="n">
        <v>12</v>
      </c>
      <c r="E16" s="4" t="n">
        <v>0</v>
      </c>
      <c r="F16" s="4" t="n">
        <v>12</v>
      </c>
      <c r="G16" s="6" t="n">
        <f aca="false">IF(D16=0,0,F16/D16)</f>
        <v>1</v>
      </c>
    </row>
    <row r="17" customFormat="false" ht="15" hidden="false" customHeight="false" outlineLevel="0" collapsed="false">
      <c r="A17" s="4" t="n">
        <v>13</v>
      </c>
      <c r="B17" s="4" t="s">
        <v>43</v>
      </c>
      <c r="C17" s="4" t="s">
        <v>42</v>
      </c>
      <c r="D17" s="4" t="n">
        <v>19</v>
      </c>
      <c r="E17" s="4" t="n">
        <v>12</v>
      </c>
      <c r="F17" s="4" t="n">
        <v>7</v>
      </c>
      <c r="G17" s="6" t="n">
        <f aca="false">IF(D17=0,0,F17/D17)</f>
        <v>0.368421052631579</v>
      </c>
    </row>
    <row r="18" customFormat="false" ht="15" hidden="false" customHeight="false" outlineLevel="0" collapsed="false">
      <c r="A18" s="4" t="n">
        <v>14</v>
      </c>
      <c r="B18" s="4" t="s">
        <v>44</v>
      </c>
      <c r="C18" s="4" t="s">
        <v>42</v>
      </c>
      <c r="D18" s="4" t="n">
        <v>15</v>
      </c>
      <c r="E18" s="4" t="n">
        <v>0</v>
      </c>
      <c r="F18" s="4" t="n">
        <v>15</v>
      </c>
      <c r="G18" s="6" t="n">
        <f aca="false">IF(D18=0,0,F18/D18)</f>
        <v>1</v>
      </c>
    </row>
    <row r="19" customFormat="false" ht="15" hidden="false" customHeight="false" outlineLevel="0" collapsed="false">
      <c r="A19" s="4" t="n">
        <v>15</v>
      </c>
      <c r="B19" s="4" t="s">
        <v>45</v>
      </c>
      <c r="C19" s="4" t="s">
        <v>42</v>
      </c>
      <c r="D19" s="4" t="n">
        <v>18</v>
      </c>
      <c r="E19" s="4" t="n">
        <v>18</v>
      </c>
      <c r="F19" s="4" t="n">
        <v>0</v>
      </c>
      <c r="G19" s="6" t="n">
        <f aca="false">IF(D19=0,0,F19/D19)</f>
        <v>0</v>
      </c>
    </row>
    <row r="20" customFormat="false" ht="15" hidden="false" customHeight="false" outlineLevel="0" collapsed="false">
      <c r="A20" s="4" t="n">
        <v>16</v>
      </c>
      <c r="B20" s="4" t="s">
        <v>46</v>
      </c>
      <c r="C20" s="4" t="s">
        <v>42</v>
      </c>
      <c r="D20" s="4" t="n">
        <v>15</v>
      </c>
      <c r="E20" s="4" t="n">
        <v>0</v>
      </c>
      <c r="F20" s="4" t="n">
        <v>15</v>
      </c>
      <c r="G20" s="6" t="n">
        <f aca="false">IF(D20=0,0,F20/D20)</f>
        <v>1</v>
      </c>
    </row>
    <row r="21" customFormat="false" ht="15" hidden="false" customHeight="false" outlineLevel="0" collapsed="false">
      <c r="A21" s="4" t="n">
        <v>17</v>
      </c>
      <c r="B21" s="4" t="s">
        <v>47</v>
      </c>
      <c r="C21" s="4" t="s">
        <v>42</v>
      </c>
      <c r="D21" s="4" t="n">
        <v>10</v>
      </c>
      <c r="E21" s="4" t="n">
        <v>0</v>
      </c>
      <c r="F21" s="4" t="n">
        <v>10</v>
      </c>
      <c r="G21" s="6" t="n">
        <f aca="false">IF(D21=0,0,F21/D21)</f>
        <v>1</v>
      </c>
    </row>
    <row r="22" customFormat="false" ht="15" hidden="false" customHeight="false" outlineLevel="0" collapsed="false">
      <c r="A22" s="4" t="n">
        <v>18</v>
      </c>
      <c r="B22" s="4" t="s">
        <v>48</v>
      </c>
      <c r="C22" s="4" t="s">
        <v>42</v>
      </c>
      <c r="D22" s="4" t="n">
        <v>8</v>
      </c>
      <c r="E22" s="4" t="n">
        <v>0</v>
      </c>
      <c r="F22" s="4" t="n">
        <v>8</v>
      </c>
      <c r="G22" s="6" t="n">
        <f aca="false">IF(D22=0,0,F22/D22)</f>
        <v>1</v>
      </c>
    </row>
    <row r="23" customFormat="false" ht="15" hidden="false" customHeight="false" outlineLevel="0" collapsed="false">
      <c r="A23" s="4" t="n">
        <v>19</v>
      </c>
      <c r="B23" s="4" t="s">
        <v>49</v>
      </c>
      <c r="C23" s="4" t="s">
        <v>42</v>
      </c>
      <c r="D23" s="4" t="n">
        <v>11</v>
      </c>
      <c r="E23" s="4" t="n">
        <v>0</v>
      </c>
      <c r="F23" s="4" t="n">
        <v>11</v>
      </c>
      <c r="G23" s="6" t="n">
        <f aca="false">IF(D23=0,0,F23/D23)</f>
        <v>1</v>
      </c>
    </row>
    <row r="24" customFormat="false" ht="15" hidden="false" customHeight="false" outlineLevel="0" collapsed="false">
      <c r="A24" s="4" t="n">
        <v>20</v>
      </c>
      <c r="B24" s="4" t="s">
        <v>50</v>
      </c>
      <c r="C24" s="4" t="s">
        <v>51</v>
      </c>
      <c r="D24" s="4" t="n">
        <v>77</v>
      </c>
      <c r="E24" s="4" t="n">
        <v>0</v>
      </c>
      <c r="F24" s="4" t="n">
        <v>77</v>
      </c>
      <c r="G24" s="6" t="n">
        <f aca="false">IF(D24=0,0,F24/D24)</f>
        <v>1</v>
      </c>
    </row>
    <row r="25" customFormat="false" ht="15" hidden="false" customHeight="false" outlineLevel="0" collapsed="false">
      <c r="A25" s="4" t="n">
        <v>21</v>
      </c>
      <c r="B25" s="4" t="s">
        <v>52</v>
      </c>
      <c r="C25" s="4" t="s">
        <v>51</v>
      </c>
      <c r="D25" s="4" t="n">
        <v>30</v>
      </c>
      <c r="E25" s="4" t="n">
        <v>30</v>
      </c>
      <c r="F25" s="4" t="n">
        <v>0</v>
      </c>
      <c r="G25" s="6" t="n">
        <f aca="false">IF(D25=0,0,F25/D25)</f>
        <v>0</v>
      </c>
    </row>
    <row r="26" customFormat="false" ht="15" hidden="false" customHeight="false" outlineLevel="0" collapsed="false">
      <c r="A26" s="4" t="n">
        <v>22</v>
      </c>
      <c r="B26" s="4" t="s">
        <v>53</v>
      </c>
      <c r="C26" s="4" t="s">
        <v>51</v>
      </c>
      <c r="D26" s="4" t="n">
        <v>14</v>
      </c>
      <c r="E26" s="4" t="n">
        <v>14</v>
      </c>
      <c r="F26" s="4" t="n">
        <v>0</v>
      </c>
      <c r="G26" s="6" t="n">
        <f aca="false">IF(D26=0,0,F26/D26)</f>
        <v>0</v>
      </c>
    </row>
    <row r="27" customFormat="false" ht="15" hidden="false" customHeight="false" outlineLevel="0" collapsed="false">
      <c r="A27" s="4" t="n">
        <v>23</v>
      </c>
      <c r="B27" s="4" t="s">
        <v>54</v>
      </c>
      <c r="C27" s="4" t="s">
        <v>51</v>
      </c>
      <c r="D27" s="4" t="n">
        <v>56</v>
      </c>
      <c r="E27" s="4" t="n">
        <v>0</v>
      </c>
      <c r="F27" s="4" t="n">
        <v>56</v>
      </c>
      <c r="G27" s="6" t="n">
        <f aca="false">IF(D27=0,0,F27/D27)</f>
        <v>1</v>
      </c>
    </row>
    <row r="28" customFormat="false" ht="15" hidden="false" customHeight="false" outlineLevel="0" collapsed="false">
      <c r="A28" s="4" t="n">
        <v>24</v>
      </c>
      <c r="B28" s="4" t="s">
        <v>55</v>
      </c>
      <c r="C28" s="4" t="s">
        <v>51</v>
      </c>
      <c r="D28" s="4" t="n">
        <v>15</v>
      </c>
      <c r="E28" s="4" t="n">
        <v>15</v>
      </c>
      <c r="F28" s="4" t="n">
        <v>0</v>
      </c>
      <c r="G28" s="6" t="n">
        <f aca="false">IF(D28=0,0,F28/D28)</f>
        <v>0</v>
      </c>
    </row>
    <row r="29" customFormat="false" ht="15" hidden="false" customHeight="false" outlineLevel="0" collapsed="false">
      <c r="A29" s="4" t="n">
        <v>25</v>
      </c>
      <c r="B29" s="4" t="s">
        <v>56</v>
      </c>
      <c r="C29" s="4" t="s">
        <v>51</v>
      </c>
      <c r="D29" s="4" t="n">
        <v>77</v>
      </c>
      <c r="E29" s="4" t="n">
        <v>0</v>
      </c>
      <c r="F29" s="4" t="n">
        <v>77</v>
      </c>
      <c r="G29" s="6" t="n">
        <f aca="false">IF(D29=0,0,F29/D29)</f>
        <v>1</v>
      </c>
    </row>
    <row r="30" customFormat="false" ht="15" hidden="false" customHeight="false" outlineLevel="0" collapsed="false">
      <c r="A30" s="4" t="n">
        <v>26</v>
      </c>
      <c r="B30" s="4" t="s">
        <v>57</v>
      </c>
      <c r="C30" s="4" t="s">
        <v>51</v>
      </c>
      <c r="D30" s="4" t="n">
        <v>76</v>
      </c>
      <c r="E30" s="4" t="n">
        <v>0</v>
      </c>
      <c r="F30" s="4" t="n">
        <v>76</v>
      </c>
      <c r="G30" s="6" t="n">
        <f aca="false">IF(D30=0,0,F30/D30)</f>
        <v>1</v>
      </c>
    </row>
    <row r="31" customFormat="false" ht="15" hidden="false" customHeight="false" outlineLevel="0" collapsed="false">
      <c r="A31" s="4" t="n">
        <v>27</v>
      </c>
      <c r="B31" s="4" t="s">
        <v>58</v>
      </c>
      <c r="C31" s="4" t="s">
        <v>51</v>
      </c>
      <c r="D31" s="4" t="n">
        <v>14</v>
      </c>
      <c r="E31" s="4" t="n">
        <v>14</v>
      </c>
      <c r="F31" s="4" t="n">
        <v>0</v>
      </c>
      <c r="G31" s="6" t="n">
        <f aca="false">IF(D31=0,0,F31/D31)</f>
        <v>0</v>
      </c>
    </row>
    <row r="32" customFormat="false" ht="15" hidden="false" customHeight="false" outlineLevel="0" collapsed="false">
      <c r="A32" s="4" t="n">
        <v>28</v>
      </c>
      <c r="B32" s="4" t="s">
        <v>59</v>
      </c>
      <c r="C32" s="4" t="s">
        <v>51</v>
      </c>
      <c r="D32" s="4" t="n">
        <v>77</v>
      </c>
      <c r="E32" s="4" t="n">
        <v>0</v>
      </c>
      <c r="F32" s="4" t="n">
        <v>77</v>
      </c>
      <c r="G32" s="6" t="n">
        <f aca="false">IF(D32=0,0,F32/D32)</f>
        <v>1</v>
      </c>
    </row>
    <row r="33" customFormat="false" ht="15" hidden="false" customHeight="false" outlineLevel="0" collapsed="false">
      <c r="A33" s="4" t="n">
        <v>29</v>
      </c>
      <c r="B33" s="4" t="s">
        <v>60</v>
      </c>
      <c r="C33" s="4" t="s">
        <v>51</v>
      </c>
      <c r="D33" s="4" t="n">
        <v>183</v>
      </c>
      <c r="E33" s="4" t="n">
        <v>0</v>
      </c>
      <c r="F33" s="4" t="n">
        <v>183</v>
      </c>
      <c r="G33" s="6" t="n">
        <f aca="false">IF(D33=0,0,F33/D33)</f>
        <v>1</v>
      </c>
    </row>
    <row r="34" customFormat="false" ht="15" hidden="false" customHeight="false" outlineLevel="0" collapsed="false">
      <c r="A34" s="4" t="n">
        <v>30</v>
      </c>
      <c r="B34" s="4" t="s">
        <v>61</v>
      </c>
      <c r="C34" s="4" t="s">
        <v>51</v>
      </c>
      <c r="D34" s="4" t="n">
        <v>79</v>
      </c>
      <c r="E34" s="4" t="n">
        <v>0</v>
      </c>
      <c r="F34" s="4" t="n">
        <v>79</v>
      </c>
      <c r="G34" s="6" t="n">
        <f aca="false">IF(D34=0,0,F34/D34)</f>
        <v>1</v>
      </c>
    </row>
    <row r="35" customFormat="false" ht="15" hidden="false" customHeight="false" outlineLevel="0" collapsed="false">
      <c r="A35" s="4" t="n">
        <v>31</v>
      </c>
      <c r="B35" s="4" t="s">
        <v>62</v>
      </c>
      <c r="C35" s="4" t="s">
        <v>51</v>
      </c>
      <c r="D35" s="4" t="n">
        <v>79</v>
      </c>
      <c r="E35" s="4" t="n">
        <v>0</v>
      </c>
      <c r="F35" s="4" t="n">
        <v>79</v>
      </c>
      <c r="G35" s="6" t="n">
        <f aca="false">IF(D35=0,0,F35/D35)</f>
        <v>1</v>
      </c>
    </row>
    <row r="36" customFormat="false" ht="15" hidden="false" customHeight="false" outlineLevel="0" collapsed="false">
      <c r="A36" s="4" t="n">
        <v>32</v>
      </c>
      <c r="B36" s="4" t="s">
        <v>63</v>
      </c>
      <c r="C36" s="4" t="s">
        <v>51</v>
      </c>
      <c r="D36" s="4" t="n">
        <v>154</v>
      </c>
      <c r="E36" s="4" t="n">
        <v>0</v>
      </c>
      <c r="F36" s="4" t="n">
        <v>154</v>
      </c>
      <c r="G36" s="6" t="n">
        <f aca="false">IF(D36=0,0,F36/D36)</f>
        <v>1</v>
      </c>
    </row>
    <row r="37" customFormat="false" ht="15" hidden="false" customHeight="false" outlineLevel="0" collapsed="false">
      <c r="A37" s="4" t="n">
        <v>33</v>
      </c>
      <c r="B37" s="4" t="s">
        <v>64</v>
      </c>
      <c r="C37" s="4" t="s">
        <v>51</v>
      </c>
      <c r="D37" s="4" t="n">
        <v>150</v>
      </c>
      <c r="E37" s="4" t="n">
        <v>0</v>
      </c>
      <c r="F37" s="4" t="n">
        <v>150</v>
      </c>
      <c r="G37" s="6" t="n">
        <f aca="false">IF(D37=0,0,F37/D37)</f>
        <v>1</v>
      </c>
    </row>
    <row r="38" customFormat="false" ht="15" hidden="false" customHeight="false" outlineLevel="0" collapsed="false">
      <c r="A38" s="4" t="n">
        <v>34</v>
      </c>
      <c r="B38" s="4" t="s">
        <v>65</v>
      </c>
      <c r="C38" s="4" t="s">
        <v>51</v>
      </c>
      <c r="D38" s="4" t="n">
        <v>121</v>
      </c>
      <c r="E38" s="4" t="n">
        <v>0</v>
      </c>
      <c r="F38" s="4" t="n">
        <v>121</v>
      </c>
      <c r="G38" s="6" t="n">
        <f aca="false">IF(D38=0,0,F38/D38)</f>
        <v>1</v>
      </c>
    </row>
    <row r="39" customFormat="false" ht="15" hidden="false" customHeight="false" outlineLevel="0" collapsed="false">
      <c r="A39" s="4" t="n">
        <v>35</v>
      </c>
      <c r="B39" s="4" t="s">
        <v>66</v>
      </c>
      <c r="C39" s="4" t="s">
        <v>51</v>
      </c>
      <c r="D39" s="4" t="n">
        <v>95</v>
      </c>
      <c r="E39" s="4" t="n">
        <v>0</v>
      </c>
      <c r="F39" s="4" t="n">
        <v>95</v>
      </c>
      <c r="G39" s="6" t="n">
        <f aca="false">IF(D39=0,0,F39/D39)</f>
        <v>1</v>
      </c>
    </row>
    <row r="40" customFormat="false" ht="15" hidden="false" customHeight="false" outlineLevel="0" collapsed="false">
      <c r="A40" s="4" t="n">
        <v>36</v>
      </c>
      <c r="B40" s="4" t="s">
        <v>67</v>
      </c>
      <c r="C40" s="4" t="s">
        <v>51</v>
      </c>
      <c r="D40" s="4" t="n">
        <v>17</v>
      </c>
      <c r="E40" s="4" t="n">
        <v>0</v>
      </c>
      <c r="F40" s="4" t="n">
        <v>17</v>
      </c>
      <c r="G40" s="6" t="n">
        <f aca="false">IF(D40=0,0,F40/D40)</f>
        <v>1</v>
      </c>
    </row>
    <row r="41" customFormat="false" ht="15" hidden="false" customHeight="false" outlineLevel="0" collapsed="false">
      <c r="A41" s="4" t="n">
        <v>37</v>
      </c>
      <c r="B41" s="4" t="s">
        <v>68</v>
      </c>
      <c r="C41" s="4" t="s">
        <v>51</v>
      </c>
      <c r="D41" s="4" t="n">
        <v>77</v>
      </c>
      <c r="E41" s="4" t="n">
        <v>0</v>
      </c>
      <c r="F41" s="4" t="n">
        <v>77</v>
      </c>
      <c r="G41" s="6" t="n">
        <f aca="false">IF(D41=0,0,F41/D41)</f>
        <v>1</v>
      </c>
    </row>
    <row r="42" customFormat="false" ht="15" hidden="false" customHeight="false" outlineLevel="0" collapsed="false">
      <c r="A42" s="4" t="n">
        <v>38</v>
      </c>
      <c r="B42" s="4" t="s">
        <v>69</v>
      </c>
      <c r="C42" s="4" t="s">
        <v>51</v>
      </c>
      <c r="D42" s="4" t="n">
        <v>14</v>
      </c>
      <c r="E42" s="4" t="n">
        <v>0</v>
      </c>
      <c r="F42" s="4" t="n">
        <v>14</v>
      </c>
      <c r="G42" s="6" t="n">
        <f aca="false">IF(D42=0,0,F42/D42)</f>
        <v>1</v>
      </c>
    </row>
    <row r="43" customFormat="false" ht="15" hidden="false" customHeight="false" outlineLevel="0" collapsed="false">
      <c r="A43" s="4" t="n">
        <v>39</v>
      </c>
      <c r="B43" s="4" t="s">
        <v>70</v>
      </c>
      <c r="C43" s="4" t="s">
        <v>51</v>
      </c>
      <c r="D43" s="4" t="n">
        <v>77</v>
      </c>
      <c r="E43" s="4" t="n">
        <v>0</v>
      </c>
      <c r="F43" s="4" t="n">
        <v>77</v>
      </c>
      <c r="G43" s="6" t="n">
        <f aca="false">IF(D43=0,0,F43/D43)</f>
        <v>1</v>
      </c>
    </row>
    <row r="44" customFormat="false" ht="15" hidden="false" customHeight="false" outlineLevel="0" collapsed="false">
      <c r="A44" s="4" t="n">
        <v>40</v>
      </c>
      <c r="B44" s="4" t="s">
        <v>71</v>
      </c>
      <c r="C44" s="4" t="s">
        <v>51</v>
      </c>
      <c r="D44" s="4" t="n">
        <v>19</v>
      </c>
      <c r="E44" s="4" t="n">
        <v>0</v>
      </c>
      <c r="F44" s="4" t="n">
        <v>19</v>
      </c>
      <c r="G44" s="6" t="n">
        <f aca="false">IF(D44=0,0,F44/D44)</f>
        <v>1</v>
      </c>
    </row>
    <row r="45" customFormat="false" ht="15" hidden="false" customHeight="false" outlineLevel="0" collapsed="false">
      <c r="A45" s="4" t="n">
        <v>41</v>
      </c>
      <c r="B45" s="4" t="s">
        <v>72</v>
      </c>
      <c r="C45" s="4" t="s">
        <v>51</v>
      </c>
      <c r="D45" s="4" t="n">
        <v>82</v>
      </c>
      <c r="E45" s="4" t="n">
        <v>0</v>
      </c>
      <c r="F45" s="4" t="n">
        <v>82</v>
      </c>
      <c r="G45" s="6" t="n">
        <f aca="false">IF(D45=0,0,F45/D45)</f>
        <v>1</v>
      </c>
    </row>
    <row r="46" customFormat="false" ht="15" hidden="false" customHeight="false" outlineLevel="0" collapsed="false">
      <c r="A46" s="4" t="n">
        <v>42</v>
      </c>
      <c r="B46" s="4" t="s">
        <v>73</v>
      </c>
      <c r="C46" s="4" t="s">
        <v>51</v>
      </c>
      <c r="D46" s="4" t="n">
        <v>11</v>
      </c>
      <c r="E46" s="4" t="n">
        <v>5</v>
      </c>
      <c r="F46" s="4" t="n">
        <v>6</v>
      </c>
      <c r="G46" s="6" t="n">
        <f aca="false">IF(D46=0,0,F46/D46)</f>
        <v>0.545454545454545</v>
      </c>
    </row>
    <row r="47" customFormat="false" ht="15" hidden="false" customHeight="false" outlineLevel="0" collapsed="false">
      <c r="A47" s="4" t="n">
        <v>43</v>
      </c>
      <c r="B47" s="4" t="s">
        <v>74</v>
      </c>
      <c r="C47" s="4" t="s">
        <v>51</v>
      </c>
      <c r="D47" s="4" t="n">
        <v>83</v>
      </c>
      <c r="E47" s="4" t="n">
        <v>71</v>
      </c>
      <c r="F47" s="4" t="n">
        <v>12</v>
      </c>
      <c r="G47" s="6" t="n">
        <f aca="false">IF(D47=0,0,F47/D47)</f>
        <v>0.144578313253012</v>
      </c>
    </row>
    <row r="48" customFormat="false" ht="15" hidden="false" customHeight="false" outlineLevel="0" collapsed="false">
      <c r="A48" s="4" t="n">
        <v>44</v>
      </c>
      <c r="B48" s="4" t="s">
        <v>75</v>
      </c>
      <c r="C48" s="4" t="s">
        <v>51</v>
      </c>
      <c r="D48" s="4" t="n">
        <v>32</v>
      </c>
      <c r="E48" s="4" t="n">
        <v>0</v>
      </c>
      <c r="F48" s="4" t="n">
        <v>32</v>
      </c>
      <c r="G48" s="6" t="n">
        <f aca="false">IF(D48=0,0,F48/D48)</f>
        <v>1</v>
      </c>
    </row>
    <row r="49" customFormat="false" ht="15" hidden="false" customHeight="false" outlineLevel="0" collapsed="false">
      <c r="A49" s="4" t="n">
        <v>45</v>
      </c>
      <c r="B49" s="4" t="s">
        <v>76</v>
      </c>
      <c r="C49" s="4" t="s">
        <v>51</v>
      </c>
      <c r="D49" s="4" t="n">
        <v>13</v>
      </c>
      <c r="E49" s="4" t="n">
        <v>0</v>
      </c>
      <c r="F49" s="4" t="n">
        <v>13</v>
      </c>
      <c r="G49" s="6" t="n">
        <f aca="false">IF(D49=0,0,F49/D49)</f>
        <v>1</v>
      </c>
    </row>
    <row r="50" customFormat="false" ht="15" hidden="false" customHeight="false" outlineLevel="0" collapsed="false">
      <c r="A50" s="4" t="n">
        <v>46</v>
      </c>
      <c r="B50" s="4" t="s">
        <v>77</v>
      </c>
      <c r="C50" s="4" t="s">
        <v>42</v>
      </c>
      <c r="D50" s="4" t="n">
        <v>64</v>
      </c>
      <c r="E50" s="4" t="n">
        <v>0</v>
      </c>
      <c r="F50" s="4" t="n">
        <v>64</v>
      </c>
      <c r="G50" s="6" t="n">
        <f aca="false">IF(D50=0,0,F50/D50)</f>
        <v>1</v>
      </c>
    </row>
    <row r="51" customFormat="false" ht="15" hidden="false" customHeight="false" outlineLevel="0" collapsed="false">
      <c r="A51" s="4" t="n">
        <v>47</v>
      </c>
      <c r="B51" s="4" t="s">
        <v>78</v>
      </c>
      <c r="C51" s="4" t="s">
        <v>42</v>
      </c>
      <c r="D51" s="4" t="n">
        <v>45</v>
      </c>
      <c r="E51" s="4" t="n">
        <v>0</v>
      </c>
      <c r="F51" s="4" t="n">
        <v>45</v>
      </c>
      <c r="G51" s="6" t="n">
        <f aca="false">IF(D51=0,0,F51/D51)</f>
        <v>1</v>
      </c>
    </row>
    <row r="52" customFormat="false" ht="15" hidden="false" customHeight="false" outlineLevel="0" collapsed="false">
      <c r="A52" s="4" t="n">
        <v>48</v>
      </c>
      <c r="B52" s="4" t="s">
        <v>79</v>
      </c>
      <c r="C52" s="4" t="s">
        <v>42</v>
      </c>
      <c r="D52" s="4" t="n">
        <v>31</v>
      </c>
      <c r="E52" s="4" t="n">
        <v>0</v>
      </c>
      <c r="F52" s="4" t="n">
        <v>31</v>
      </c>
      <c r="G52" s="6" t="n">
        <f aca="false">IF(D52=0,0,F52/D52)</f>
        <v>1</v>
      </c>
    </row>
    <row r="53" customFormat="false" ht="15" hidden="false" customHeight="false" outlineLevel="0" collapsed="false">
      <c r="A53" s="4" t="n">
        <v>49</v>
      </c>
      <c r="B53" s="4" t="s">
        <v>80</v>
      </c>
      <c r="C53" s="4" t="s">
        <v>42</v>
      </c>
      <c r="D53" s="4" t="n">
        <v>24</v>
      </c>
      <c r="E53" s="4" t="n">
        <v>0</v>
      </c>
      <c r="F53" s="4" t="n">
        <v>24</v>
      </c>
      <c r="G53" s="6" t="n">
        <f aca="false">IF(D53=0,0,F53/D53)</f>
        <v>1</v>
      </c>
    </row>
    <row r="54" customFormat="false" ht="15" hidden="false" customHeight="false" outlineLevel="0" collapsed="false">
      <c r="A54" s="4" t="n">
        <v>50</v>
      </c>
      <c r="B54" s="4" t="s">
        <v>81</v>
      </c>
      <c r="C54" s="4" t="s">
        <v>42</v>
      </c>
      <c r="D54" s="4" t="n">
        <v>21</v>
      </c>
      <c r="E54" s="4" t="n">
        <v>0</v>
      </c>
      <c r="F54" s="4" t="n">
        <v>21</v>
      </c>
      <c r="G54" s="6" t="n">
        <f aca="false">IF(D54=0,0,F54/D54)</f>
        <v>1</v>
      </c>
    </row>
    <row r="55" customFormat="false" ht="15" hidden="false" customHeight="false" outlineLevel="0" collapsed="false">
      <c r="A55" s="4" t="n">
        <v>51</v>
      </c>
      <c r="B55" s="4" t="s">
        <v>82</v>
      </c>
      <c r="C55" s="4" t="s">
        <v>42</v>
      </c>
      <c r="D55" s="4" t="n">
        <v>22</v>
      </c>
      <c r="E55" s="4" t="n">
        <v>0</v>
      </c>
      <c r="F55" s="4" t="n">
        <v>22</v>
      </c>
      <c r="G55" s="6" t="n">
        <f aca="false">IF(D55=0,0,F55/D55)</f>
        <v>1</v>
      </c>
    </row>
    <row r="56" customFormat="false" ht="15" hidden="false" customHeight="false" outlineLevel="0" collapsed="false">
      <c r="A56" s="4" t="n">
        <v>52</v>
      </c>
      <c r="B56" s="4" t="s">
        <v>83</v>
      </c>
      <c r="C56" s="4" t="s">
        <v>51</v>
      </c>
      <c r="D56" s="4" t="n">
        <v>17</v>
      </c>
      <c r="E56" s="4" t="n">
        <v>0</v>
      </c>
      <c r="F56" s="4" t="n">
        <v>17</v>
      </c>
      <c r="G56" s="6" t="n">
        <f aca="false">IF(D56=0,0,F56/D56)</f>
        <v>1</v>
      </c>
    </row>
    <row r="57" customFormat="false" ht="15" hidden="false" customHeight="false" outlineLevel="0" collapsed="false">
      <c r="A57" s="4" t="n">
        <v>53</v>
      </c>
      <c r="B57" s="4" t="s">
        <v>84</v>
      </c>
      <c r="C57" s="4" t="s">
        <v>51</v>
      </c>
      <c r="D57" s="4" t="n">
        <v>15</v>
      </c>
      <c r="E57" s="4" t="n">
        <v>15</v>
      </c>
      <c r="F57" s="4" t="n">
        <v>0</v>
      </c>
      <c r="G57" s="6" t="n">
        <f aca="false">IF(D57=0,0,F57/D57)</f>
        <v>0</v>
      </c>
    </row>
    <row r="58" customFormat="false" ht="15" hidden="false" customHeight="false" outlineLevel="0" collapsed="false">
      <c r="A58" s="4" t="n">
        <v>54</v>
      </c>
      <c r="B58" s="4" t="s">
        <v>85</v>
      </c>
      <c r="C58" s="4" t="s">
        <v>51</v>
      </c>
      <c r="D58" s="4" t="n">
        <v>6</v>
      </c>
      <c r="E58" s="4" t="n">
        <v>0</v>
      </c>
      <c r="F58" s="4" t="n">
        <v>6</v>
      </c>
      <c r="G58" s="6" t="n">
        <f aca="false">IF(D58=0,0,F58/D58)</f>
        <v>1</v>
      </c>
    </row>
    <row r="59" customFormat="false" ht="15" hidden="false" customHeight="false" outlineLevel="0" collapsed="false">
      <c r="A59" s="4" t="n">
        <v>55</v>
      </c>
      <c r="B59" s="4" t="s">
        <v>86</v>
      </c>
      <c r="C59" s="4" t="s">
        <v>51</v>
      </c>
      <c r="D59" s="4" t="n">
        <v>12</v>
      </c>
      <c r="E59" s="4" t="n">
        <v>0</v>
      </c>
      <c r="F59" s="4" t="n">
        <v>12</v>
      </c>
      <c r="G59" s="6" t="n">
        <f aca="false">IF(D59=0,0,F59/D59)</f>
        <v>1</v>
      </c>
    </row>
    <row r="60" customFormat="false" ht="15" hidden="false" customHeight="false" outlineLevel="0" collapsed="false">
      <c r="A60" s="4" t="n">
        <v>56</v>
      </c>
      <c r="B60" s="4" t="s">
        <v>87</v>
      </c>
      <c r="C60" s="4" t="s">
        <v>51</v>
      </c>
      <c r="D60" s="4" t="n">
        <v>8</v>
      </c>
      <c r="E60" s="4" t="n">
        <v>0</v>
      </c>
      <c r="F60" s="4" t="n">
        <v>8</v>
      </c>
      <c r="G60" s="6" t="n">
        <f aca="false">IF(D60=0,0,F60/D60)</f>
        <v>1</v>
      </c>
    </row>
    <row r="61" customFormat="false" ht="15" hidden="false" customHeight="false" outlineLevel="0" collapsed="false">
      <c r="A61" s="4" t="n">
        <v>57</v>
      </c>
      <c r="B61" s="4" t="s">
        <v>88</v>
      </c>
      <c r="C61" s="4" t="s">
        <v>89</v>
      </c>
      <c r="D61" s="4" t="n">
        <v>9</v>
      </c>
      <c r="E61" s="4" t="n">
        <v>9</v>
      </c>
      <c r="F61" s="4" t="n">
        <v>0</v>
      </c>
      <c r="G61" s="6" t="n">
        <f aca="false">IF(D61=0,0,F61/D61)</f>
        <v>0</v>
      </c>
    </row>
    <row r="62" customFormat="false" ht="15" hidden="false" customHeight="false" outlineLevel="0" collapsed="false">
      <c r="A62" s="4" t="n">
        <v>58</v>
      </c>
      <c r="B62" s="4" t="s">
        <v>90</v>
      </c>
      <c r="C62" s="4" t="s">
        <v>89</v>
      </c>
      <c r="D62" s="4" t="n">
        <v>7</v>
      </c>
      <c r="E62" s="4" t="n">
        <v>7</v>
      </c>
      <c r="F62" s="4" t="n">
        <v>0</v>
      </c>
      <c r="G62" s="6" t="n">
        <f aca="false">IF(D62=0,0,F62/D62)</f>
        <v>0</v>
      </c>
    </row>
    <row r="63" customFormat="false" ht="15" hidden="false" customHeight="false" outlineLevel="0" collapsed="false">
      <c r="A63" s="4" t="n">
        <v>59</v>
      </c>
      <c r="B63" s="4" t="s">
        <v>91</v>
      </c>
      <c r="C63" s="4" t="s">
        <v>89</v>
      </c>
      <c r="D63" s="4" t="n">
        <v>8</v>
      </c>
      <c r="E63" s="4" t="n">
        <v>8</v>
      </c>
      <c r="F63" s="4" t="n">
        <v>0</v>
      </c>
      <c r="G63" s="6" t="n">
        <f aca="false">IF(D63=0,0,F63/D63)</f>
        <v>0</v>
      </c>
    </row>
    <row r="64" customFormat="false" ht="15" hidden="false" customHeight="false" outlineLevel="0" collapsed="false">
      <c r="A64" s="4" t="n">
        <v>60</v>
      </c>
      <c r="B64" s="4" t="s">
        <v>92</v>
      </c>
      <c r="C64" s="4" t="s">
        <v>89</v>
      </c>
      <c r="D64" s="4" t="n">
        <v>8</v>
      </c>
      <c r="E64" s="4" t="n">
        <v>0</v>
      </c>
      <c r="F64" s="4" t="n">
        <v>8</v>
      </c>
      <c r="G64" s="6" t="n">
        <f aca="false">IF(D64=0,0,F64/D64)</f>
        <v>1</v>
      </c>
    </row>
    <row r="65" customFormat="false" ht="15" hidden="false" customHeight="false" outlineLevel="0" collapsed="false">
      <c r="A65" s="4" t="n">
        <v>61</v>
      </c>
      <c r="B65" s="4" t="s">
        <v>93</v>
      </c>
      <c r="C65" s="4" t="s">
        <v>89</v>
      </c>
      <c r="D65" s="4" t="n">
        <v>6</v>
      </c>
      <c r="E65" s="4" t="n">
        <v>6</v>
      </c>
      <c r="F65" s="4" t="n">
        <v>0</v>
      </c>
      <c r="G65" s="6" t="n">
        <f aca="false">IF(D65=0,0,F65/D65)</f>
        <v>0</v>
      </c>
    </row>
    <row r="66" customFormat="false" ht="15" hidden="false" customHeight="false" outlineLevel="0" collapsed="false">
      <c r="A66" s="4" t="n">
        <v>62</v>
      </c>
      <c r="B66" s="4" t="s">
        <v>94</v>
      </c>
      <c r="C66" s="4" t="s">
        <v>89</v>
      </c>
      <c r="D66" s="4" t="n">
        <v>10</v>
      </c>
      <c r="E66" s="4" t="n">
        <v>0</v>
      </c>
      <c r="F66" s="4" t="n">
        <v>10</v>
      </c>
      <c r="G66" s="6" t="n">
        <f aca="false">IF(D66=0,0,F66/D66)</f>
        <v>1</v>
      </c>
    </row>
    <row r="67" customFormat="false" ht="15" hidden="false" customHeight="false" outlineLevel="0" collapsed="false">
      <c r="A67" s="4" t="n">
        <v>63</v>
      </c>
      <c r="B67" s="4" t="s">
        <v>95</v>
      </c>
      <c r="C67" s="4" t="s">
        <v>89</v>
      </c>
      <c r="D67" s="4" t="n">
        <v>16</v>
      </c>
      <c r="E67" s="4" t="n">
        <v>0</v>
      </c>
      <c r="F67" s="4" t="n">
        <v>16</v>
      </c>
      <c r="G67" s="6" t="n">
        <f aca="false">IF(D67=0,0,F67/D67)</f>
        <v>1</v>
      </c>
    </row>
    <row r="68" customFormat="false" ht="15" hidden="false" customHeight="false" outlineLevel="0" collapsed="false">
      <c r="A68" s="4" t="n">
        <v>64</v>
      </c>
      <c r="B68" s="4" t="s">
        <v>96</v>
      </c>
      <c r="C68" s="4" t="s">
        <v>89</v>
      </c>
      <c r="D68" s="4" t="n">
        <v>6</v>
      </c>
      <c r="E68" s="4" t="n">
        <v>0</v>
      </c>
      <c r="F68" s="4" t="n">
        <v>6</v>
      </c>
      <c r="G68" s="6" t="n">
        <f aca="false">IF(D68=0,0,F68/D68)</f>
        <v>1</v>
      </c>
    </row>
    <row r="69" customFormat="false" ht="15" hidden="false" customHeight="false" outlineLevel="0" collapsed="false">
      <c r="A69" s="4" t="n">
        <v>65</v>
      </c>
      <c r="B69" s="4" t="s">
        <v>97</v>
      </c>
      <c r="C69" s="4" t="s">
        <v>89</v>
      </c>
      <c r="D69" s="4" t="n">
        <v>8</v>
      </c>
      <c r="E69" s="4" t="n">
        <v>0</v>
      </c>
      <c r="F69" s="4" t="n">
        <v>8</v>
      </c>
      <c r="G69" s="6" t="n">
        <f aca="false">IF(D69=0,0,F69/D69)</f>
        <v>1</v>
      </c>
    </row>
    <row r="70" customFormat="false" ht="15" hidden="false" customHeight="false" outlineLevel="0" collapsed="false">
      <c r="B70" s="7" t="s">
        <v>98</v>
      </c>
      <c r="D70" s="7" t="n">
        <f aca="false">SUM(D5:D69)</f>
        <v>2325</v>
      </c>
      <c r="E70" s="7" t="n">
        <f aca="false">SUM(E5:E69)</f>
        <v>278</v>
      </c>
      <c r="F70" s="7" t="n">
        <f aca="false">SUM(F5:F69)</f>
        <v>2047</v>
      </c>
    </row>
  </sheetData>
  <autoFilter ref="A4:G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9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5.05" hidden="false" customHeight="false" outlineLevel="0" collapsed="false">
      <c r="A4" s="5" t="s">
        <v>22</v>
      </c>
      <c r="B4" s="5" t="s">
        <v>101</v>
      </c>
      <c r="C4" s="5" t="s">
        <v>102</v>
      </c>
      <c r="D4" s="5" t="s">
        <v>24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25</v>
      </c>
      <c r="J4" s="5" t="s">
        <v>107</v>
      </c>
    </row>
    <row r="5" customFormat="false" ht="15" hidden="false" customHeight="false" outlineLevel="0" collapsed="false">
      <c r="A5" s="4" t="n">
        <v>1</v>
      </c>
      <c r="B5" s="8" t="s">
        <v>29</v>
      </c>
      <c r="C5" s="4" t="s">
        <v>108</v>
      </c>
      <c r="D5" s="4" t="s">
        <v>30</v>
      </c>
      <c r="E5" s="4" t="s">
        <v>109</v>
      </c>
      <c r="F5" s="4" t="s">
        <v>110</v>
      </c>
      <c r="G5" s="4" t="n">
        <v>20</v>
      </c>
      <c r="H5" s="4" t="n">
        <v>12</v>
      </c>
      <c r="I5" s="4" t="n">
        <f aca="false">COUNTA(opgave!$A$2:$A$2000)</f>
        <v>10</v>
      </c>
      <c r="J5" s="4" t="s">
        <v>111</v>
      </c>
    </row>
    <row r="6" customFormat="false" ht="15" hidden="false" customHeight="false" outlineLevel="0" collapsed="false">
      <c r="A6" s="4" t="n">
        <v>2</v>
      </c>
      <c r="B6" s="8" t="s">
        <v>31</v>
      </c>
      <c r="C6" s="4" t="s">
        <v>112</v>
      </c>
      <c r="D6" s="4" t="s">
        <v>30</v>
      </c>
      <c r="E6" s="4" t="s">
        <v>113</v>
      </c>
      <c r="F6" s="4" t="s">
        <v>114</v>
      </c>
      <c r="G6" s="4" t="n">
        <v>14</v>
      </c>
      <c r="H6" s="4" t="n">
        <v>11</v>
      </c>
      <c r="I6" s="4" t="n">
        <f aca="false">COUNTA(procesniveau!$A$2:$A$2000)</f>
        <v>4</v>
      </c>
      <c r="J6" s="4" t="s">
        <v>115</v>
      </c>
    </row>
    <row r="7" customFormat="false" ht="15" hidden="false" customHeight="false" outlineLevel="0" collapsed="false">
      <c r="A7" s="4" t="n">
        <v>3</v>
      </c>
      <c r="B7" s="8" t="s">
        <v>32</v>
      </c>
      <c r="C7" s="4" t="s">
        <v>116</v>
      </c>
      <c r="D7" s="4" t="s">
        <v>30</v>
      </c>
      <c r="E7" s="4" t="s">
        <v>109</v>
      </c>
      <c r="F7" s="4" t="s">
        <v>114</v>
      </c>
      <c r="G7" s="4" t="n">
        <v>21</v>
      </c>
      <c r="H7" s="4" t="n">
        <v>14</v>
      </c>
      <c r="I7" s="4" t="n">
        <f aca="false">COUNTA(procesfase!$A$2:$A$2000)</f>
        <v>12</v>
      </c>
      <c r="J7" s="4" t="s">
        <v>117</v>
      </c>
    </row>
    <row r="8" customFormat="false" ht="15" hidden="false" customHeight="false" outlineLevel="0" collapsed="false">
      <c r="A8" s="4" t="n">
        <v>4</v>
      </c>
      <c r="B8" s="8" t="s">
        <v>33</v>
      </c>
      <c r="C8" s="4" t="s">
        <v>118</v>
      </c>
      <c r="D8" s="4" t="s">
        <v>30</v>
      </c>
      <c r="E8" s="4" t="s">
        <v>119</v>
      </c>
      <c r="F8" s="4" t="s">
        <v>120</v>
      </c>
      <c r="G8" s="4" t="n">
        <v>16</v>
      </c>
      <c r="H8" s="4" t="n">
        <v>11</v>
      </c>
      <c r="I8" s="4" t="n">
        <f aca="false">COUNTA(procesfase_relatie!$A$2:$A$2000)</f>
        <v>16</v>
      </c>
      <c r="J8" s="4" t="s">
        <v>121</v>
      </c>
    </row>
    <row r="9" customFormat="false" ht="15" hidden="false" customHeight="false" outlineLevel="0" collapsed="false">
      <c r="A9" s="4" t="n">
        <v>5</v>
      </c>
      <c r="B9" s="8" t="s">
        <v>34</v>
      </c>
      <c r="C9" s="4" t="s">
        <v>122</v>
      </c>
      <c r="D9" s="4" t="s">
        <v>30</v>
      </c>
      <c r="E9" s="4" t="s">
        <v>109</v>
      </c>
      <c r="F9" s="4" t="s">
        <v>114</v>
      </c>
      <c r="G9" s="4" t="n">
        <v>27</v>
      </c>
      <c r="H9" s="4" t="n">
        <v>18</v>
      </c>
      <c r="I9" s="4" t="n">
        <f aca="false">COUNTA(beslismoment!$A$2:$A$2000)</f>
        <v>16</v>
      </c>
      <c r="J9" s="4" t="s">
        <v>123</v>
      </c>
    </row>
    <row r="10" customFormat="false" ht="15" hidden="false" customHeight="false" outlineLevel="0" collapsed="false">
      <c r="A10" s="4" t="n">
        <v>6</v>
      </c>
      <c r="B10" s="8" t="s">
        <v>35</v>
      </c>
      <c r="C10" s="4" t="s">
        <v>124</v>
      </c>
      <c r="D10" s="4" t="s">
        <v>30</v>
      </c>
      <c r="E10" s="4" t="s">
        <v>113</v>
      </c>
      <c r="F10" s="4" t="s">
        <v>120</v>
      </c>
      <c r="G10" s="4" t="n">
        <v>14</v>
      </c>
      <c r="H10" s="4" t="n">
        <v>10</v>
      </c>
      <c r="I10" s="4" t="n">
        <f aca="false">COUNTA(besluittype!$A$2:$A$2000)</f>
        <v>14</v>
      </c>
      <c r="J10" s="4" t="s">
        <v>125</v>
      </c>
    </row>
    <row r="11" customFormat="false" ht="15" hidden="false" customHeight="false" outlineLevel="0" collapsed="false">
      <c r="A11" s="4" t="n">
        <v>7</v>
      </c>
      <c r="B11" s="8" t="s">
        <v>36</v>
      </c>
      <c r="C11" s="4" t="s">
        <v>126</v>
      </c>
      <c r="D11" s="4" t="s">
        <v>30</v>
      </c>
      <c r="E11" s="4" t="s">
        <v>109</v>
      </c>
      <c r="F11" s="4" t="s">
        <v>114</v>
      </c>
      <c r="G11" s="4" t="n">
        <v>21</v>
      </c>
      <c r="H11" s="4" t="n">
        <v>16</v>
      </c>
      <c r="I11" s="4" t="n">
        <f aca="false">COUNTA(rol!$A$2:$A$2000)</f>
        <v>22</v>
      </c>
      <c r="J11" s="4" t="s">
        <v>127</v>
      </c>
    </row>
    <row r="12" customFormat="false" ht="15" hidden="false" customHeight="false" outlineLevel="0" collapsed="false">
      <c r="A12" s="4" t="n">
        <v>8</v>
      </c>
      <c r="B12" s="8" t="s">
        <v>37</v>
      </c>
      <c r="C12" s="4" t="s">
        <v>128</v>
      </c>
      <c r="D12" s="4" t="s">
        <v>30</v>
      </c>
      <c r="E12" s="4" t="s">
        <v>113</v>
      </c>
      <c r="F12" s="4" t="s">
        <v>120</v>
      </c>
      <c r="G12" s="4" t="n">
        <v>14</v>
      </c>
      <c r="H12" s="4" t="n">
        <v>10</v>
      </c>
      <c r="I12" s="4" t="n">
        <f aca="false">COUNTA(rolcluster!$A$2:$A$2000)</f>
        <v>9</v>
      </c>
      <c r="J12" s="4" t="s">
        <v>129</v>
      </c>
    </row>
    <row r="13" customFormat="false" ht="15" hidden="false" customHeight="false" outlineLevel="0" collapsed="false">
      <c r="A13" s="4" t="n">
        <v>9</v>
      </c>
      <c r="B13" s="8" t="s">
        <v>38</v>
      </c>
      <c r="C13" s="4" t="s">
        <v>130</v>
      </c>
      <c r="D13" s="4" t="s">
        <v>30</v>
      </c>
      <c r="E13" s="4" t="s">
        <v>109</v>
      </c>
      <c r="F13" s="4" t="s">
        <v>120</v>
      </c>
      <c r="G13" s="4" t="n">
        <v>15</v>
      </c>
      <c r="H13" s="4" t="n">
        <v>10</v>
      </c>
      <c r="I13" s="4" t="n">
        <f aca="false">COUNTA(functie_alias!$A$2:$A$2000)</f>
        <v>18</v>
      </c>
      <c r="J13" s="4" t="s">
        <v>131</v>
      </c>
    </row>
    <row r="14" customFormat="false" ht="15" hidden="false" customHeight="false" outlineLevel="0" collapsed="false">
      <c r="A14" s="4" t="n">
        <v>10</v>
      </c>
      <c r="B14" s="8" t="s">
        <v>39</v>
      </c>
      <c r="C14" s="4" t="s">
        <v>132</v>
      </c>
      <c r="D14" s="4" t="s">
        <v>30</v>
      </c>
      <c r="E14" s="4" t="s">
        <v>113</v>
      </c>
      <c r="F14" s="4" t="s">
        <v>114</v>
      </c>
      <c r="G14" s="4" t="n">
        <v>15</v>
      </c>
      <c r="H14" s="4" t="n">
        <v>11</v>
      </c>
      <c r="I14" s="4" t="n">
        <f aca="false">COUNTA(eigenaartype!$A$2:$A$2000)</f>
        <v>10</v>
      </c>
      <c r="J14" s="4" t="s">
        <v>133</v>
      </c>
    </row>
    <row r="15" customFormat="false" ht="15" hidden="false" customHeight="false" outlineLevel="0" collapsed="false">
      <c r="A15" s="4" t="n">
        <v>11</v>
      </c>
      <c r="B15" s="8" t="s">
        <v>40</v>
      </c>
      <c r="C15" s="4" t="s">
        <v>134</v>
      </c>
      <c r="D15" s="4" t="s">
        <v>30</v>
      </c>
      <c r="E15" s="4" t="s">
        <v>113</v>
      </c>
      <c r="F15" s="4" t="s">
        <v>114</v>
      </c>
      <c r="G15" s="4" t="n">
        <v>15</v>
      </c>
      <c r="H15" s="4" t="n">
        <v>10</v>
      </c>
      <c r="I15" s="4" t="n">
        <f aca="false">COUNTA(objecttype!$A$2:$A$2000)</f>
        <v>21</v>
      </c>
      <c r="J15" s="4" t="s">
        <v>135</v>
      </c>
    </row>
    <row r="16" customFormat="false" ht="15" hidden="false" customHeight="false" outlineLevel="0" collapsed="false">
      <c r="A16" s="4" t="n">
        <v>12</v>
      </c>
      <c r="B16" s="8" t="s">
        <v>41</v>
      </c>
      <c r="C16" s="4" t="s">
        <v>136</v>
      </c>
      <c r="D16" s="4" t="s">
        <v>42</v>
      </c>
      <c r="E16" s="4" t="s">
        <v>109</v>
      </c>
      <c r="F16" s="4" t="s">
        <v>114</v>
      </c>
      <c r="G16" s="4" t="n">
        <v>17</v>
      </c>
      <c r="H16" s="4" t="n">
        <v>12</v>
      </c>
      <c r="I16" s="4" t="n">
        <f aca="false">COUNTA(financiele_vraag!$A$2:$A$2000)</f>
        <v>12</v>
      </c>
      <c r="J16" s="4" t="s">
        <v>137</v>
      </c>
    </row>
    <row r="17" customFormat="false" ht="15" hidden="false" customHeight="false" outlineLevel="0" collapsed="false">
      <c r="A17" s="4" t="n">
        <v>13</v>
      </c>
      <c r="B17" s="8" t="s">
        <v>43</v>
      </c>
      <c r="C17" s="4" t="s">
        <v>138</v>
      </c>
      <c r="D17" s="4" t="s">
        <v>42</v>
      </c>
      <c r="E17" s="4" t="s">
        <v>113</v>
      </c>
      <c r="F17" s="4" t="s">
        <v>114</v>
      </c>
      <c r="G17" s="4" t="n">
        <v>15</v>
      </c>
      <c r="H17" s="4" t="n">
        <v>10</v>
      </c>
      <c r="I17" s="4" t="n">
        <f aca="false">COUNTA(financieel_thema!$A$2:$A$2000)</f>
        <v>19</v>
      </c>
      <c r="J17" s="4" t="s">
        <v>139</v>
      </c>
    </row>
    <row r="18" customFormat="false" ht="15" hidden="false" customHeight="false" outlineLevel="0" collapsed="false">
      <c r="A18" s="4" t="n">
        <v>14</v>
      </c>
      <c r="B18" s="8" t="s">
        <v>44</v>
      </c>
      <c r="C18" s="4" t="s">
        <v>140</v>
      </c>
      <c r="D18" s="4" t="s">
        <v>42</v>
      </c>
      <c r="E18" s="4" t="s">
        <v>109</v>
      </c>
      <c r="F18" s="4" t="s">
        <v>110</v>
      </c>
      <c r="G18" s="4" t="n">
        <v>21</v>
      </c>
      <c r="H18" s="4" t="n">
        <v>13</v>
      </c>
      <c r="I18" s="4" t="n">
        <f aca="false">COUNTA(informatiebehoefte!$A$2:$A$2000)</f>
        <v>15</v>
      </c>
      <c r="J18" s="4" t="s">
        <v>141</v>
      </c>
    </row>
    <row r="19" customFormat="false" ht="15" hidden="false" customHeight="false" outlineLevel="0" collapsed="false">
      <c r="A19" s="4" t="n">
        <v>15</v>
      </c>
      <c r="B19" s="8" t="s">
        <v>45</v>
      </c>
      <c r="C19" s="4" t="s">
        <v>142</v>
      </c>
      <c r="D19" s="4" t="s">
        <v>42</v>
      </c>
      <c r="E19" s="4" t="s">
        <v>113</v>
      </c>
      <c r="F19" s="4" t="s">
        <v>120</v>
      </c>
      <c r="G19" s="4" t="n">
        <v>14</v>
      </c>
      <c r="H19" s="4" t="n">
        <v>10</v>
      </c>
      <c r="I19" s="4" t="n">
        <f aca="false">COUNTA(informatietype!$A$2:$A$2000)</f>
        <v>18</v>
      </c>
      <c r="J19" s="4" t="s">
        <v>143</v>
      </c>
    </row>
    <row r="20" customFormat="false" ht="15" hidden="false" customHeight="false" outlineLevel="0" collapsed="false">
      <c r="A20" s="4" t="n">
        <v>16</v>
      </c>
      <c r="B20" s="8" t="s">
        <v>46</v>
      </c>
      <c r="C20" s="4" t="s">
        <v>144</v>
      </c>
      <c r="D20" s="4" t="s">
        <v>42</v>
      </c>
      <c r="E20" s="4" t="s">
        <v>109</v>
      </c>
      <c r="F20" s="4" t="s">
        <v>110</v>
      </c>
      <c r="G20" s="4" t="n">
        <v>16</v>
      </c>
      <c r="H20" s="4" t="n">
        <v>11</v>
      </c>
      <c r="I20" s="4" t="n">
        <f aca="false">COUNTA(beslisproduct!$A$2:$A$2000)</f>
        <v>15</v>
      </c>
      <c r="J20" s="4" t="s">
        <v>145</v>
      </c>
    </row>
    <row r="21" customFormat="false" ht="15" hidden="false" customHeight="false" outlineLevel="0" collapsed="false">
      <c r="A21" s="4" t="n">
        <v>17</v>
      </c>
      <c r="B21" s="8" t="s">
        <v>47</v>
      </c>
      <c r="C21" s="4" t="s">
        <v>146</v>
      </c>
      <c r="D21" s="4" t="s">
        <v>42</v>
      </c>
      <c r="E21" s="4" t="s">
        <v>109</v>
      </c>
      <c r="F21" s="4" t="s">
        <v>110</v>
      </c>
      <c r="G21" s="4" t="n">
        <v>18</v>
      </c>
      <c r="H21" s="4" t="n">
        <v>12</v>
      </c>
      <c r="I21" s="4" t="n">
        <f aca="false">COUNTA(handelingsperspectief!$A$2:$A$2000)</f>
        <v>10</v>
      </c>
      <c r="J21" s="4" t="s">
        <v>147</v>
      </c>
    </row>
    <row r="22" customFormat="false" ht="15" hidden="false" customHeight="false" outlineLevel="0" collapsed="false">
      <c r="A22" s="4" t="n">
        <v>18</v>
      </c>
      <c r="B22" s="8" t="s">
        <v>48</v>
      </c>
      <c r="C22" s="4" t="s">
        <v>148</v>
      </c>
      <c r="D22" s="4" t="s">
        <v>42</v>
      </c>
      <c r="E22" s="4" t="s">
        <v>109</v>
      </c>
      <c r="F22" s="4" t="s">
        <v>120</v>
      </c>
      <c r="G22" s="4" t="n">
        <v>18</v>
      </c>
      <c r="H22" s="4" t="n">
        <v>13</v>
      </c>
      <c r="I22" s="4" t="n">
        <f aca="false">COUNTA(knelpunt!$A$2:$A$2000)</f>
        <v>8</v>
      </c>
      <c r="J22" s="4" t="s">
        <v>149</v>
      </c>
    </row>
    <row r="23" customFormat="false" ht="15" hidden="false" customHeight="false" outlineLevel="0" collapsed="false">
      <c r="A23" s="4" t="n">
        <v>19</v>
      </c>
      <c r="B23" s="8" t="s">
        <v>49</v>
      </c>
      <c r="C23" s="4" t="s">
        <v>150</v>
      </c>
      <c r="D23" s="4" t="s">
        <v>42</v>
      </c>
      <c r="E23" s="4" t="s">
        <v>109</v>
      </c>
      <c r="F23" s="4" t="s">
        <v>110</v>
      </c>
      <c r="G23" s="4" t="n">
        <v>20</v>
      </c>
      <c r="H23" s="4" t="n">
        <v>12</v>
      </c>
      <c r="I23" s="4" t="n">
        <f aca="false">COUNTA(informatieoverdracht!$A$2:$A$2000)</f>
        <v>11</v>
      </c>
      <c r="J23" s="4" t="s">
        <v>151</v>
      </c>
    </row>
    <row r="24" customFormat="false" ht="15" hidden="false" customHeight="false" outlineLevel="0" collapsed="false">
      <c r="A24" s="4" t="n">
        <v>20</v>
      </c>
      <c r="B24" s="8" t="s">
        <v>50</v>
      </c>
      <c r="C24" s="4" t="s">
        <v>152</v>
      </c>
      <c r="D24" s="4" t="s">
        <v>51</v>
      </c>
      <c r="E24" s="4" t="s">
        <v>109</v>
      </c>
      <c r="F24" s="4" t="s">
        <v>114</v>
      </c>
      <c r="G24" s="4" t="n">
        <v>32</v>
      </c>
      <c r="H24" s="4" t="n">
        <v>18</v>
      </c>
      <c r="I24" s="4" t="n">
        <f aca="false">COUNTA(instrument!$A$2:$A$2000)</f>
        <v>77</v>
      </c>
      <c r="J24" s="4" t="s">
        <v>153</v>
      </c>
    </row>
    <row r="25" customFormat="false" ht="15" hidden="false" customHeight="false" outlineLevel="0" collapsed="false">
      <c r="A25" s="4" t="n">
        <v>21</v>
      </c>
      <c r="B25" s="8" t="s">
        <v>52</v>
      </c>
      <c r="C25" s="4" t="s">
        <v>154</v>
      </c>
      <c r="D25" s="4" t="s">
        <v>51</v>
      </c>
      <c r="E25" s="4" t="s">
        <v>113</v>
      </c>
      <c r="F25" s="4" t="s">
        <v>114</v>
      </c>
      <c r="G25" s="4" t="n">
        <v>15</v>
      </c>
      <c r="H25" s="4" t="n">
        <v>11</v>
      </c>
      <c r="I25" s="4" t="n">
        <f aca="false">COUNTA(instrumenttype!$A$2:$A$2000)</f>
        <v>30</v>
      </c>
      <c r="J25" s="4" t="s">
        <v>155</v>
      </c>
    </row>
    <row r="26" customFormat="false" ht="15" hidden="false" customHeight="false" outlineLevel="0" collapsed="false">
      <c r="A26" s="4" t="n">
        <v>22</v>
      </c>
      <c r="B26" s="8" t="s">
        <v>53</v>
      </c>
      <c r="C26" s="4" t="s">
        <v>156</v>
      </c>
      <c r="D26" s="4" t="s">
        <v>51</v>
      </c>
      <c r="E26" s="4" t="s">
        <v>113</v>
      </c>
      <c r="F26" s="4" t="s">
        <v>120</v>
      </c>
      <c r="G26" s="4" t="n">
        <v>13</v>
      </c>
      <c r="H26" s="4" t="n">
        <v>9</v>
      </c>
      <c r="I26" s="4" t="n">
        <f aca="false">COUNTA(digitale_vorm!$A$2:$A$2000)</f>
        <v>14</v>
      </c>
      <c r="J26" s="4" t="s">
        <v>157</v>
      </c>
    </row>
    <row r="27" customFormat="false" ht="15" hidden="false" customHeight="false" outlineLevel="0" collapsed="false">
      <c r="A27" s="4" t="n">
        <v>23</v>
      </c>
      <c r="B27" s="8" t="s">
        <v>54</v>
      </c>
      <c r="C27" s="4" t="s">
        <v>158</v>
      </c>
      <c r="D27" s="4" t="s">
        <v>51</v>
      </c>
      <c r="E27" s="4" t="s">
        <v>109</v>
      </c>
      <c r="F27" s="4" t="s">
        <v>114</v>
      </c>
      <c r="G27" s="4" t="n">
        <v>18</v>
      </c>
      <c r="H27" s="4" t="n">
        <v>9</v>
      </c>
      <c r="I27" s="4" t="n">
        <f aca="false">COUNTA(organisatie!$A$2:$A$2000)</f>
        <v>56</v>
      </c>
      <c r="J27" s="4" t="s">
        <v>159</v>
      </c>
    </row>
    <row r="28" customFormat="false" ht="15" hidden="false" customHeight="false" outlineLevel="0" collapsed="false">
      <c r="A28" s="4" t="n">
        <v>24</v>
      </c>
      <c r="B28" s="8" t="s">
        <v>55</v>
      </c>
      <c r="C28" s="4" t="s">
        <v>160</v>
      </c>
      <c r="D28" s="4" t="s">
        <v>51</v>
      </c>
      <c r="E28" s="4" t="s">
        <v>113</v>
      </c>
      <c r="F28" s="4" t="s">
        <v>120</v>
      </c>
      <c r="G28" s="4" t="n">
        <v>14</v>
      </c>
      <c r="H28" s="4" t="n">
        <v>10</v>
      </c>
      <c r="I28" s="4" t="n">
        <f aca="false">COUNTA(organisatietype!$A$2:$A$2000)</f>
        <v>15</v>
      </c>
      <c r="J28" s="4" t="s">
        <v>161</v>
      </c>
    </row>
    <row r="29" customFormat="false" ht="15" hidden="false" customHeight="false" outlineLevel="0" collapsed="false">
      <c r="A29" s="4" t="n">
        <v>25</v>
      </c>
      <c r="B29" s="8" t="s">
        <v>56</v>
      </c>
      <c r="C29" s="4" t="s">
        <v>162</v>
      </c>
      <c r="D29" s="4" t="s">
        <v>51</v>
      </c>
      <c r="E29" s="4" t="s">
        <v>119</v>
      </c>
      <c r="F29" s="4" t="s">
        <v>120</v>
      </c>
      <c r="G29" s="4" t="n">
        <v>16</v>
      </c>
      <c r="H29" s="4" t="n">
        <v>10</v>
      </c>
      <c r="I29" s="4" t="n">
        <f aca="false">COUNTA(instrument_organisatie!$A$2:$A$2000)</f>
        <v>77</v>
      </c>
      <c r="J29" s="4" t="s">
        <v>163</v>
      </c>
    </row>
    <row r="30" customFormat="false" ht="15" hidden="false" customHeight="false" outlineLevel="0" collapsed="false">
      <c r="A30" s="4" t="n">
        <v>26</v>
      </c>
      <c r="B30" s="8" t="s">
        <v>57</v>
      </c>
      <c r="C30" s="4" t="s">
        <v>164</v>
      </c>
      <c r="D30" s="4" t="s">
        <v>51</v>
      </c>
      <c r="E30" s="4" t="s">
        <v>109</v>
      </c>
      <c r="F30" s="4" t="s">
        <v>114</v>
      </c>
      <c r="G30" s="4" t="n">
        <v>24</v>
      </c>
      <c r="H30" s="4" t="n">
        <v>13</v>
      </c>
      <c r="I30" s="4" t="n">
        <f aca="false">COUNTA(bron!$A$2:$A$2000)</f>
        <v>76</v>
      </c>
      <c r="J30" s="4" t="s">
        <v>165</v>
      </c>
    </row>
    <row r="31" customFormat="false" ht="15" hidden="false" customHeight="false" outlineLevel="0" collapsed="false">
      <c r="A31" s="4" t="n">
        <v>27</v>
      </c>
      <c r="B31" s="8" t="s">
        <v>58</v>
      </c>
      <c r="C31" s="4" t="s">
        <v>166</v>
      </c>
      <c r="D31" s="4" t="s">
        <v>51</v>
      </c>
      <c r="E31" s="4" t="s">
        <v>113</v>
      </c>
      <c r="F31" s="4" t="s">
        <v>120</v>
      </c>
      <c r="G31" s="4" t="n">
        <v>14</v>
      </c>
      <c r="H31" s="4" t="n">
        <v>10</v>
      </c>
      <c r="I31" s="4" t="n">
        <f aca="false">COUNTA(brontype!$A$2:$A$2000)</f>
        <v>14</v>
      </c>
      <c r="J31" s="4" t="s">
        <v>167</v>
      </c>
    </row>
    <row r="32" customFormat="false" ht="15" hidden="false" customHeight="false" outlineLevel="0" collapsed="false">
      <c r="A32" s="4" t="n">
        <v>28</v>
      </c>
      <c r="B32" s="8" t="s">
        <v>59</v>
      </c>
      <c r="C32" s="4" t="s">
        <v>168</v>
      </c>
      <c r="D32" s="4" t="s">
        <v>51</v>
      </c>
      <c r="E32" s="4" t="s">
        <v>119</v>
      </c>
      <c r="F32" s="4" t="s">
        <v>114</v>
      </c>
      <c r="G32" s="4" t="n">
        <v>15</v>
      </c>
      <c r="H32" s="4" t="n">
        <v>11</v>
      </c>
      <c r="I32" s="4" t="n">
        <f aca="false">COUNTA(instrument_bron!$A$2:$A$2000)</f>
        <v>77</v>
      </c>
      <c r="J32" s="4" t="s">
        <v>169</v>
      </c>
    </row>
    <row r="33" customFormat="false" ht="15" hidden="false" customHeight="false" outlineLevel="0" collapsed="false">
      <c r="A33" s="4" t="n">
        <v>29</v>
      </c>
      <c r="B33" s="8" t="s">
        <v>60</v>
      </c>
      <c r="C33" s="4" t="s">
        <v>170</v>
      </c>
      <c r="D33" s="4" t="s">
        <v>51</v>
      </c>
      <c r="E33" s="4" t="s">
        <v>119</v>
      </c>
      <c r="F33" s="4" t="s">
        <v>114</v>
      </c>
      <c r="G33" s="4" t="n">
        <v>16</v>
      </c>
      <c r="H33" s="4" t="n">
        <v>11</v>
      </c>
      <c r="I33" s="4" t="n">
        <f aca="false">COUNTA(instrument_rol!$A$2:$A$2000)</f>
        <v>183</v>
      </c>
      <c r="J33" s="4" t="s">
        <v>171</v>
      </c>
    </row>
    <row r="34" customFormat="false" ht="15" hidden="false" customHeight="false" outlineLevel="0" collapsed="false">
      <c r="A34" s="4" t="n">
        <v>30</v>
      </c>
      <c r="B34" s="8" t="s">
        <v>61</v>
      </c>
      <c r="C34" s="4" t="s">
        <v>172</v>
      </c>
      <c r="D34" s="4" t="s">
        <v>51</v>
      </c>
      <c r="E34" s="4" t="s">
        <v>119</v>
      </c>
      <c r="F34" s="4" t="s">
        <v>114</v>
      </c>
      <c r="G34" s="4" t="n">
        <v>15</v>
      </c>
      <c r="H34" s="4" t="n">
        <v>11</v>
      </c>
      <c r="I34" s="4" t="n">
        <f aca="false">COUNTA(instrument_procesfase!$A$2:$A$2000)</f>
        <v>79</v>
      </c>
      <c r="J34" s="4" t="s">
        <v>173</v>
      </c>
    </row>
    <row r="35" customFormat="false" ht="15" hidden="false" customHeight="false" outlineLevel="0" collapsed="false">
      <c r="A35" s="4" t="n">
        <v>31</v>
      </c>
      <c r="B35" s="8" t="s">
        <v>62</v>
      </c>
      <c r="C35" s="4" t="s">
        <v>174</v>
      </c>
      <c r="D35" s="4" t="s">
        <v>51</v>
      </c>
      <c r="E35" s="4" t="s">
        <v>119</v>
      </c>
      <c r="F35" s="4" t="s">
        <v>114</v>
      </c>
      <c r="G35" s="4" t="n">
        <v>17</v>
      </c>
      <c r="H35" s="4" t="n">
        <v>13</v>
      </c>
      <c r="I35" s="4" t="n">
        <f aca="false">COUNTA(instrument_beslismoment!$A$2:$A$2000)</f>
        <v>79</v>
      </c>
      <c r="J35" s="4" t="s">
        <v>175</v>
      </c>
    </row>
    <row r="36" customFormat="false" ht="15" hidden="false" customHeight="false" outlineLevel="0" collapsed="false">
      <c r="A36" s="4" t="n">
        <v>32</v>
      </c>
      <c r="B36" s="8" t="s">
        <v>63</v>
      </c>
      <c r="C36" s="4" t="s">
        <v>176</v>
      </c>
      <c r="D36" s="4" t="s">
        <v>51</v>
      </c>
      <c r="E36" s="4" t="s">
        <v>119</v>
      </c>
      <c r="F36" s="4" t="s">
        <v>120</v>
      </c>
      <c r="G36" s="4" t="n">
        <v>14</v>
      </c>
      <c r="H36" s="4" t="n">
        <v>10</v>
      </c>
      <c r="I36" s="4" t="n">
        <f aca="false">COUNTA(instrument_opgave!$A$2:$A$2000)</f>
        <v>154</v>
      </c>
      <c r="J36" s="4" t="s">
        <v>177</v>
      </c>
    </row>
    <row r="37" customFormat="false" ht="15" hidden="false" customHeight="false" outlineLevel="0" collapsed="false">
      <c r="A37" s="4" t="n">
        <v>33</v>
      </c>
      <c r="B37" s="8" t="s">
        <v>64</v>
      </c>
      <c r="C37" s="4" t="s">
        <v>178</v>
      </c>
      <c r="D37" s="4" t="s">
        <v>51</v>
      </c>
      <c r="E37" s="4" t="s">
        <v>119</v>
      </c>
      <c r="F37" s="4" t="s">
        <v>114</v>
      </c>
      <c r="G37" s="4" t="n">
        <v>15</v>
      </c>
      <c r="H37" s="4" t="n">
        <v>10</v>
      </c>
      <c r="I37" s="4" t="n">
        <f aca="false">COUNTA(instrument_financiele_vraag!$A$2:$A$2000)</f>
        <v>150</v>
      </c>
      <c r="J37" s="4" t="s">
        <v>179</v>
      </c>
    </row>
    <row r="38" customFormat="false" ht="15" hidden="false" customHeight="false" outlineLevel="0" collapsed="false">
      <c r="A38" s="4" t="n">
        <v>34</v>
      </c>
      <c r="B38" s="8" t="s">
        <v>65</v>
      </c>
      <c r="C38" s="4" t="s">
        <v>180</v>
      </c>
      <c r="D38" s="4" t="s">
        <v>51</v>
      </c>
      <c r="E38" s="4" t="s">
        <v>119</v>
      </c>
      <c r="F38" s="4" t="s">
        <v>114</v>
      </c>
      <c r="G38" s="4" t="n">
        <v>15</v>
      </c>
      <c r="H38" s="4" t="n">
        <v>11</v>
      </c>
      <c r="I38" s="4" t="n">
        <f aca="false">COUNTA(instrument_eigenaartype!$A$2:$A$2000)</f>
        <v>121</v>
      </c>
      <c r="J38" s="4" t="s">
        <v>181</v>
      </c>
    </row>
    <row r="39" customFormat="false" ht="15" hidden="false" customHeight="false" outlineLevel="0" collapsed="false">
      <c r="A39" s="4" t="n">
        <v>35</v>
      </c>
      <c r="B39" s="8" t="s">
        <v>66</v>
      </c>
      <c r="C39" s="4" t="s">
        <v>182</v>
      </c>
      <c r="D39" s="4" t="s">
        <v>51</v>
      </c>
      <c r="E39" s="4" t="s">
        <v>119</v>
      </c>
      <c r="F39" s="4" t="s">
        <v>114</v>
      </c>
      <c r="G39" s="4" t="n">
        <v>15</v>
      </c>
      <c r="H39" s="4" t="n">
        <v>11</v>
      </c>
      <c r="I39" s="4" t="n">
        <f aca="false">COUNTA(instrument_objecttype!$A$2:$A$2000)</f>
        <v>95</v>
      </c>
      <c r="J39" s="4" t="s">
        <v>183</v>
      </c>
    </row>
    <row r="40" customFormat="false" ht="15" hidden="false" customHeight="false" outlineLevel="0" collapsed="false">
      <c r="A40" s="4" t="n">
        <v>36</v>
      </c>
      <c r="B40" s="8" t="s">
        <v>67</v>
      </c>
      <c r="C40" s="4" t="s">
        <v>184</v>
      </c>
      <c r="D40" s="4" t="s">
        <v>51</v>
      </c>
      <c r="E40" s="4" t="s">
        <v>109</v>
      </c>
      <c r="F40" s="4" t="s">
        <v>120</v>
      </c>
      <c r="G40" s="4" t="n">
        <v>18</v>
      </c>
      <c r="H40" s="4" t="n">
        <v>12</v>
      </c>
      <c r="I40" s="4" t="n">
        <f aca="false">COUNTA(financiele_route!$A$2:$A$2000)</f>
        <v>17</v>
      </c>
      <c r="J40" s="4" t="s">
        <v>185</v>
      </c>
    </row>
    <row r="41" customFormat="false" ht="15" hidden="false" customHeight="false" outlineLevel="0" collapsed="false">
      <c r="A41" s="4" t="n">
        <v>37</v>
      </c>
      <c r="B41" s="8" t="s">
        <v>68</v>
      </c>
      <c r="C41" s="4" t="s">
        <v>186</v>
      </c>
      <c r="D41" s="4" t="s">
        <v>51</v>
      </c>
      <c r="E41" s="4" t="s">
        <v>119</v>
      </c>
      <c r="F41" s="4" t="s">
        <v>120</v>
      </c>
      <c r="G41" s="4" t="n">
        <v>16</v>
      </c>
      <c r="H41" s="4" t="n">
        <v>10</v>
      </c>
      <c r="I41" s="4" t="n">
        <f aca="false">COUNTA(instrument_financiele_route!$A$2:$A$2000)</f>
        <v>77</v>
      </c>
      <c r="J41" s="4" t="s">
        <v>187</v>
      </c>
    </row>
    <row r="42" customFormat="false" ht="15" hidden="false" customHeight="false" outlineLevel="0" collapsed="false">
      <c r="A42" s="4" t="n">
        <v>38</v>
      </c>
      <c r="B42" s="8" t="s">
        <v>69</v>
      </c>
      <c r="C42" s="4" t="s">
        <v>188</v>
      </c>
      <c r="D42" s="4" t="s">
        <v>51</v>
      </c>
      <c r="E42" s="4" t="s">
        <v>113</v>
      </c>
      <c r="F42" s="4" t="s">
        <v>189</v>
      </c>
      <c r="G42" s="4" t="n">
        <v>14</v>
      </c>
      <c r="H42" s="4" t="n">
        <v>10</v>
      </c>
      <c r="I42" s="4" t="n">
        <f aca="false">COUNTA(effecttype!$A$2:$A$2000)</f>
        <v>14</v>
      </c>
      <c r="J42" s="4" t="s">
        <v>190</v>
      </c>
    </row>
    <row r="43" customFormat="false" ht="15" hidden="false" customHeight="false" outlineLevel="0" collapsed="false">
      <c r="A43" s="4" t="n">
        <v>39</v>
      </c>
      <c r="B43" s="8" t="s">
        <v>70</v>
      </c>
      <c r="C43" s="4" t="s">
        <v>191</v>
      </c>
      <c r="D43" s="4" t="s">
        <v>51</v>
      </c>
      <c r="E43" s="4" t="s">
        <v>119</v>
      </c>
      <c r="F43" s="4" t="s">
        <v>189</v>
      </c>
      <c r="G43" s="4" t="n">
        <v>21</v>
      </c>
      <c r="H43" s="4" t="n">
        <v>9</v>
      </c>
      <c r="I43" s="4" t="n">
        <f aca="false">COUNTA(instrument_effect!$A$2:$A$2000)</f>
        <v>77</v>
      </c>
      <c r="J43" s="4" t="s">
        <v>192</v>
      </c>
    </row>
    <row r="44" customFormat="false" ht="15" hidden="false" customHeight="false" outlineLevel="0" collapsed="false">
      <c r="A44" s="4" t="n">
        <v>40</v>
      </c>
      <c r="B44" s="8" t="s">
        <v>71</v>
      </c>
      <c r="C44" s="4" t="s">
        <v>193</v>
      </c>
      <c r="D44" s="4" t="s">
        <v>51</v>
      </c>
      <c r="E44" s="4" t="s">
        <v>113</v>
      </c>
      <c r="F44" s="4" t="s">
        <v>189</v>
      </c>
      <c r="G44" s="4" t="n">
        <v>14</v>
      </c>
      <c r="H44" s="4" t="n">
        <v>10</v>
      </c>
      <c r="I44" s="4" t="n">
        <f aca="false">COUNTA(voorwaardetype!$A$2:$A$2000)</f>
        <v>19</v>
      </c>
      <c r="J44" s="4" t="s">
        <v>194</v>
      </c>
    </row>
    <row r="45" customFormat="false" ht="15" hidden="false" customHeight="false" outlineLevel="0" collapsed="false">
      <c r="A45" s="4" t="n">
        <v>41</v>
      </c>
      <c r="B45" s="8" t="s">
        <v>72</v>
      </c>
      <c r="C45" s="4" t="s">
        <v>195</v>
      </c>
      <c r="D45" s="4" t="s">
        <v>51</v>
      </c>
      <c r="E45" s="4" t="s">
        <v>109</v>
      </c>
      <c r="F45" s="4" t="s">
        <v>189</v>
      </c>
      <c r="G45" s="4" t="n">
        <v>22</v>
      </c>
      <c r="H45" s="4" t="n">
        <v>12</v>
      </c>
      <c r="I45" s="4" t="n">
        <f aca="false">COUNTA(instrument_voorwaarde!$A$2:$A$2000)</f>
        <v>82</v>
      </c>
      <c r="J45" s="4" t="s">
        <v>196</v>
      </c>
    </row>
    <row r="46" customFormat="false" ht="15" hidden="false" customHeight="false" outlineLevel="0" collapsed="false">
      <c r="A46" s="4" t="n">
        <v>42</v>
      </c>
      <c r="B46" s="8" t="s">
        <v>73</v>
      </c>
      <c r="C46" s="4" t="s">
        <v>197</v>
      </c>
      <c r="D46" s="4" t="s">
        <v>51</v>
      </c>
      <c r="E46" s="4" t="s">
        <v>113</v>
      </c>
      <c r="F46" s="4" t="s">
        <v>189</v>
      </c>
      <c r="G46" s="4" t="n">
        <v>14</v>
      </c>
      <c r="H46" s="4" t="n">
        <v>9</v>
      </c>
      <c r="I46" s="4" t="n">
        <f aca="false">COUNTA(werkingsgebied!$A$2:$A$2000)</f>
        <v>11</v>
      </c>
      <c r="J46" s="4" t="s">
        <v>198</v>
      </c>
    </row>
    <row r="47" customFormat="false" ht="15" hidden="false" customHeight="false" outlineLevel="0" collapsed="false">
      <c r="A47" s="4" t="n">
        <v>43</v>
      </c>
      <c r="B47" s="8" t="s">
        <v>74</v>
      </c>
      <c r="C47" s="4" t="s">
        <v>199</v>
      </c>
      <c r="D47" s="4" t="s">
        <v>51</v>
      </c>
      <c r="E47" s="4" t="s">
        <v>119</v>
      </c>
      <c r="F47" s="4" t="s">
        <v>120</v>
      </c>
      <c r="G47" s="4" t="n">
        <v>14</v>
      </c>
      <c r="H47" s="4" t="n">
        <v>10</v>
      </c>
      <c r="I47" s="4" t="n">
        <f aca="false">COUNTA(instrument_werkingsgebied!$A$2:$A$2000)</f>
        <v>83</v>
      </c>
      <c r="J47" s="4" t="s">
        <v>200</v>
      </c>
    </row>
    <row r="48" customFormat="false" ht="15" hidden="false" customHeight="false" outlineLevel="0" collapsed="false">
      <c r="A48" s="4" t="n">
        <v>44</v>
      </c>
      <c r="B48" s="8" t="s">
        <v>75</v>
      </c>
      <c r="C48" s="4" t="s">
        <v>201</v>
      </c>
      <c r="D48" s="4" t="s">
        <v>51</v>
      </c>
      <c r="E48" s="4" t="s">
        <v>109</v>
      </c>
      <c r="F48" s="4" t="s">
        <v>189</v>
      </c>
      <c r="G48" s="4" t="n">
        <v>21</v>
      </c>
      <c r="H48" s="4" t="n">
        <v>10</v>
      </c>
      <c r="I48" s="4" t="n">
        <f aca="false">COUNTA(openstelling!$A$2:$A$2000)</f>
        <v>32</v>
      </c>
      <c r="J48" s="4" t="s">
        <v>202</v>
      </c>
    </row>
    <row r="49" customFormat="false" ht="15" hidden="false" customHeight="false" outlineLevel="0" collapsed="false">
      <c r="A49" s="4" t="n">
        <v>45</v>
      </c>
      <c r="B49" s="8" t="s">
        <v>76</v>
      </c>
      <c r="C49" s="4" t="s">
        <v>203</v>
      </c>
      <c r="D49" s="4" t="s">
        <v>51</v>
      </c>
      <c r="E49" s="4" t="s">
        <v>113</v>
      </c>
      <c r="F49" s="4" t="s">
        <v>120</v>
      </c>
      <c r="G49" s="4" t="n">
        <v>16</v>
      </c>
      <c r="H49" s="4" t="n">
        <v>11</v>
      </c>
      <c r="I49" s="4" t="n">
        <f aca="false">COUNTA(pc_moment!$A$2:$A$2000)</f>
        <v>13</v>
      </c>
      <c r="J49" s="4" t="s">
        <v>204</v>
      </c>
    </row>
    <row r="50" customFormat="false" ht="15" hidden="false" customHeight="false" outlineLevel="0" collapsed="false">
      <c r="A50" s="4" t="n">
        <v>46</v>
      </c>
      <c r="B50" s="8" t="s">
        <v>77</v>
      </c>
      <c r="C50" s="4" t="s">
        <v>205</v>
      </c>
      <c r="D50" s="4" t="s">
        <v>42</v>
      </c>
      <c r="E50" s="4" t="s">
        <v>119</v>
      </c>
      <c r="F50" s="4" t="s">
        <v>110</v>
      </c>
      <c r="G50" s="4" t="n">
        <v>16</v>
      </c>
      <c r="H50" s="4" t="n">
        <v>10</v>
      </c>
      <c r="I50" s="4" t="n">
        <f aca="false">COUNTA(beslismoment_rol!$A$2:$A$2000)</f>
        <v>64</v>
      </c>
      <c r="J50" s="4" t="s">
        <v>206</v>
      </c>
    </row>
    <row r="51" customFormat="false" ht="15" hidden="false" customHeight="false" outlineLevel="0" collapsed="false">
      <c r="A51" s="4" t="n">
        <v>47</v>
      </c>
      <c r="B51" s="8" t="s">
        <v>78</v>
      </c>
      <c r="C51" s="4" t="s">
        <v>207</v>
      </c>
      <c r="D51" s="4" t="s">
        <v>42</v>
      </c>
      <c r="E51" s="4" t="s">
        <v>119</v>
      </c>
      <c r="F51" s="4" t="s">
        <v>110</v>
      </c>
      <c r="G51" s="4" t="n">
        <v>17</v>
      </c>
      <c r="H51" s="4" t="n">
        <v>11</v>
      </c>
      <c r="I51" s="4" t="n">
        <f aca="false">COUNTA(beslismoment_informatiebehoefte!$A$2:$A$2000)</f>
        <v>45</v>
      </c>
      <c r="J51" s="4" t="s">
        <v>208</v>
      </c>
    </row>
    <row r="52" customFormat="false" ht="15" hidden="false" customHeight="false" outlineLevel="0" collapsed="false">
      <c r="A52" s="4" t="n">
        <v>48</v>
      </c>
      <c r="B52" s="8" t="s">
        <v>79</v>
      </c>
      <c r="C52" s="4" t="s">
        <v>209</v>
      </c>
      <c r="D52" s="4" t="s">
        <v>42</v>
      </c>
      <c r="E52" s="4" t="s">
        <v>119</v>
      </c>
      <c r="F52" s="4" t="s">
        <v>110</v>
      </c>
      <c r="G52" s="4" t="n">
        <v>14</v>
      </c>
      <c r="H52" s="4" t="n">
        <v>10</v>
      </c>
      <c r="I52" s="4" t="n">
        <f aca="false">COUNTA(beslismoment_financiele_vraag!$A$2:$A$2000)</f>
        <v>31</v>
      </c>
      <c r="J52" s="4" t="s">
        <v>210</v>
      </c>
    </row>
    <row r="53" customFormat="false" ht="15" hidden="false" customHeight="false" outlineLevel="0" collapsed="false">
      <c r="A53" s="4" t="n">
        <v>49</v>
      </c>
      <c r="B53" s="8" t="s">
        <v>80</v>
      </c>
      <c r="C53" s="4" t="s">
        <v>211</v>
      </c>
      <c r="D53" s="4" t="s">
        <v>42</v>
      </c>
      <c r="E53" s="4" t="s">
        <v>119</v>
      </c>
      <c r="F53" s="4" t="s">
        <v>110</v>
      </c>
      <c r="G53" s="4" t="n">
        <v>15</v>
      </c>
      <c r="H53" s="4" t="n">
        <v>11</v>
      </c>
      <c r="I53" s="4" t="n">
        <f aca="false">COUNTA(beslismoment_beslisproduct!$A$2:$A$2000)</f>
        <v>24</v>
      </c>
      <c r="J53" s="4" t="s">
        <v>212</v>
      </c>
    </row>
    <row r="54" customFormat="false" ht="15" hidden="false" customHeight="false" outlineLevel="0" collapsed="false">
      <c r="A54" s="4" t="n">
        <v>50</v>
      </c>
      <c r="B54" s="8" t="s">
        <v>81</v>
      </c>
      <c r="C54" s="4" t="s">
        <v>213</v>
      </c>
      <c r="D54" s="4" t="s">
        <v>42</v>
      </c>
      <c r="E54" s="4" t="s">
        <v>119</v>
      </c>
      <c r="F54" s="4" t="s">
        <v>110</v>
      </c>
      <c r="G54" s="4" t="n">
        <v>15</v>
      </c>
      <c r="H54" s="4" t="n">
        <v>10</v>
      </c>
      <c r="I54" s="4" t="n">
        <f aca="false">COUNTA(beslismoment_handelingspersp!$A$2:$A$2000)</f>
        <v>21</v>
      </c>
      <c r="J54" s="4" t="s">
        <v>214</v>
      </c>
    </row>
    <row r="55" customFormat="false" ht="15" hidden="false" customHeight="false" outlineLevel="0" collapsed="false">
      <c r="A55" s="4" t="n">
        <v>51</v>
      </c>
      <c r="B55" s="8" t="s">
        <v>82</v>
      </c>
      <c r="C55" s="4" t="s">
        <v>215</v>
      </c>
      <c r="D55" s="4" t="s">
        <v>42</v>
      </c>
      <c r="E55" s="4" t="s">
        <v>119</v>
      </c>
      <c r="F55" s="4" t="s">
        <v>120</v>
      </c>
      <c r="G55" s="4" t="n">
        <v>15</v>
      </c>
      <c r="H55" s="4" t="n">
        <v>9</v>
      </c>
      <c r="I55" s="4" t="n">
        <f aca="false">COUNTA(beslismoment_knelpunt!$A$2:$A$2000)</f>
        <v>22</v>
      </c>
      <c r="J55" s="4" t="s">
        <v>216</v>
      </c>
    </row>
    <row r="56" customFormat="false" ht="15" hidden="false" customHeight="false" outlineLevel="0" collapsed="false">
      <c r="A56" s="4" t="n">
        <v>52</v>
      </c>
      <c r="B56" s="8" t="s">
        <v>83</v>
      </c>
      <c r="C56" s="4" t="s">
        <v>217</v>
      </c>
      <c r="D56" s="4" t="s">
        <v>51</v>
      </c>
      <c r="E56" s="4" t="s">
        <v>119</v>
      </c>
      <c r="F56" s="4" t="s">
        <v>189</v>
      </c>
      <c r="G56" s="4" t="n">
        <v>16</v>
      </c>
      <c r="H56" s="4" t="n">
        <v>11</v>
      </c>
      <c r="I56" s="4" t="n">
        <f aca="false">COUNTA(instrument_relatie!$A$2:$A$2000)</f>
        <v>17</v>
      </c>
      <c r="J56" s="4" t="s">
        <v>218</v>
      </c>
    </row>
    <row r="57" customFormat="false" ht="15" hidden="false" customHeight="false" outlineLevel="0" collapsed="false">
      <c r="A57" s="4" t="n">
        <v>53</v>
      </c>
      <c r="B57" s="8" t="s">
        <v>84</v>
      </c>
      <c r="C57" s="4" t="s">
        <v>219</v>
      </c>
      <c r="D57" s="4" t="s">
        <v>51</v>
      </c>
      <c r="E57" s="4" t="s">
        <v>113</v>
      </c>
      <c r="F57" s="4" t="s">
        <v>120</v>
      </c>
      <c r="G57" s="4" t="n">
        <v>14</v>
      </c>
      <c r="H57" s="4" t="n">
        <v>10</v>
      </c>
      <c r="I57" s="4" t="n">
        <f aca="false">COUNTA(instrument_relatietype!$A$2:$A$2000)</f>
        <v>15</v>
      </c>
      <c r="J57" s="4" t="s">
        <v>220</v>
      </c>
    </row>
    <row r="58" customFormat="false" ht="15" hidden="false" customHeight="false" outlineLevel="0" collapsed="false">
      <c r="A58" s="4" t="n">
        <v>54</v>
      </c>
      <c r="B58" s="8" t="s">
        <v>85</v>
      </c>
      <c r="C58" s="4" t="s">
        <v>221</v>
      </c>
      <c r="D58" s="4" t="s">
        <v>51</v>
      </c>
      <c r="E58" s="4" t="s">
        <v>109</v>
      </c>
      <c r="F58" s="4" t="s">
        <v>120</v>
      </c>
      <c r="G58" s="4" t="n">
        <v>20</v>
      </c>
      <c r="H58" s="4" t="n">
        <v>12</v>
      </c>
      <c r="I58" s="4" t="n">
        <f aca="false">COUNTA(kennisproduct!$A$2:$A$2000)</f>
        <v>6</v>
      </c>
      <c r="J58" s="4" t="s">
        <v>222</v>
      </c>
    </row>
    <row r="59" customFormat="false" ht="15" hidden="false" customHeight="false" outlineLevel="0" collapsed="false">
      <c r="A59" s="4" t="n">
        <v>55</v>
      </c>
      <c r="B59" s="8" t="s">
        <v>86</v>
      </c>
      <c r="C59" s="4" t="s">
        <v>223</v>
      </c>
      <c r="D59" s="4" t="s">
        <v>51</v>
      </c>
      <c r="E59" s="4" t="s">
        <v>119</v>
      </c>
      <c r="F59" s="4" t="s">
        <v>120</v>
      </c>
      <c r="G59" s="4" t="n">
        <v>14</v>
      </c>
      <c r="H59" s="4" t="n">
        <v>10</v>
      </c>
      <c r="I59" s="4" t="n">
        <f aca="false">COUNTA(kennisproduct_instrument!$A$2:$A$2000)</f>
        <v>12</v>
      </c>
      <c r="J59" s="4" t="s">
        <v>224</v>
      </c>
    </row>
    <row r="60" customFormat="false" ht="15" hidden="false" customHeight="false" outlineLevel="0" collapsed="false">
      <c r="A60" s="4" t="n">
        <v>56</v>
      </c>
      <c r="B60" s="8" t="s">
        <v>87</v>
      </c>
      <c r="C60" s="4" t="s">
        <v>225</v>
      </c>
      <c r="D60" s="4" t="s">
        <v>51</v>
      </c>
      <c r="E60" s="4" t="s">
        <v>119</v>
      </c>
      <c r="F60" s="4" t="s">
        <v>120</v>
      </c>
      <c r="G60" s="4" t="n">
        <v>14</v>
      </c>
      <c r="H60" s="4" t="n">
        <v>10</v>
      </c>
      <c r="I60" s="4" t="n">
        <f aca="false">COUNTA(kennisproduct_beslismoment!$A$2:$A$2000)</f>
        <v>8</v>
      </c>
      <c r="J60" s="4" t="s">
        <v>226</v>
      </c>
    </row>
    <row r="61" customFormat="false" ht="15" hidden="false" customHeight="false" outlineLevel="0" collapsed="false">
      <c r="A61" s="4" t="n">
        <v>57</v>
      </c>
      <c r="B61" s="8" t="s">
        <v>88</v>
      </c>
      <c r="C61" s="4" t="s">
        <v>227</v>
      </c>
      <c r="D61" s="4" t="s">
        <v>89</v>
      </c>
      <c r="E61" s="4" t="s">
        <v>113</v>
      </c>
      <c r="F61" s="4" t="s">
        <v>114</v>
      </c>
      <c r="G61" s="4" t="n">
        <v>14</v>
      </c>
      <c r="H61" s="4" t="n">
        <v>10</v>
      </c>
      <c r="I61" s="4" t="n">
        <f aca="false">COUNTA(validation_status!$A$2:$A$2000)</f>
        <v>9</v>
      </c>
      <c r="J61" s="4" t="s">
        <v>228</v>
      </c>
    </row>
    <row r="62" customFormat="false" ht="15" hidden="false" customHeight="false" outlineLevel="0" collapsed="false">
      <c r="A62" s="4" t="n">
        <v>58</v>
      </c>
      <c r="B62" s="8" t="s">
        <v>90</v>
      </c>
      <c r="C62" s="4" t="s">
        <v>229</v>
      </c>
      <c r="D62" s="4" t="s">
        <v>89</v>
      </c>
      <c r="E62" s="4" t="s">
        <v>113</v>
      </c>
      <c r="F62" s="4" t="s">
        <v>120</v>
      </c>
      <c r="G62" s="4" t="n">
        <v>14</v>
      </c>
      <c r="H62" s="4" t="n">
        <v>10</v>
      </c>
      <c r="I62" s="4" t="n">
        <f aca="false">COUNTA(publicatiestatus!$A$2:$A$2000)</f>
        <v>7</v>
      </c>
      <c r="J62" s="4" t="s">
        <v>230</v>
      </c>
    </row>
    <row r="63" customFormat="false" ht="15" hidden="false" customHeight="false" outlineLevel="0" collapsed="false">
      <c r="A63" s="4" t="n">
        <v>59</v>
      </c>
      <c r="B63" s="8" t="s">
        <v>91</v>
      </c>
      <c r="C63" s="4" t="s">
        <v>231</v>
      </c>
      <c r="D63" s="4" t="s">
        <v>89</v>
      </c>
      <c r="E63" s="4" t="s">
        <v>113</v>
      </c>
      <c r="F63" s="4" t="s">
        <v>120</v>
      </c>
      <c r="G63" s="4" t="n">
        <v>14</v>
      </c>
      <c r="H63" s="4" t="n">
        <v>10</v>
      </c>
      <c r="I63" s="4" t="n">
        <f aca="false">COUNTA(inhoudelijke_status!$A$2:$A$2000)</f>
        <v>8</v>
      </c>
      <c r="J63" s="4" t="s">
        <v>232</v>
      </c>
    </row>
    <row r="64" customFormat="false" ht="15" hidden="false" customHeight="false" outlineLevel="0" collapsed="false">
      <c r="A64" s="4" t="n">
        <v>60</v>
      </c>
      <c r="B64" s="8" t="s">
        <v>92</v>
      </c>
      <c r="C64" s="4" t="s">
        <v>233</v>
      </c>
      <c r="D64" s="4" t="s">
        <v>89</v>
      </c>
      <c r="E64" s="4" t="s">
        <v>109</v>
      </c>
      <c r="F64" s="4" t="s">
        <v>189</v>
      </c>
      <c r="G64" s="4" t="n">
        <v>21</v>
      </c>
      <c r="H64" s="4" t="n">
        <v>13</v>
      </c>
      <c r="I64" s="4" t="n">
        <f aca="false">COUNTA(validatie!$A$2:$A$2000)</f>
        <v>8</v>
      </c>
      <c r="J64" s="4" t="s">
        <v>234</v>
      </c>
    </row>
    <row r="65" customFormat="false" ht="15" hidden="false" customHeight="false" outlineLevel="0" collapsed="false">
      <c r="A65" s="4" t="n">
        <v>61</v>
      </c>
      <c r="B65" s="8" t="s">
        <v>93</v>
      </c>
      <c r="C65" s="4" t="s">
        <v>235</v>
      </c>
      <c r="D65" s="4" t="s">
        <v>89</v>
      </c>
      <c r="E65" s="4" t="s">
        <v>109</v>
      </c>
      <c r="F65" s="4" t="s">
        <v>189</v>
      </c>
      <c r="G65" s="4" t="n">
        <v>11</v>
      </c>
      <c r="H65" s="4" t="n">
        <v>7</v>
      </c>
      <c r="I65" s="4" t="n">
        <f aca="false">COUNTA(wijzigingslog!$A$2:$A$2000)</f>
        <v>6</v>
      </c>
      <c r="J65" s="4" t="s">
        <v>236</v>
      </c>
    </row>
    <row r="66" customFormat="false" ht="15" hidden="false" customHeight="false" outlineLevel="0" collapsed="false">
      <c r="A66" s="4" t="n">
        <v>62</v>
      </c>
      <c r="B66" s="8" t="s">
        <v>94</v>
      </c>
      <c r="C66" s="4" t="s">
        <v>237</v>
      </c>
      <c r="D66" s="4" t="s">
        <v>89</v>
      </c>
      <c r="E66" s="4" t="s">
        <v>109</v>
      </c>
      <c r="F66" s="4" t="s">
        <v>189</v>
      </c>
      <c r="G66" s="4" t="n">
        <v>19</v>
      </c>
      <c r="H66" s="4" t="n">
        <v>11</v>
      </c>
      <c r="I66" s="4" t="n">
        <f aca="false">COUNTA(reviewplanning!$A$2:$A$2000)</f>
        <v>10</v>
      </c>
      <c r="J66" s="4" t="s">
        <v>238</v>
      </c>
    </row>
    <row r="67" customFormat="false" ht="15" hidden="false" customHeight="false" outlineLevel="0" collapsed="false">
      <c r="A67" s="4" t="n">
        <v>63</v>
      </c>
      <c r="B67" s="8" t="s">
        <v>95</v>
      </c>
      <c r="C67" s="4" t="s">
        <v>239</v>
      </c>
      <c r="D67" s="4" t="s">
        <v>89</v>
      </c>
      <c r="E67" s="4" t="s">
        <v>109</v>
      </c>
      <c r="F67" s="4" t="s">
        <v>189</v>
      </c>
      <c r="G67" s="4" t="n">
        <v>26</v>
      </c>
      <c r="H67" s="4" t="n">
        <v>13</v>
      </c>
      <c r="I67" s="4" t="n">
        <f aca="false">COUNTA(kennisanalyse!$A$2:$A$2000)</f>
        <v>16</v>
      </c>
      <c r="J67" s="4" t="s">
        <v>240</v>
      </c>
    </row>
    <row r="68" customFormat="false" ht="15" hidden="false" customHeight="false" outlineLevel="0" collapsed="false">
      <c r="A68" s="4" t="n">
        <v>64</v>
      </c>
      <c r="B68" s="8" t="s">
        <v>96</v>
      </c>
      <c r="C68" s="4" t="s">
        <v>241</v>
      </c>
      <c r="D68" s="4" t="s">
        <v>89</v>
      </c>
      <c r="E68" s="4" t="s">
        <v>109</v>
      </c>
      <c r="F68" s="4" t="s">
        <v>120</v>
      </c>
      <c r="G68" s="4" t="n">
        <v>19</v>
      </c>
      <c r="H68" s="4" t="n">
        <v>12</v>
      </c>
      <c r="I68" s="4" t="n">
        <f aca="false">COUNTA(ontwikkelactie!$A$2:$A$2000)</f>
        <v>6</v>
      </c>
      <c r="J68" s="4" t="s">
        <v>242</v>
      </c>
    </row>
    <row r="69" customFormat="false" ht="15" hidden="false" customHeight="false" outlineLevel="0" collapsed="false">
      <c r="A69" s="4" t="n">
        <v>65</v>
      </c>
      <c r="B69" s="8" t="s">
        <v>97</v>
      </c>
      <c r="C69" s="4" t="s">
        <v>243</v>
      </c>
      <c r="D69" s="4" t="s">
        <v>89</v>
      </c>
      <c r="E69" s="4" t="s">
        <v>109</v>
      </c>
      <c r="F69" s="4" t="s">
        <v>189</v>
      </c>
      <c r="G69" s="4" t="n">
        <v>22</v>
      </c>
      <c r="H69" s="4" t="n">
        <v>12</v>
      </c>
      <c r="I69" s="4" t="n">
        <f aca="false">COUNTA(gebruikersfeedback!$A$2:$A$2000)</f>
        <v>8</v>
      </c>
      <c r="J69" s="4" t="s">
        <v>244</v>
      </c>
    </row>
    <row r="70" customFormat="false" ht="15" hidden="false" customHeight="false" outlineLevel="0" collapsed="false">
      <c r="B70" s="7" t="s">
        <v>98</v>
      </c>
      <c r="G70" s="7" t="n">
        <f aca="false">SUM(G5:G69)</f>
        <v>1099</v>
      </c>
      <c r="H70" s="7" t="n">
        <f aca="false">SUM(H5:H69)</f>
        <v>719</v>
      </c>
      <c r="I70" s="7" t="n">
        <f aca="false">SUM(I5:I69)</f>
        <v>2325</v>
      </c>
    </row>
  </sheetData>
  <autoFilter ref="A4:J69"/>
  <hyperlinks>
    <hyperlink ref="B5" r:id="rId1" location="'opgave'!A1" display="opgave"/>
    <hyperlink ref="B6" r:id="rId2" location="'procesniveau'!A1" display="procesniveau"/>
    <hyperlink ref="B7" r:id="rId3" location="'procesfase'!A1" display="procesfase"/>
    <hyperlink ref="B8" r:id="rId4" location="'procesfase_relatie'!A1" display="procesfase_relatie"/>
    <hyperlink ref="B9" r:id="rId5" location="'beslismoment'!A1" display="beslismoment"/>
    <hyperlink ref="B10" r:id="rId6" location="'besluittype'!A1" display="besluittype"/>
    <hyperlink ref="B11" r:id="rId7" location="'rol'!A1" display="rol"/>
    <hyperlink ref="B12" r:id="rId8" location="'rolcluster'!A1" display="rolcluster"/>
    <hyperlink ref="B13" r:id="rId9" location="'functie_alias'!A1" display="functie_alias"/>
    <hyperlink ref="B14" r:id="rId10" location="'eigenaartype'!A1" display="eigenaartype"/>
    <hyperlink ref="B15" r:id="rId11" location="'objecttype'!A1" display="objecttype"/>
    <hyperlink ref="B16" r:id="rId12" location="'financiele_vraag'!A1" display="financiele_vraag"/>
    <hyperlink ref="B17" r:id="rId13" location="'financieel_thema'!A1" display="financieel_thema"/>
    <hyperlink ref="B18" r:id="rId14" location="'informatiebehoefte'!A1" display="informatiebehoefte"/>
    <hyperlink ref="B19" r:id="rId15" location="'informatietype'!A1" display="informatietype"/>
    <hyperlink ref="B20" r:id="rId16" location="'beslisproduct'!A1" display="beslisproduct"/>
    <hyperlink ref="B21" r:id="rId17" location="'handelingsperspectief'!A1" display="handelingsperspectief"/>
    <hyperlink ref="B22" r:id="rId18" location="'knelpunt'!A1" display="knelpunt"/>
    <hyperlink ref="B23" r:id="rId19" location="'informatieoverdracht'!A1" display="informatieoverdracht"/>
    <hyperlink ref="B24" r:id="rId20" location="'instrument'!A1" display="instrument"/>
    <hyperlink ref="B25" r:id="rId21" location="'instrumenttype'!A1" display="instrumenttype"/>
    <hyperlink ref="B26" r:id="rId22" location="'digitale_vorm'!A1" display="digitale_vorm"/>
    <hyperlink ref="B27" r:id="rId23" location="'organisatie'!A1" display="organisatie"/>
    <hyperlink ref="B28" r:id="rId24" location="'organisatietype'!A1" display="organisatietype"/>
    <hyperlink ref="B29" r:id="rId25" location="'instrument_organisatie'!A1" display="instrument_organisatie"/>
    <hyperlink ref="B30" r:id="rId26" location="'bron'!A1" display="bron"/>
    <hyperlink ref="B31" r:id="rId27" location="'brontype'!A1" display="brontype"/>
    <hyperlink ref="B32" r:id="rId28" location="'instrument_bron'!A1" display="instrument_bron"/>
    <hyperlink ref="B33" r:id="rId29" location="'instrument_rol'!A1" display="instrument_rol"/>
    <hyperlink ref="B34" r:id="rId30" location="'instrument_procesfase'!A1" display="instrument_procesfase"/>
    <hyperlink ref="B35" r:id="rId31" location="'instrument_beslismoment'!A1" display="instrument_beslismoment"/>
    <hyperlink ref="B36" r:id="rId32" location="'instrument_opgave'!A1" display="instrument_opgave"/>
    <hyperlink ref="B37" r:id="rId33" location="'instrument_financiele_vraag'!A1" display="instrument_financiele_vraag"/>
    <hyperlink ref="B38" r:id="rId34" location="'instrument_eigenaartype'!A1" display="instrument_eigenaartype"/>
    <hyperlink ref="B39" r:id="rId35" location="'instrument_objecttype'!A1" display="instrument_objecttype"/>
    <hyperlink ref="B40" r:id="rId36" location="'financiele_route'!A1" display="financiele_route"/>
    <hyperlink ref="B41" r:id="rId37" location="'instrument_financiele_route'!A1" display="instrument_financiele_route"/>
    <hyperlink ref="B42" r:id="rId38" location="'effecttype'!A1" display="effecttype"/>
    <hyperlink ref="B43" r:id="rId39" location="'instrument_effect'!A1" display="instrument_effect"/>
    <hyperlink ref="B44" r:id="rId40" location="'voorwaardetype'!A1" display="voorwaardetype"/>
    <hyperlink ref="B45" r:id="rId41" location="'instrument_voorwaarde'!A1" display="instrument_voorwaarde"/>
    <hyperlink ref="B46" r:id="rId42" location="'werkingsgebied'!A1" display="werkingsgebied"/>
    <hyperlink ref="B47" r:id="rId43" location="'instrument_werkingsgebied'!A1" display="instrument_werkingsgebied"/>
    <hyperlink ref="B48" r:id="rId44" location="'openstelling'!A1" display="openstelling"/>
    <hyperlink ref="B49" r:id="rId45" location="'pc_moment'!A1" display="pc_moment"/>
    <hyperlink ref="B50" r:id="rId46" location="'beslismoment_rol'!A1" display="beslismoment_rol"/>
    <hyperlink ref="B51" r:id="rId47" location="'beslismoment_informatiebehoefte'!A1" display="beslismoment_informatiebehoefte"/>
    <hyperlink ref="B52" r:id="rId48" location="'beslismoment_financiele_vraag'!A1" display="beslismoment_financiele_vraag"/>
    <hyperlink ref="B53" r:id="rId49" location="'beslismoment_beslisproduct'!A1" display="beslismoment_beslisproduct"/>
    <hyperlink ref="B54" r:id="rId50" location="'beslismoment_handelingspersp'!A1" display="beslismoment_handelingsperspectief"/>
    <hyperlink ref="B55" r:id="rId51" location="'beslismoment_knelpunt'!A1" display="beslismoment_knelpunt"/>
    <hyperlink ref="B56" r:id="rId52" location="'instrument_relatie'!A1" display="instrument_relatie"/>
    <hyperlink ref="B57" r:id="rId53" location="'instrument_relatietype'!A1" display="instrument_relatietype"/>
    <hyperlink ref="B58" r:id="rId54" location="'kennisproduct'!A1" display="kennisproduct"/>
    <hyperlink ref="B59" r:id="rId55" location="'kennisproduct_instrument'!A1" display="kennisproduct_instrument"/>
    <hyperlink ref="B60" r:id="rId56" location="'kennisproduct_beslismoment'!A1" display="kennisproduct_beslismoment"/>
    <hyperlink ref="B61" r:id="rId57" location="'validation_status'!A1" display="validation_status"/>
    <hyperlink ref="B62" r:id="rId58" location="'publicatiestatus'!A1" display="publicatiestatus"/>
    <hyperlink ref="B63" r:id="rId59" location="'inhoudelijke_status'!A1" display="inhoudelijke_status"/>
    <hyperlink ref="B64" r:id="rId60" location="'validatie'!A1" display="validatie"/>
    <hyperlink ref="B65" r:id="rId61" location="'wijzigingslog'!A1" display="wijzigingslog"/>
    <hyperlink ref="B66" r:id="rId62" location="'reviewplanning'!A1" display="reviewplanning"/>
    <hyperlink ref="B67" r:id="rId63" location="'kennisanalyse'!A1" display="kennisanalyse"/>
    <hyperlink ref="B68" r:id="rId64" location="'ontwikkelactie'!A1" display="ontwikkelactie"/>
    <hyperlink ref="B69" r:id="rId65" location="'gebruikersfeedback'!A1" display="gebruikersfeed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J1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60"/>
    <col collapsed="false" customWidth="true" hidden="false" outlineLevel="0" max="9" min="9" style="0" width="9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23.85" hidden="false" customHeight="false" outlineLevel="0" collapsed="false">
      <c r="A4" s="5" t="s">
        <v>23</v>
      </c>
      <c r="B4" s="5" t="s">
        <v>247</v>
      </c>
      <c r="C4" s="5" t="s">
        <v>248</v>
      </c>
      <c r="D4" s="5" t="s">
        <v>249</v>
      </c>
      <c r="E4" s="5" t="s">
        <v>250</v>
      </c>
      <c r="F4" s="5" t="s">
        <v>251</v>
      </c>
      <c r="G4" s="5" t="s">
        <v>252</v>
      </c>
      <c r="H4" s="5" t="s">
        <v>253</v>
      </c>
      <c r="I4" s="5" t="s">
        <v>254</v>
      </c>
      <c r="J4" s="5" t="s">
        <v>255</v>
      </c>
    </row>
    <row r="5" customFormat="false" ht="15" hidden="false" customHeight="false" outlineLevel="0" collapsed="false">
      <c r="A5" s="9" t="s">
        <v>29</v>
      </c>
      <c r="B5" s="9" t="s">
        <v>256</v>
      </c>
      <c r="C5" s="9" t="s">
        <v>257</v>
      </c>
      <c r="D5" s="9" t="s">
        <v>258</v>
      </c>
      <c r="E5" s="9" t="s">
        <v>259</v>
      </c>
      <c r="F5" s="9"/>
      <c r="G5" s="9"/>
      <c r="H5" s="9" t="s">
        <v>260</v>
      </c>
      <c r="I5" s="9" t="n">
        <f aca="false">COUNTA(opgave!A$2:A$2000)</f>
        <v>10</v>
      </c>
      <c r="J5" s="9" t="n">
        <f aca="false">IF(D5="ja",COUNTA(opgave!$A$2:$A$2000)-I5,"")</f>
        <v>0</v>
      </c>
    </row>
    <row r="6" customFormat="false" ht="15" hidden="false" customHeight="false" outlineLevel="0" collapsed="false">
      <c r="A6" s="9" t="s">
        <v>29</v>
      </c>
      <c r="B6" s="9" t="s">
        <v>261</v>
      </c>
      <c r="C6" s="9" t="s">
        <v>262</v>
      </c>
      <c r="D6" s="9" t="s">
        <v>258</v>
      </c>
      <c r="E6" s="9"/>
      <c r="F6" s="9"/>
      <c r="G6" s="9"/>
      <c r="H6" s="9" t="s">
        <v>263</v>
      </c>
      <c r="I6" s="9" t="n">
        <f aca="false">COUNTA(opgave!B$2:B$2000)</f>
        <v>10</v>
      </c>
      <c r="J6" s="9" t="n">
        <f aca="false">IF(D6="ja",COUNTA(opgave!$A$2:$A$2000)-I6,"")</f>
        <v>0</v>
      </c>
    </row>
    <row r="7" customFormat="false" ht="15" hidden="false" customHeight="false" outlineLevel="0" collapsed="false">
      <c r="A7" s="9" t="s">
        <v>29</v>
      </c>
      <c r="B7" s="9" t="s">
        <v>264</v>
      </c>
      <c r="C7" s="9" t="s">
        <v>265</v>
      </c>
      <c r="D7" s="9" t="s">
        <v>258</v>
      </c>
      <c r="E7" s="9"/>
      <c r="F7" s="9"/>
      <c r="G7" s="9"/>
      <c r="H7" s="9" t="s">
        <v>266</v>
      </c>
      <c r="I7" s="9" t="n">
        <f aca="false">COUNTA(opgave!C$2:C$2000)</f>
        <v>10</v>
      </c>
      <c r="J7" s="9" t="n">
        <f aca="false">IF(D7="ja",COUNTA(opgave!$A$2:$A$2000)-I7,"")</f>
        <v>0</v>
      </c>
    </row>
    <row r="8" customFormat="false" ht="15" hidden="false" customHeight="false" outlineLevel="0" collapsed="false">
      <c r="A8" s="9" t="s">
        <v>29</v>
      </c>
      <c r="B8" s="9" t="s">
        <v>267</v>
      </c>
      <c r="C8" s="9" t="s">
        <v>268</v>
      </c>
      <c r="D8" s="9" t="s">
        <v>258</v>
      </c>
      <c r="E8" s="9"/>
      <c r="F8" s="9"/>
      <c r="G8" s="9"/>
      <c r="H8" s="9" t="s">
        <v>269</v>
      </c>
      <c r="I8" s="9" t="n">
        <f aca="false">COUNTA(opgave!D$2:D$2000)</f>
        <v>10</v>
      </c>
      <c r="J8" s="9" t="n">
        <f aca="false">IF(D8="ja",COUNTA(opgave!$A$2:$A$2000)-I8,"")</f>
        <v>0</v>
      </c>
    </row>
    <row r="9" customFormat="false" ht="15" hidden="false" customHeight="false" outlineLevel="0" collapsed="false">
      <c r="A9" s="9" t="s">
        <v>29</v>
      </c>
      <c r="B9" s="9" t="s">
        <v>270</v>
      </c>
      <c r="C9" s="9" t="s">
        <v>271</v>
      </c>
      <c r="D9" s="9" t="s">
        <v>272</v>
      </c>
      <c r="E9" s="9"/>
      <c r="F9" s="9"/>
      <c r="G9" s="9"/>
      <c r="H9" s="9" t="s">
        <v>273</v>
      </c>
      <c r="I9" s="9" t="n">
        <f aca="false">COUNTA(opgave!E$2:E$2000)</f>
        <v>0</v>
      </c>
      <c r="J9" s="9" t="str">
        <f aca="false">IF(D9="ja",COUNTA(opgave!$A$2:$A$2000)-I9,"")</f>
        <v/>
      </c>
    </row>
    <row r="10" customFormat="false" ht="15" hidden="false" customHeight="false" outlineLevel="0" collapsed="false">
      <c r="A10" s="9" t="s">
        <v>29</v>
      </c>
      <c r="B10" s="9" t="s">
        <v>274</v>
      </c>
      <c r="C10" s="9" t="s">
        <v>271</v>
      </c>
      <c r="D10" s="9" t="s">
        <v>272</v>
      </c>
      <c r="E10" s="9"/>
      <c r="F10" s="9"/>
      <c r="G10" s="9"/>
      <c r="H10" s="9" t="s">
        <v>275</v>
      </c>
      <c r="I10" s="9" t="n">
        <f aca="false">COUNTA(opgave!F$2:F$2000)</f>
        <v>0</v>
      </c>
      <c r="J10" s="9" t="str">
        <f aca="false">IF(D10="ja",COUNTA(opgave!$A$2:$A$2000)-I10,"")</f>
        <v/>
      </c>
    </row>
    <row r="11" customFormat="false" ht="15" hidden="false" customHeight="false" outlineLevel="0" collapsed="false">
      <c r="A11" s="9" t="s">
        <v>29</v>
      </c>
      <c r="B11" s="9" t="s">
        <v>276</v>
      </c>
      <c r="C11" s="9" t="s">
        <v>271</v>
      </c>
      <c r="D11" s="9" t="s">
        <v>272</v>
      </c>
      <c r="E11" s="9"/>
      <c r="F11" s="9"/>
      <c r="G11" s="9"/>
      <c r="H11" s="9" t="s">
        <v>277</v>
      </c>
      <c r="I11" s="9" t="n">
        <f aca="false">COUNTA(opgave!G$2:G$2000)</f>
        <v>10</v>
      </c>
      <c r="J11" s="9" t="str">
        <f aca="false">IF(D11="ja",COUNTA(opgave!$A$2:$A$2000)-I11,"")</f>
        <v/>
      </c>
    </row>
    <row r="12" customFormat="false" ht="15" hidden="false" customHeight="false" outlineLevel="0" collapsed="false">
      <c r="A12" s="9" t="s">
        <v>29</v>
      </c>
      <c r="B12" s="9" t="s">
        <v>278</v>
      </c>
      <c r="C12" s="9" t="s">
        <v>279</v>
      </c>
      <c r="D12" s="9" t="s">
        <v>272</v>
      </c>
      <c r="E12" s="9"/>
      <c r="F12" s="9"/>
      <c r="G12" s="9" t="s">
        <v>280</v>
      </c>
      <c r="H12" s="9" t="s">
        <v>281</v>
      </c>
      <c r="I12" s="9" t="n">
        <f aca="false">COUNTA(opgave!H$2:H$2000)</f>
        <v>10</v>
      </c>
      <c r="J12" s="9" t="str">
        <f aca="false">IF(D12="ja",COUNTA(opgave!$A$2:$A$2000)-I12,"")</f>
        <v/>
      </c>
    </row>
    <row r="13" customFormat="false" ht="15" hidden="false" customHeight="false" outlineLevel="0" collapsed="false">
      <c r="A13" s="9" t="s">
        <v>29</v>
      </c>
      <c r="B13" s="9" t="s">
        <v>282</v>
      </c>
      <c r="C13" s="9" t="s">
        <v>283</v>
      </c>
      <c r="D13" s="9" t="s">
        <v>272</v>
      </c>
      <c r="E13" s="9"/>
      <c r="F13" s="9"/>
      <c r="G13" s="9"/>
      <c r="H13" s="9" t="s">
        <v>284</v>
      </c>
      <c r="I13" s="9" t="n">
        <f aca="false">COUNTA(opgave!I$2:I$2000)</f>
        <v>0</v>
      </c>
      <c r="J13" s="9" t="str">
        <f aca="false">IF(D13="ja",COUNTA(opgave!$A$2:$A$2000)-I13,"")</f>
        <v/>
      </c>
    </row>
    <row r="14" customFormat="false" ht="15" hidden="false" customHeight="false" outlineLevel="0" collapsed="false">
      <c r="A14" s="9" t="s">
        <v>29</v>
      </c>
      <c r="B14" s="9" t="s">
        <v>285</v>
      </c>
      <c r="C14" s="9" t="s">
        <v>286</v>
      </c>
      <c r="D14" s="9" t="s">
        <v>258</v>
      </c>
      <c r="E14" s="9"/>
      <c r="F14" s="9"/>
      <c r="G14" s="9"/>
      <c r="H14" s="9" t="s">
        <v>287</v>
      </c>
      <c r="I14" s="9" t="n">
        <f aca="false">COUNTA(opgave!J$2:J$2000)</f>
        <v>10</v>
      </c>
      <c r="J14" s="9" t="n">
        <f aca="false">IF(D14="ja",COUNTA(opgave!$A$2:$A$2000)-I14,"")</f>
        <v>0</v>
      </c>
    </row>
    <row r="15" customFormat="false" ht="15" hidden="false" customHeight="false" outlineLevel="0" collapsed="false">
      <c r="A15" s="9" t="s">
        <v>29</v>
      </c>
      <c r="B15" s="9" t="s">
        <v>288</v>
      </c>
      <c r="C15" s="9" t="s">
        <v>289</v>
      </c>
      <c r="D15" s="9" t="s">
        <v>258</v>
      </c>
      <c r="E15" s="9"/>
      <c r="F15" s="9"/>
      <c r="G15" s="9" t="s">
        <v>290</v>
      </c>
      <c r="H15" s="9" t="s">
        <v>291</v>
      </c>
      <c r="I15" s="9" t="n">
        <f aca="false">COUNTA(opgave!K$2:K$2000)</f>
        <v>10</v>
      </c>
      <c r="J15" s="9" t="n">
        <f aca="false">IF(D15="ja",COUNTA(opgave!$A$2:$A$2000)-I15,"")</f>
        <v>0</v>
      </c>
    </row>
    <row r="16" customFormat="false" ht="15" hidden="false" customHeight="false" outlineLevel="0" collapsed="false">
      <c r="A16" s="10" t="s">
        <v>29</v>
      </c>
      <c r="B16" s="10" t="s">
        <v>292</v>
      </c>
      <c r="C16" s="10" t="s">
        <v>293</v>
      </c>
      <c r="D16" s="10" t="s">
        <v>258</v>
      </c>
      <c r="E16" s="10"/>
      <c r="F16" s="10"/>
      <c r="G16" s="10"/>
      <c r="H16" s="10" t="s">
        <v>294</v>
      </c>
      <c r="I16" s="10" t="n">
        <f aca="false">COUNTA(opgave!L$2:L$2000)</f>
        <v>10</v>
      </c>
      <c r="J16" s="10" t="n">
        <f aca="false">IF(D16="ja",COUNTA(opgave!$A$2:$A$2000)-I16,"")</f>
        <v>0</v>
      </c>
    </row>
    <row r="17" customFormat="false" ht="15" hidden="false" customHeight="false" outlineLevel="0" collapsed="false">
      <c r="A17" s="10" t="s">
        <v>29</v>
      </c>
      <c r="B17" s="10" t="s">
        <v>295</v>
      </c>
      <c r="C17" s="10" t="s">
        <v>296</v>
      </c>
      <c r="D17" s="10" t="s">
        <v>258</v>
      </c>
      <c r="E17" s="10"/>
      <c r="F17" s="10"/>
      <c r="G17" s="10"/>
      <c r="H17" s="10" t="s">
        <v>297</v>
      </c>
      <c r="I17" s="10" t="n">
        <f aca="false">COUNTA(opgave!M$2:M$2000)</f>
        <v>10</v>
      </c>
      <c r="J17" s="10" t="n">
        <f aca="false">IF(D17="ja",COUNTA(opgave!$A$2:$A$2000)-I17,"")</f>
        <v>0</v>
      </c>
    </row>
    <row r="18" customFormat="false" ht="15" hidden="false" customHeight="false" outlineLevel="0" collapsed="false">
      <c r="A18" s="10" t="s">
        <v>29</v>
      </c>
      <c r="B18" s="10" t="s">
        <v>298</v>
      </c>
      <c r="C18" s="10" t="s">
        <v>293</v>
      </c>
      <c r="D18" s="10" t="s">
        <v>258</v>
      </c>
      <c r="E18" s="10"/>
      <c r="F18" s="10"/>
      <c r="G18" s="10"/>
      <c r="H18" s="10" t="s">
        <v>299</v>
      </c>
      <c r="I18" s="10" t="n">
        <f aca="false">COUNTA(opgave!N$2:N$2000)</f>
        <v>10</v>
      </c>
      <c r="J18" s="10" t="n">
        <f aca="false">IF(D18="ja",COUNTA(opgave!$A$2:$A$2000)-I18,"")</f>
        <v>0</v>
      </c>
    </row>
    <row r="19" customFormat="false" ht="15" hidden="false" customHeight="false" outlineLevel="0" collapsed="false">
      <c r="A19" s="10" t="s">
        <v>29</v>
      </c>
      <c r="B19" s="10" t="s">
        <v>300</v>
      </c>
      <c r="C19" s="10" t="s">
        <v>296</v>
      </c>
      <c r="D19" s="10" t="s">
        <v>258</v>
      </c>
      <c r="E19" s="10"/>
      <c r="F19" s="10"/>
      <c r="G19" s="10"/>
      <c r="H19" s="10" t="s">
        <v>301</v>
      </c>
      <c r="I19" s="10" t="n">
        <f aca="false">COUNTA(opgave!O$2:O$2000)</f>
        <v>10</v>
      </c>
      <c r="J19" s="10" t="n">
        <f aca="false">IF(D19="ja",COUNTA(opgave!$A$2:$A$2000)-I19,"")</f>
        <v>0</v>
      </c>
    </row>
    <row r="20" customFormat="false" ht="15" hidden="false" customHeight="false" outlineLevel="0" collapsed="false">
      <c r="A20" s="10" t="s">
        <v>29</v>
      </c>
      <c r="B20" s="10" t="s">
        <v>302</v>
      </c>
      <c r="C20" s="10" t="s">
        <v>279</v>
      </c>
      <c r="D20" s="10" t="s">
        <v>258</v>
      </c>
      <c r="E20" s="10"/>
      <c r="F20" s="10"/>
      <c r="G20" s="10" t="s">
        <v>303</v>
      </c>
      <c r="H20" s="10" t="s">
        <v>304</v>
      </c>
      <c r="I20" s="10" t="n">
        <f aca="false">COUNTA(opgave!P$2:P$2000)</f>
        <v>10</v>
      </c>
      <c r="J20" s="10" t="n">
        <f aca="false">IF(D20="ja",COUNTA(opgave!$A$2:$A$2000)-I20,"")</f>
        <v>0</v>
      </c>
    </row>
    <row r="21" customFormat="false" ht="15" hidden="false" customHeight="false" outlineLevel="0" collapsed="false">
      <c r="A21" s="10" t="s">
        <v>29</v>
      </c>
      <c r="B21" s="10" t="s">
        <v>305</v>
      </c>
      <c r="C21" s="10" t="s">
        <v>286</v>
      </c>
      <c r="D21" s="10" t="s">
        <v>258</v>
      </c>
      <c r="E21" s="10"/>
      <c r="F21" s="10"/>
      <c r="G21" s="10"/>
      <c r="H21" s="10" t="s">
        <v>306</v>
      </c>
      <c r="I21" s="10" t="n">
        <f aca="false">COUNTA(opgave!Q$2:Q$2000)</f>
        <v>10</v>
      </c>
      <c r="J21" s="10" t="n">
        <f aca="false">IF(D21="ja",COUNTA(opgave!$A$2:$A$2000)-I21,"")</f>
        <v>0</v>
      </c>
    </row>
    <row r="22" customFormat="false" ht="15" hidden="false" customHeight="false" outlineLevel="0" collapsed="false">
      <c r="A22" s="10" t="s">
        <v>29</v>
      </c>
      <c r="B22" s="10" t="s">
        <v>307</v>
      </c>
      <c r="C22" s="10" t="s">
        <v>308</v>
      </c>
      <c r="D22" s="10" t="s">
        <v>272</v>
      </c>
      <c r="E22" s="10"/>
      <c r="F22" s="10"/>
      <c r="G22" s="10"/>
      <c r="H22" s="10" t="s">
        <v>309</v>
      </c>
      <c r="I22" s="10" t="n">
        <f aca="false">COUNTA(opgave!R$2:R$2000)</f>
        <v>0</v>
      </c>
      <c r="J22" s="10" t="str">
        <f aca="false">IF(D22="ja",COUNTA(opgave!$A$2:$A$2000)-I22,"")</f>
        <v/>
      </c>
    </row>
    <row r="23" customFormat="false" ht="15" hidden="false" customHeight="false" outlineLevel="0" collapsed="false">
      <c r="A23" s="10" t="s">
        <v>29</v>
      </c>
      <c r="B23" s="10" t="s">
        <v>310</v>
      </c>
      <c r="C23" s="10" t="s">
        <v>308</v>
      </c>
      <c r="D23" s="10" t="s">
        <v>272</v>
      </c>
      <c r="E23" s="10"/>
      <c r="F23" s="10"/>
      <c r="G23" s="10"/>
      <c r="H23" s="10" t="s">
        <v>311</v>
      </c>
      <c r="I23" s="10" t="n">
        <f aca="false">COUNTA(opgave!S$2:S$2000)</f>
        <v>0</v>
      </c>
      <c r="J23" s="10" t="str">
        <f aca="false">IF(D23="ja",COUNTA(opgave!$A$2:$A$2000)-I23,"")</f>
        <v/>
      </c>
    </row>
    <row r="24" customFormat="false" ht="15" hidden="false" customHeight="false" outlineLevel="0" collapsed="false">
      <c r="A24" s="10" t="s">
        <v>29</v>
      </c>
      <c r="B24" s="10" t="s">
        <v>312</v>
      </c>
      <c r="C24" s="10" t="s">
        <v>271</v>
      </c>
      <c r="D24" s="10" t="s">
        <v>272</v>
      </c>
      <c r="E24" s="10"/>
      <c r="F24" s="10"/>
      <c r="G24" s="10"/>
      <c r="H24" s="10" t="s">
        <v>313</v>
      </c>
      <c r="I24" s="10" t="n">
        <f aca="false">COUNTA(opgave!T$2:T$2000)</f>
        <v>10</v>
      </c>
      <c r="J24" s="10" t="str">
        <f aca="false">IF(D24="ja",COUNTA(opgave!$A$2:$A$2000)-I24,"")</f>
        <v/>
      </c>
    </row>
    <row r="25" customFormat="false" ht="15" hidden="false" customHeight="false" outlineLevel="0" collapsed="false">
      <c r="A25" s="9" t="s">
        <v>31</v>
      </c>
      <c r="B25" s="9" t="s">
        <v>314</v>
      </c>
      <c r="C25" s="9" t="s">
        <v>257</v>
      </c>
      <c r="D25" s="9" t="s">
        <v>258</v>
      </c>
      <c r="E25" s="9" t="s">
        <v>259</v>
      </c>
      <c r="F25" s="9"/>
      <c r="G25" s="9"/>
      <c r="H25" s="9" t="s">
        <v>260</v>
      </c>
      <c r="I25" s="9" t="n">
        <f aca="false">COUNTA(procesniveau!A$2:A$2000)</f>
        <v>4</v>
      </c>
      <c r="J25" s="9" t="n">
        <f aca="false">IF(D25="ja",COUNTA(procesniveau!$A$2:$A$2000)-I25,"")</f>
        <v>0</v>
      </c>
    </row>
    <row r="26" customFormat="false" ht="15" hidden="false" customHeight="false" outlineLevel="0" collapsed="false">
      <c r="A26" s="9" t="s">
        <v>31</v>
      </c>
      <c r="B26" s="9" t="s">
        <v>315</v>
      </c>
      <c r="C26" s="9" t="s">
        <v>316</v>
      </c>
      <c r="D26" s="9" t="s">
        <v>258</v>
      </c>
      <c r="E26" s="9"/>
      <c r="F26" s="9"/>
      <c r="G26" s="9"/>
      <c r="H26" s="9" t="s">
        <v>317</v>
      </c>
      <c r="I26" s="9" t="n">
        <f aca="false">COUNTA(procesniveau!B$2:B$2000)</f>
        <v>4</v>
      </c>
      <c r="J26" s="9" t="n">
        <f aca="false">IF(D26="ja",COUNTA(procesniveau!$A$2:$A$2000)-I26,"")</f>
        <v>0</v>
      </c>
    </row>
    <row r="27" customFormat="false" ht="15" hidden="false" customHeight="false" outlineLevel="0" collapsed="false">
      <c r="A27" s="9" t="s">
        <v>31</v>
      </c>
      <c r="B27" s="9" t="s">
        <v>264</v>
      </c>
      <c r="C27" s="9" t="s">
        <v>283</v>
      </c>
      <c r="D27" s="9" t="s">
        <v>258</v>
      </c>
      <c r="E27" s="9"/>
      <c r="F27" s="9"/>
      <c r="G27" s="9"/>
      <c r="H27" s="9" t="s">
        <v>318</v>
      </c>
      <c r="I27" s="9" t="n">
        <f aca="false">COUNTA(procesniveau!C$2:C$2000)</f>
        <v>4</v>
      </c>
      <c r="J27" s="9" t="n">
        <f aca="false">IF(D27="ja",COUNTA(procesniveau!$A$2:$A$2000)-I27,"")</f>
        <v>0</v>
      </c>
    </row>
    <row r="28" customFormat="false" ht="15" hidden="false" customHeight="false" outlineLevel="0" collapsed="false">
      <c r="A28" s="9" t="s">
        <v>31</v>
      </c>
      <c r="B28" s="9" t="s">
        <v>319</v>
      </c>
      <c r="C28" s="9" t="s">
        <v>271</v>
      </c>
      <c r="D28" s="9" t="s">
        <v>258</v>
      </c>
      <c r="E28" s="9"/>
      <c r="F28" s="9"/>
      <c r="G28" s="9"/>
      <c r="H28" s="9" t="s">
        <v>320</v>
      </c>
      <c r="I28" s="9" t="n">
        <f aca="false">COUNTA(procesniveau!D$2:D$2000)</f>
        <v>4</v>
      </c>
      <c r="J28" s="9" t="n">
        <f aca="false">IF(D28="ja",COUNTA(procesniveau!$A$2:$A$2000)-I28,"")</f>
        <v>0</v>
      </c>
    </row>
    <row r="29" customFormat="false" ht="15" hidden="false" customHeight="false" outlineLevel="0" collapsed="false">
      <c r="A29" s="9" t="s">
        <v>31</v>
      </c>
      <c r="B29" s="9" t="s">
        <v>285</v>
      </c>
      <c r="C29" s="9" t="s">
        <v>286</v>
      </c>
      <c r="D29" s="9" t="s">
        <v>258</v>
      </c>
      <c r="E29" s="9"/>
      <c r="F29" s="9"/>
      <c r="G29" s="9"/>
      <c r="H29" s="9" t="s">
        <v>321</v>
      </c>
      <c r="I29" s="9" t="n">
        <f aca="false">COUNTA(procesniveau!E$2:E$2000)</f>
        <v>4</v>
      </c>
      <c r="J29" s="9" t="n">
        <f aca="false">IF(D29="ja",COUNTA(procesniveau!$A$2:$A$2000)-I29,"")</f>
        <v>0</v>
      </c>
    </row>
    <row r="30" customFormat="false" ht="15" hidden="false" customHeight="false" outlineLevel="0" collapsed="false">
      <c r="A30" s="10" t="s">
        <v>31</v>
      </c>
      <c r="B30" s="10" t="s">
        <v>292</v>
      </c>
      <c r="C30" s="10" t="s">
        <v>293</v>
      </c>
      <c r="D30" s="10" t="s">
        <v>258</v>
      </c>
      <c r="E30" s="10"/>
      <c r="F30" s="10"/>
      <c r="G30" s="10"/>
      <c r="H30" s="10" t="s">
        <v>294</v>
      </c>
      <c r="I30" s="10" t="n">
        <f aca="false">COUNTA(procesniveau!F$2:F$2000)</f>
        <v>4</v>
      </c>
      <c r="J30" s="10" t="n">
        <f aca="false">IF(D30="ja",COUNTA(procesniveau!$A$2:$A$2000)-I30,"")</f>
        <v>0</v>
      </c>
    </row>
    <row r="31" customFormat="false" ht="15" hidden="false" customHeight="false" outlineLevel="0" collapsed="false">
      <c r="A31" s="10" t="s">
        <v>31</v>
      </c>
      <c r="B31" s="10" t="s">
        <v>295</v>
      </c>
      <c r="C31" s="10" t="s">
        <v>296</v>
      </c>
      <c r="D31" s="10" t="s">
        <v>258</v>
      </c>
      <c r="E31" s="10"/>
      <c r="F31" s="10"/>
      <c r="G31" s="10"/>
      <c r="H31" s="10" t="s">
        <v>297</v>
      </c>
      <c r="I31" s="10" t="n">
        <f aca="false">COUNTA(procesniveau!G$2:G$2000)</f>
        <v>4</v>
      </c>
      <c r="J31" s="10" t="n">
        <f aca="false">IF(D31="ja",COUNTA(procesniveau!$A$2:$A$2000)-I31,"")</f>
        <v>0</v>
      </c>
    </row>
    <row r="32" customFormat="false" ht="15" hidden="false" customHeight="false" outlineLevel="0" collapsed="false">
      <c r="A32" s="10" t="s">
        <v>31</v>
      </c>
      <c r="B32" s="10" t="s">
        <v>298</v>
      </c>
      <c r="C32" s="10" t="s">
        <v>293</v>
      </c>
      <c r="D32" s="10" t="s">
        <v>258</v>
      </c>
      <c r="E32" s="10"/>
      <c r="F32" s="10"/>
      <c r="G32" s="10"/>
      <c r="H32" s="10" t="s">
        <v>299</v>
      </c>
      <c r="I32" s="10" t="n">
        <f aca="false">COUNTA(procesniveau!H$2:H$2000)</f>
        <v>4</v>
      </c>
      <c r="J32" s="10" t="n">
        <f aca="false">IF(D32="ja",COUNTA(procesniveau!$A$2:$A$2000)-I32,"")</f>
        <v>0</v>
      </c>
    </row>
    <row r="33" customFormat="false" ht="15" hidden="false" customHeight="false" outlineLevel="0" collapsed="false">
      <c r="A33" s="10" t="s">
        <v>31</v>
      </c>
      <c r="B33" s="10" t="s">
        <v>300</v>
      </c>
      <c r="C33" s="10" t="s">
        <v>296</v>
      </c>
      <c r="D33" s="10" t="s">
        <v>258</v>
      </c>
      <c r="E33" s="10"/>
      <c r="F33" s="10"/>
      <c r="G33" s="10"/>
      <c r="H33" s="10" t="s">
        <v>301</v>
      </c>
      <c r="I33" s="10" t="n">
        <f aca="false">COUNTA(procesniveau!I$2:I$2000)</f>
        <v>4</v>
      </c>
      <c r="J33" s="10" t="n">
        <f aca="false">IF(D33="ja",COUNTA(procesniveau!$A$2:$A$2000)-I33,"")</f>
        <v>0</v>
      </c>
    </row>
    <row r="34" customFormat="false" ht="15" hidden="false" customHeight="false" outlineLevel="0" collapsed="false">
      <c r="A34" s="10" t="s">
        <v>31</v>
      </c>
      <c r="B34" s="10" t="s">
        <v>302</v>
      </c>
      <c r="C34" s="10" t="s">
        <v>279</v>
      </c>
      <c r="D34" s="10" t="s">
        <v>258</v>
      </c>
      <c r="E34" s="10"/>
      <c r="F34" s="10"/>
      <c r="G34" s="10" t="s">
        <v>303</v>
      </c>
      <c r="H34" s="10" t="s">
        <v>304</v>
      </c>
      <c r="I34" s="10" t="n">
        <f aca="false">COUNTA(procesniveau!J$2:J$2000)</f>
        <v>4</v>
      </c>
      <c r="J34" s="10" t="n">
        <f aca="false">IF(D34="ja",COUNTA(procesniveau!$A$2:$A$2000)-I34,"")</f>
        <v>0</v>
      </c>
    </row>
    <row r="35" customFormat="false" ht="15" hidden="false" customHeight="false" outlineLevel="0" collapsed="false">
      <c r="A35" s="10" t="s">
        <v>31</v>
      </c>
      <c r="B35" s="10" t="s">
        <v>305</v>
      </c>
      <c r="C35" s="10" t="s">
        <v>286</v>
      </c>
      <c r="D35" s="10" t="s">
        <v>258</v>
      </c>
      <c r="E35" s="10"/>
      <c r="F35" s="10"/>
      <c r="G35" s="10"/>
      <c r="H35" s="10" t="s">
        <v>306</v>
      </c>
      <c r="I35" s="10" t="n">
        <f aca="false">COUNTA(procesniveau!K$2:K$2000)</f>
        <v>4</v>
      </c>
      <c r="J35" s="10" t="n">
        <f aca="false">IF(D35="ja",COUNTA(procesniveau!$A$2:$A$2000)-I35,"")</f>
        <v>0</v>
      </c>
    </row>
    <row r="36" customFormat="false" ht="15" hidden="false" customHeight="false" outlineLevel="0" collapsed="false">
      <c r="A36" s="10" t="s">
        <v>31</v>
      </c>
      <c r="B36" s="10" t="s">
        <v>307</v>
      </c>
      <c r="C36" s="10" t="s">
        <v>308</v>
      </c>
      <c r="D36" s="10" t="s">
        <v>272</v>
      </c>
      <c r="E36" s="10"/>
      <c r="F36" s="10"/>
      <c r="G36" s="10"/>
      <c r="H36" s="10" t="s">
        <v>309</v>
      </c>
      <c r="I36" s="10" t="n">
        <f aca="false">COUNTA(procesniveau!L$2:L$2000)</f>
        <v>0</v>
      </c>
      <c r="J36" s="10" t="str">
        <f aca="false">IF(D36="ja",COUNTA(procesniveau!$A$2:$A$2000)-I36,"")</f>
        <v/>
      </c>
    </row>
    <row r="37" customFormat="false" ht="15" hidden="false" customHeight="false" outlineLevel="0" collapsed="false">
      <c r="A37" s="10" t="s">
        <v>31</v>
      </c>
      <c r="B37" s="10" t="s">
        <v>310</v>
      </c>
      <c r="C37" s="10" t="s">
        <v>308</v>
      </c>
      <c r="D37" s="10" t="s">
        <v>272</v>
      </c>
      <c r="E37" s="10"/>
      <c r="F37" s="10"/>
      <c r="G37" s="10"/>
      <c r="H37" s="10" t="s">
        <v>311</v>
      </c>
      <c r="I37" s="10" t="n">
        <f aca="false">COUNTA(procesniveau!M$2:M$2000)</f>
        <v>0</v>
      </c>
      <c r="J37" s="10" t="str">
        <f aca="false">IF(D37="ja",COUNTA(procesniveau!$A$2:$A$2000)-I37,"")</f>
        <v/>
      </c>
    </row>
    <row r="38" customFormat="false" ht="15" hidden="false" customHeight="false" outlineLevel="0" collapsed="false">
      <c r="A38" s="10" t="s">
        <v>31</v>
      </c>
      <c r="B38" s="10" t="s">
        <v>312</v>
      </c>
      <c r="C38" s="10" t="s">
        <v>271</v>
      </c>
      <c r="D38" s="10" t="s">
        <v>272</v>
      </c>
      <c r="E38" s="10"/>
      <c r="F38" s="10"/>
      <c r="G38" s="10"/>
      <c r="H38" s="10" t="s">
        <v>313</v>
      </c>
      <c r="I38" s="10" t="n">
        <f aca="false">COUNTA(procesniveau!N$2:N$2000)</f>
        <v>4</v>
      </c>
      <c r="J38" s="10" t="str">
        <f aca="false">IF(D38="ja",COUNTA(procesniveau!$A$2:$A$2000)-I38,"")</f>
        <v/>
      </c>
    </row>
    <row r="39" customFormat="false" ht="15" hidden="false" customHeight="false" outlineLevel="0" collapsed="false">
      <c r="A39" s="9" t="s">
        <v>32</v>
      </c>
      <c r="B39" s="9" t="s">
        <v>322</v>
      </c>
      <c r="C39" s="9" t="s">
        <v>257</v>
      </c>
      <c r="D39" s="9" t="s">
        <v>258</v>
      </c>
      <c r="E39" s="9" t="s">
        <v>259</v>
      </c>
      <c r="F39" s="9"/>
      <c r="G39" s="9"/>
      <c r="H39" s="9" t="s">
        <v>260</v>
      </c>
      <c r="I39" s="9" t="n">
        <f aca="false">COUNTA(procesfase!A$2:A$2000)</f>
        <v>12</v>
      </c>
      <c r="J39" s="9" t="n">
        <f aca="false">IF(D39="ja",COUNTA(procesfase!$A$2:$A$2000)-I39,"")</f>
        <v>0</v>
      </c>
    </row>
    <row r="40" customFormat="false" ht="15" hidden="false" customHeight="false" outlineLevel="0" collapsed="false">
      <c r="A40" s="9" t="s">
        <v>32</v>
      </c>
      <c r="B40" s="9" t="s">
        <v>314</v>
      </c>
      <c r="C40" s="9" t="s">
        <v>323</v>
      </c>
      <c r="D40" s="9" t="s">
        <v>258</v>
      </c>
      <c r="E40" s="9" t="s">
        <v>324</v>
      </c>
      <c r="F40" s="9" t="s">
        <v>325</v>
      </c>
      <c r="G40" s="9"/>
      <c r="H40" s="9" t="s">
        <v>326</v>
      </c>
      <c r="I40" s="9" t="n">
        <f aca="false">COUNTA(procesfase!B$2:B$2000)</f>
        <v>12</v>
      </c>
      <c r="J40" s="9" t="n">
        <f aca="false">IF(D40="ja",COUNTA(procesfase!$A$2:$A$2000)-I40,"")</f>
        <v>0</v>
      </c>
    </row>
    <row r="41" customFormat="false" ht="15" hidden="false" customHeight="false" outlineLevel="0" collapsed="false">
      <c r="A41" s="9" t="s">
        <v>32</v>
      </c>
      <c r="B41" s="9" t="s">
        <v>327</v>
      </c>
      <c r="C41" s="9" t="s">
        <v>262</v>
      </c>
      <c r="D41" s="9" t="s">
        <v>258</v>
      </c>
      <c r="E41" s="9"/>
      <c r="F41" s="9"/>
      <c r="G41" s="9"/>
      <c r="H41" s="9" t="s">
        <v>328</v>
      </c>
      <c r="I41" s="9" t="n">
        <f aca="false">COUNTA(procesfase!C$2:C$2000)</f>
        <v>12</v>
      </c>
      <c r="J41" s="9" t="n">
        <f aca="false">IF(D41="ja",COUNTA(procesfase!$A$2:$A$2000)-I41,"")</f>
        <v>0</v>
      </c>
    </row>
    <row r="42" customFormat="false" ht="15" hidden="false" customHeight="false" outlineLevel="0" collapsed="false">
      <c r="A42" s="9" t="s">
        <v>32</v>
      </c>
      <c r="B42" s="9" t="s">
        <v>264</v>
      </c>
      <c r="C42" s="9" t="s">
        <v>265</v>
      </c>
      <c r="D42" s="9" t="s">
        <v>258</v>
      </c>
      <c r="E42" s="9"/>
      <c r="F42" s="9"/>
      <c r="G42" s="9"/>
      <c r="H42" s="9" t="s">
        <v>329</v>
      </c>
      <c r="I42" s="9" t="n">
        <f aca="false">COUNTA(procesfase!D$2:D$2000)</f>
        <v>12</v>
      </c>
      <c r="J42" s="9" t="n">
        <f aca="false">IF(D42="ja",COUNTA(procesfase!$A$2:$A$2000)-I42,"")</f>
        <v>0</v>
      </c>
    </row>
    <row r="43" customFormat="false" ht="15" hidden="false" customHeight="false" outlineLevel="0" collapsed="false">
      <c r="A43" s="9" t="s">
        <v>32</v>
      </c>
      <c r="B43" s="9" t="s">
        <v>330</v>
      </c>
      <c r="C43" s="9" t="s">
        <v>271</v>
      </c>
      <c r="D43" s="9" t="s">
        <v>258</v>
      </c>
      <c r="E43" s="9"/>
      <c r="F43" s="9"/>
      <c r="G43" s="9"/>
      <c r="H43" s="9" t="s">
        <v>331</v>
      </c>
      <c r="I43" s="9" t="n">
        <f aca="false">COUNTA(procesfase!E$2:E$2000)</f>
        <v>12</v>
      </c>
      <c r="J43" s="9" t="n">
        <f aca="false">IF(D43="ja",COUNTA(procesfase!$A$2:$A$2000)-I43,"")</f>
        <v>0</v>
      </c>
    </row>
    <row r="44" customFormat="false" ht="15" hidden="false" customHeight="false" outlineLevel="0" collapsed="false">
      <c r="A44" s="9" t="s">
        <v>32</v>
      </c>
      <c r="B44" s="9" t="s">
        <v>319</v>
      </c>
      <c r="C44" s="9" t="s">
        <v>271</v>
      </c>
      <c r="D44" s="9" t="s">
        <v>272</v>
      </c>
      <c r="E44" s="9"/>
      <c r="F44" s="9"/>
      <c r="G44" s="9"/>
      <c r="H44" s="9" t="s">
        <v>332</v>
      </c>
      <c r="I44" s="9" t="n">
        <f aca="false">COUNTA(procesfase!F$2:F$2000)</f>
        <v>12</v>
      </c>
      <c r="J44" s="9" t="str">
        <f aca="false">IF(D44="ja",COUNTA(procesfase!$A$2:$A$2000)-I44,"")</f>
        <v/>
      </c>
    </row>
    <row r="45" customFormat="false" ht="15" hidden="false" customHeight="false" outlineLevel="0" collapsed="false">
      <c r="A45" s="9" t="s">
        <v>32</v>
      </c>
      <c r="B45" s="9" t="s">
        <v>333</v>
      </c>
      <c r="C45" s="9" t="s">
        <v>271</v>
      </c>
      <c r="D45" s="9" t="s">
        <v>272</v>
      </c>
      <c r="E45" s="9"/>
      <c r="F45" s="9"/>
      <c r="G45" s="9"/>
      <c r="H45" s="9" t="s">
        <v>334</v>
      </c>
      <c r="I45" s="9" t="n">
        <f aca="false">COUNTA(procesfase!G$2:G$2000)</f>
        <v>12</v>
      </c>
      <c r="J45" s="9" t="str">
        <f aca="false">IF(D45="ja",COUNTA(procesfase!$A$2:$A$2000)-I45,"")</f>
        <v/>
      </c>
    </row>
    <row r="46" customFormat="false" ht="15" hidden="false" customHeight="false" outlineLevel="0" collapsed="false">
      <c r="A46" s="9" t="s">
        <v>32</v>
      </c>
      <c r="B46" s="9" t="s">
        <v>335</v>
      </c>
      <c r="C46" s="9" t="s">
        <v>271</v>
      </c>
      <c r="D46" s="9" t="s">
        <v>272</v>
      </c>
      <c r="E46" s="9"/>
      <c r="F46" s="9"/>
      <c r="G46" s="9"/>
      <c r="H46" s="9" t="s">
        <v>336</v>
      </c>
      <c r="I46" s="9" t="n">
        <f aca="false">COUNTA(procesfase!H$2:H$2000)</f>
        <v>12</v>
      </c>
      <c r="J46" s="9" t="str">
        <f aca="false">IF(D46="ja",COUNTA(procesfase!$A$2:$A$2000)-I46,"")</f>
        <v/>
      </c>
    </row>
    <row r="47" customFormat="false" ht="15" hidden="false" customHeight="false" outlineLevel="0" collapsed="false">
      <c r="A47" s="9" t="s">
        <v>32</v>
      </c>
      <c r="B47" s="9" t="s">
        <v>337</v>
      </c>
      <c r="C47" s="9" t="s">
        <v>271</v>
      </c>
      <c r="D47" s="9" t="s">
        <v>272</v>
      </c>
      <c r="E47" s="9"/>
      <c r="F47" s="9"/>
      <c r="G47" s="9"/>
      <c r="H47" s="9" t="s">
        <v>338</v>
      </c>
      <c r="I47" s="9" t="n">
        <f aca="false">COUNTA(procesfase!I$2:I$2000)</f>
        <v>12</v>
      </c>
      <c r="J47" s="9" t="str">
        <f aca="false">IF(D47="ja",COUNTA(procesfase!$A$2:$A$2000)-I47,"")</f>
        <v/>
      </c>
    </row>
    <row r="48" customFormat="false" ht="15" hidden="false" customHeight="false" outlineLevel="0" collapsed="false">
      <c r="A48" s="9" t="s">
        <v>32</v>
      </c>
      <c r="B48" s="9" t="s">
        <v>285</v>
      </c>
      <c r="C48" s="9" t="s">
        <v>286</v>
      </c>
      <c r="D48" s="9" t="s">
        <v>258</v>
      </c>
      <c r="E48" s="9"/>
      <c r="F48" s="9"/>
      <c r="G48" s="9"/>
      <c r="H48" s="9" t="s">
        <v>339</v>
      </c>
      <c r="I48" s="9" t="n">
        <f aca="false">COUNTA(procesfase!J$2:J$2000)</f>
        <v>12</v>
      </c>
      <c r="J48" s="9" t="n">
        <f aca="false">IF(D48="ja",COUNTA(procesfase!$A$2:$A$2000)-I48,"")</f>
        <v>0</v>
      </c>
    </row>
    <row r="49" customFormat="false" ht="15" hidden="false" customHeight="false" outlineLevel="0" collapsed="false">
      <c r="A49" s="9" t="s">
        <v>32</v>
      </c>
      <c r="B49" s="9" t="s">
        <v>340</v>
      </c>
      <c r="C49" s="9" t="s">
        <v>289</v>
      </c>
      <c r="D49" s="9" t="s">
        <v>258</v>
      </c>
      <c r="E49" s="9"/>
      <c r="F49" s="9"/>
      <c r="G49" s="9" t="s">
        <v>290</v>
      </c>
      <c r="H49" s="9" t="s">
        <v>341</v>
      </c>
      <c r="I49" s="9" t="n">
        <f aca="false">COUNTA(procesfase!K$2:K$2000)</f>
        <v>12</v>
      </c>
      <c r="J49" s="9" t="n">
        <f aca="false">IF(D49="ja",COUNTA(procesfase!$A$2:$A$2000)-I49,"")</f>
        <v>0</v>
      </c>
    </row>
    <row r="50" customFormat="false" ht="15" hidden="false" customHeight="false" outlineLevel="0" collapsed="false">
      <c r="A50" s="9" t="s">
        <v>32</v>
      </c>
      <c r="B50" s="9" t="s">
        <v>342</v>
      </c>
      <c r="C50" s="9" t="s">
        <v>323</v>
      </c>
      <c r="D50" s="9" t="s">
        <v>258</v>
      </c>
      <c r="E50" s="9" t="s">
        <v>324</v>
      </c>
      <c r="F50" s="9" t="s">
        <v>343</v>
      </c>
      <c r="G50" s="9"/>
      <c r="H50" s="9" t="s">
        <v>344</v>
      </c>
      <c r="I50" s="9" t="n">
        <f aca="false">COUNTA(procesfase!L$2:L$2000)</f>
        <v>12</v>
      </c>
      <c r="J50" s="9" t="n">
        <f aca="false">IF(D50="ja",COUNTA(procesfase!$A$2:$A$2000)-I50,"")</f>
        <v>0</v>
      </c>
    </row>
    <row r="51" customFormat="false" ht="15" hidden="false" customHeight="false" outlineLevel="0" collapsed="false">
      <c r="A51" s="10" t="s">
        <v>32</v>
      </c>
      <c r="B51" s="10" t="s">
        <v>292</v>
      </c>
      <c r="C51" s="10" t="s">
        <v>293</v>
      </c>
      <c r="D51" s="10" t="s">
        <v>258</v>
      </c>
      <c r="E51" s="10"/>
      <c r="F51" s="10"/>
      <c r="G51" s="10"/>
      <c r="H51" s="10" t="s">
        <v>294</v>
      </c>
      <c r="I51" s="10" t="n">
        <f aca="false">COUNTA(procesfase!M$2:M$2000)</f>
        <v>12</v>
      </c>
      <c r="J51" s="10" t="n">
        <f aca="false">IF(D51="ja",COUNTA(procesfase!$A$2:$A$2000)-I51,"")</f>
        <v>0</v>
      </c>
    </row>
    <row r="52" customFormat="false" ht="15" hidden="false" customHeight="false" outlineLevel="0" collapsed="false">
      <c r="A52" s="10" t="s">
        <v>32</v>
      </c>
      <c r="B52" s="10" t="s">
        <v>295</v>
      </c>
      <c r="C52" s="10" t="s">
        <v>296</v>
      </c>
      <c r="D52" s="10" t="s">
        <v>258</v>
      </c>
      <c r="E52" s="10"/>
      <c r="F52" s="10"/>
      <c r="G52" s="10"/>
      <c r="H52" s="10" t="s">
        <v>297</v>
      </c>
      <c r="I52" s="10" t="n">
        <f aca="false">COUNTA(procesfase!N$2:N$2000)</f>
        <v>12</v>
      </c>
      <c r="J52" s="10" t="n">
        <f aca="false">IF(D52="ja",COUNTA(procesfase!$A$2:$A$2000)-I52,"")</f>
        <v>0</v>
      </c>
    </row>
    <row r="53" customFormat="false" ht="15" hidden="false" customHeight="false" outlineLevel="0" collapsed="false">
      <c r="A53" s="10" t="s">
        <v>32</v>
      </c>
      <c r="B53" s="10" t="s">
        <v>298</v>
      </c>
      <c r="C53" s="10" t="s">
        <v>293</v>
      </c>
      <c r="D53" s="10" t="s">
        <v>258</v>
      </c>
      <c r="E53" s="10"/>
      <c r="F53" s="10"/>
      <c r="G53" s="10"/>
      <c r="H53" s="10" t="s">
        <v>299</v>
      </c>
      <c r="I53" s="10" t="n">
        <f aca="false">COUNTA(procesfase!O$2:O$2000)</f>
        <v>12</v>
      </c>
      <c r="J53" s="10" t="n">
        <f aca="false">IF(D53="ja",COUNTA(procesfase!$A$2:$A$2000)-I53,"")</f>
        <v>0</v>
      </c>
    </row>
    <row r="54" customFormat="false" ht="15" hidden="false" customHeight="false" outlineLevel="0" collapsed="false">
      <c r="A54" s="10" t="s">
        <v>32</v>
      </c>
      <c r="B54" s="10" t="s">
        <v>300</v>
      </c>
      <c r="C54" s="10" t="s">
        <v>296</v>
      </c>
      <c r="D54" s="10" t="s">
        <v>258</v>
      </c>
      <c r="E54" s="10"/>
      <c r="F54" s="10"/>
      <c r="G54" s="10"/>
      <c r="H54" s="10" t="s">
        <v>301</v>
      </c>
      <c r="I54" s="10" t="n">
        <f aca="false">COUNTA(procesfase!P$2:P$2000)</f>
        <v>12</v>
      </c>
      <c r="J54" s="10" t="n">
        <f aca="false">IF(D54="ja",COUNTA(procesfase!$A$2:$A$2000)-I54,"")</f>
        <v>0</v>
      </c>
    </row>
    <row r="55" customFormat="false" ht="15" hidden="false" customHeight="false" outlineLevel="0" collapsed="false">
      <c r="A55" s="10" t="s">
        <v>32</v>
      </c>
      <c r="B55" s="10" t="s">
        <v>302</v>
      </c>
      <c r="C55" s="10" t="s">
        <v>279</v>
      </c>
      <c r="D55" s="10" t="s">
        <v>258</v>
      </c>
      <c r="E55" s="10"/>
      <c r="F55" s="10"/>
      <c r="G55" s="10" t="s">
        <v>303</v>
      </c>
      <c r="H55" s="10" t="s">
        <v>304</v>
      </c>
      <c r="I55" s="10" t="n">
        <f aca="false">COUNTA(procesfase!Q$2:Q$2000)</f>
        <v>12</v>
      </c>
      <c r="J55" s="10" t="n">
        <f aca="false">IF(D55="ja",COUNTA(procesfase!$A$2:$A$2000)-I55,"")</f>
        <v>0</v>
      </c>
    </row>
    <row r="56" customFormat="false" ht="15" hidden="false" customHeight="false" outlineLevel="0" collapsed="false">
      <c r="A56" s="10" t="s">
        <v>32</v>
      </c>
      <c r="B56" s="10" t="s">
        <v>305</v>
      </c>
      <c r="C56" s="10" t="s">
        <v>286</v>
      </c>
      <c r="D56" s="10" t="s">
        <v>258</v>
      </c>
      <c r="E56" s="10"/>
      <c r="F56" s="10"/>
      <c r="G56" s="10"/>
      <c r="H56" s="10" t="s">
        <v>306</v>
      </c>
      <c r="I56" s="10" t="n">
        <f aca="false">COUNTA(procesfase!R$2:R$2000)</f>
        <v>12</v>
      </c>
      <c r="J56" s="10" t="n">
        <f aca="false">IF(D56="ja",COUNTA(procesfase!$A$2:$A$2000)-I56,"")</f>
        <v>0</v>
      </c>
    </row>
    <row r="57" customFormat="false" ht="15" hidden="false" customHeight="false" outlineLevel="0" collapsed="false">
      <c r="A57" s="10" t="s">
        <v>32</v>
      </c>
      <c r="B57" s="10" t="s">
        <v>307</v>
      </c>
      <c r="C57" s="10" t="s">
        <v>308</v>
      </c>
      <c r="D57" s="10" t="s">
        <v>272</v>
      </c>
      <c r="E57" s="10"/>
      <c r="F57" s="10"/>
      <c r="G57" s="10"/>
      <c r="H57" s="10" t="s">
        <v>309</v>
      </c>
      <c r="I57" s="10" t="n">
        <f aca="false">COUNTA(procesfase!S$2:S$2000)</f>
        <v>0</v>
      </c>
      <c r="J57" s="10" t="str">
        <f aca="false">IF(D57="ja",COUNTA(procesfase!$A$2:$A$2000)-I57,"")</f>
        <v/>
      </c>
    </row>
    <row r="58" customFormat="false" ht="15" hidden="false" customHeight="false" outlineLevel="0" collapsed="false">
      <c r="A58" s="10" t="s">
        <v>32</v>
      </c>
      <c r="B58" s="10" t="s">
        <v>310</v>
      </c>
      <c r="C58" s="10" t="s">
        <v>308</v>
      </c>
      <c r="D58" s="10" t="s">
        <v>272</v>
      </c>
      <c r="E58" s="10"/>
      <c r="F58" s="10"/>
      <c r="G58" s="10"/>
      <c r="H58" s="10" t="s">
        <v>311</v>
      </c>
      <c r="I58" s="10" t="n">
        <f aca="false">COUNTA(procesfase!T$2:T$2000)</f>
        <v>0</v>
      </c>
      <c r="J58" s="10" t="str">
        <f aca="false">IF(D58="ja",COUNTA(procesfase!$A$2:$A$2000)-I58,"")</f>
        <v/>
      </c>
    </row>
    <row r="59" customFormat="false" ht="15" hidden="false" customHeight="false" outlineLevel="0" collapsed="false">
      <c r="A59" s="10" t="s">
        <v>32</v>
      </c>
      <c r="B59" s="10" t="s">
        <v>312</v>
      </c>
      <c r="C59" s="10" t="s">
        <v>271</v>
      </c>
      <c r="D59" s="10" t="s">
        <v>272</v>
      </c>
      <c r="E59" s="10"/>
      <c r="F59" s="10"/>
      <c r="G59" s="10"/>
      <c r="H59" s="10" t="s">
        <v>313</v>
      </c>
      <c r="I59" s="10" t="n">
        <f aca="false">COUNTA(procesfase!U$2:U$2000)</f>
        <v>12</v>
      </c>
      <c r="J59" s="10" t="str">
        <f aca="false">IF(D59="ja",COUNTA(procesfase!$A$2:$A$2000)-I59,"")</f>
        <v/>
      </c>
    </row>
    <row r="60" customFormat="false" ht="15" hidden="false" customHeight="false" outlineLevel="0" collapsed="false">
      <c r="A60" s="9" t="s">
        <v>33</v>
      </c>
      <c r="B60" s="9" t="s">
        <v>345</v>
      </c>
      <c r="C60" s="9" t="s">
        <v>257</v>
      </c>
      <c r="D60" s="9" t="s">
        <v>258</v>
      </c>
      <c r="E60" s="9" t="s">
        <v>259</v>
      </c>
      <c r="F60" s="9"/>
      <c r="G60" s="9"/>
      <c r="H60" s="9"/>
      <c r="I60" s="9" t="n">
        <f aca="false">COUNTA(procesfase_relatie!A$2:A$2000)</f>
        <v>16</v>
      </c>
      <c r="J60" s="9" t="n">
        <f aca="false">IF(D60="ja",COUNTA(procesfase_relatie!$A$2:$A$2000)-I60,"")</f>
        <v>0</v>
      </c>
    </row>
    <row r="61" customFormat="false" ht="15" hidden="false" customHeight="false" outlineLevel="0" collapsed="false">
      <c r="A61" s="9" t="s">
        <v>33</v>
      </c>
      <c r="B61" s="9" t="s">
        <v>346</v>
      </c>
      <c r="C61" s="9" t="s">
        <v>323</v>
      </c>
      <c r="D61" s="9" t="s">
        <v>258</v>
      </c>
      <c r="E61" s="9" t="s">
        <v>324</v>
      </c>
      <c r="F61" s="9" t="s">
        <v>347</v>
      </c>
      <c r="G61" s="9"/>
      <c r="H61" s="9"/>
      <c r="I61" s="9" t="n">
        <f aca="false">COUNTA(procesfase_relatie!B$2:B$2000)</f>
        <v>16</v>
      </c>
      <c r="J61" s="9" t="n">
        <f aca="false">IF(D61="ja",COUNTA(procesfase_relatie!$A$2:$A$2000)-I61,"")</f>
        <v>0</v>
      </c>
    </row>
    <row r="62" customFormat="false" ht="15" hidden="false" customHeight="false" outlineLevel="0" collapsed="false">
      <c r="A62" s="9" t="s">
        <v>33</v>
      </c>
      <c r="B62" s="9" t="s">
        <v>348</v>
      </c>
      <c r="C62" s="9" t="s">
        <v>323</v>
      </c>
      <c r="D62" s="9" t="s">
        <v>258</v>
      </c>
      <c r="E62" s="9" t="s">
        <v>324</v>
      </c>
      <c r="F62" s="9" t="s">
        <v>347</v>
      </c>
      <c r="G62" s="9"/>
      <c r="H62" s="9"/>
      <c r="I62" s="9" t="n">
        <f aca="false">COUNTA(procesfase_relatie!C$2:C$2000)</f>
        <v>16</v>
      </c>
      <c r="J62" s="9" t="n">
        <f aca="false">IF(D62="ja",COUNTA(procesfase_relatie!$A$2:$A$2000)-I62,"")</f>
        <v>0</v>
      </c>
    </row>
    <row r="63" customFormat="false" ht="23.85" hidden="false" customHeight="false" outlineLevel="0" collapsed="false">
      <c r="A63" s="9" t="s">
        <v>33</v>
      </c>
      <c r="B63" s="9" t="s">
        <v>349</v>
      </c>
      <c r="C63" s="9" t="s">
        <v>279</v>
      </c>
      <c r="D63" s="9" t="s">
        <v>258</v>
      </c>
      <c r="E63" s="9"/>
      <c r="F63" s="9"/>
      <c r="G63" s="9" t="s">
        <v>350</v>
      </c>
      <c r="H63" s="9"/>
      <c r="I63" s="9" t="n">
        <f aca="false">COUNTA(procesfase_relatie!D$2:D$2000)</f>
        <v>16</v>
      </c>
      <c r="J63" s="9" t="n">
        <f aca="false">IF(D63="ja",COUNTA(procesfase_relatie!$A$2:$A$2000)-I63,"")</f>
        <v>0</v>
      </c>
    </row>
    <row r="64" customFormat="false" ht="15" hidden="false" customHeight="false" outlineLevel="0" collapsed="false">
      <c r="A64" s="9" t="s">
        <v>33</v>
      </c>
      <c r="B64" s="9" t="s">
        <v>351</v>
      </c>
      <c r="C64" s="9" t="s">
        <v>271</v>
      </c>
      <c r="D64" s="9" t="s">
        <v>272</v>
      </c>
      <c r="E64" s="9"/>
      <c r="F64" s="9"/>
      <c r="G64" s="9"/>
      <c r="H64" s="9"/>
      <c r="I64" s="9" t="n">
        <f aca="false">COUNTA(procesfase_relatie!E$2:E$2000)</f>
        <v>2</v>
      </c>
      <c r="J64" s="9" t="str">
        <f aca="false">IF(D64="ja",COUNTA(procesfase_relatie!$A$2:$A$2000)-I64,"")</f>
        <v/>
      </c>
    </row>
    <row r="65" customFormat="false" ht="15" hidden="false" customHeight="false" outlineLevel="0" collapsed="false">
      <c r="A65" s="9" t="s">
        <v>33</v>
      </c>
      <c r="B65" s="9" t="s">
        <v>352</v>
      </c>
      <c r="C65" s="9" t="s">
        <v>289</v>
      </c>
      <c r="D65" s="9" t="s">
        <v>258</v>
      </c>
      <c r="E65" s="9"/>
      <c r="F65" s="9"/>
      <c r="G65" s="9" t="s">
        <v>290</v>
      </c>
      <c r="H65" s="9"/>
      <c r="I65" s="9" t="n">
        <f aca="false">COUNTA(procesfase_relatie!F$2:F$2000)</f>
        <v>16</v>
      </c>
      <c r="J65" s="9" t="n">
        <f aca="false">IF(D65="ja",COUNTA(procesfase_relatie!$A$2:$A$2000)-I65,"")</f>
        <v>0</v>
      </c>
    </row>
    <row r="66" customFormat="false" ht="15" hidden="false" customHeight="false" outlineLevel="0" collapsed="false">
      <c r="A66" s="9" t="s">
        <v>33</v>
      </c>
      <c r="B66" s="9" t="s">
        <v>285</v>
      </c>
      <c r="C66" s="9" t="s">
        <v>286</v>
      </c>
      <c r="D66" s="9" t="s">
        <v>272</v>
      </c>
      <c r="E66" s="9"/>
      <c r="F66" s="9"/>
      <c r="G66" s="9"/>
      <c r="H66" s="9"/>
      <c r="I66" s="9" t="n">
        <f aca="false">COUNTA(procesfase_relatie!G$2:G$2000)</f>
        <v>16</v>
      </c>
      <c r="J66" s="9" t="str">
        <f aca="false">IF(D66="ja",COUNTA(procesfase_relatie!$A$2:$A$2000)-I66,"")</f>
        <v/>
      </c>
    </row>
    <row r="67" customFormat="false" ht="15" hidden="false" customHeight="false" outlineLevel="0" collapsed="false">
      <c r="A67" s="10" t="s">
        <v>33</v>
      </c>
      <c r="B67" s="10" t="s">
        <v>292</v>
      </c>
      <c r="C67" s="10" t="s">
        <v>293</v>
      </c>
      <c r="D67" s="10" t="s">
        <v>258</v>
      </c>
      <c r="E67" s="10"/>
      <c r="F67" s="10"/>
      <c r="G67" s="10"/>
      <c r="H67" s="10" t="s">
        <v>294</v>
      </c>
      <c r="I67" s="10" t="n">
        <f aca="false">COUNTA(procesfase_relatie!H$2:H$2000)</f>
        <v>16</v>
      </c>
      <c r="J67" s="10" t="n">
        <f aca="false">IF(D67="ja",COUNTA(procesfase_relatie!$A$2:$A$2000)-I67,"")</f>
        <v>0</v>
      </c>
    </row>
    <row r="68" customFormat="false" ht="15" hidden="false" customHeight="false" outlineLevel="0" collapsed="false">
      <c r="A68" s="10" t="s">
        <v>33</v>
      </c>
      <c r="B68" s="10" t="s">
        <v>295</v>
      </c>
      <c r="C68" s="10" t="s">
        <v>296</v>
      </c>
      <c r="D68" s="10" t="s">
        <v>258</v>
      </c>
      <c r="E68" s="10"/>
      <c r="F68" s="10"/>
      <c r="G68" s="10"/>
      <c r="H68" s="10" t="s">
        <v>297</v>
      </c>
      <c r="I68" s="10" t="n">
        <f aca="false">COUNTA(procesfase_relatie!I$2:I$2000)</f>
        <v>16</v>
      </c>
      <c r="J68" s="10" t="n">
        <f aca="false">IF(D68="ja",COUNTA(procesfase_relatie!$A$2:$A$2000)-I68,"")</f>
        <v>0</v>
      </c>
    </row>
    <row r="69" customFormat="false" ht="15" hidden="false" customHeight="false" outlineLevel="0" collapsed="false">
      <c r="A69" s="10" t="s">
        <v>33</v>
      </c>
      <c r="B69" s="10" t="s">
        <v>298</v>
      </c>
      <c r="C69" s="10" t="s">
        <v>293</v>
      </c>
      <c r="D69" s="10" t="s">
        <v>258</v>
      </c>
      <c r="E69" s="10"/>
      <c r="F69" s="10"/>
      <c r="G69" s="10"/>
      <c r="H69" s="10" t="s">
        <v>299</v>
      </c>
      <c r="I69" s="10" t="n">
        <f aca="false">COUNTA(procesfase_relatie!J$2:J$2000)</f>
        <v>16</v>
      </c>
      <c r="J69" s="10" t="n">
        <f aca="false">IF(D69="ja",COUNTA(procesfase_relatie!$A$2:$A$2000)-I69,"")</f>
        <v>0</v>
      </c>
    </row>
    <row r="70" customFormat="false" ht="15" hidden="false" customHeight="false" outlineLevel="0" collapsed="false">
      <c r="A70" s="10" t="s">
        <v>33</v>
      </c>
      <c r="B70" s="10" t="s">
        <v>300</v>
      </c>
      <c r="C70" s="10" t="s">
        <v>296</v>
      </c>
      <c r="D70" s="10" t="s">
        <v>258</v>
      </c>
      <c r="E70" s="10"/>
      <c r="F70" s="10"/>
      <c r="G70" s="10"/>
      <c r="H70" s="10" t="s">
        <v>301</v>
      </c>
      <c r="I70" s="10" t="n">
        <f aca="false">COUNTA(procesfase_relatie!K$2:K$2000)</f>
        <v>16</v>
      </c>
      <c r="J70" s="10" t="n">
        <f aca="false">IF(D70="ja",COUNTA(procesfase_relatie!$A$2:$A$2000)-I70,"")</f>
        <v>0</v>
      </c>
    </row>
    <row r="71" customFormat="false" ht="15" hidden="false" customHeight="false" outlineLevel="0" collapsed="false">
      <c r="A71" s="10" t="s">
        <v>33</v>
      </c>
      <c r="B71" s="10" t="s">
        <v>302</v>
      </c>
      <c r="C71" s="10" t="s">
        <v>279</v>
      </c>
      <c r="D71" s="10" t="s">
        <v>258</v>
      </c>
      <c r="E71" s="10"/>
      <c r="F71" s="10"/>
      <c r="G71" s="10" t="s">
        <v>303</v>
      </c>
      <c r="H71" s="10" t="s">
        <v>304</v>
      </c>
      <c r="I71" s="10" t="n">
        <f aca="false">COUNTA(procesfase_relatie!L$2:L$2000)</f>
        <v>16</v>
      </c>
      <c r="J71" s="10" t="n">
        <f aca="false">IF(D71="ja",COUNTA(procesfase_relatie!$A$2:$A$2000)-I71,"")</f>
        <v>0</v>
      </c>
    </row>
    <row r="72" customFormat="false" ht="15" hidden="false" customHeight="false" outlineLevel="0" collapsed="false">
      <c r="A72" s="10" t="s">
        <v>33</v>
      </c>
      <c r="B72" s="10" t="s">
        <v>305</v>
      </c>
      <c r="C72" s="10" t="s">
        <v>286</v>
      </c>
      <c r="D72" s="10" t="s">
        <v>258</v>
      </c>
      <c r="E72" s="10"/>
      <c r="F72" s="10"/>
      <c r="G72" s="10"/>
      <c r="H72" s="10" t="s">
        <v>306</v>
      </c>
      <c r="I72" s="10" t="n">
        <f aca="false">COUNTA(procesfase_relatie!M$2:M$2000)</f>
        <v>16</v>
      </c>
      <c r="J72" s="10" t="n">
        <f aca="false">IF(D72="ja",COUNTA(procesfase_relatie!$A$2:$A$2000)-I72,"")</f>
        <v>0</v>
      </c>
    </row>
    <row r="73" customFormat="false" ht="15" hidden="false" customHeight="false" outlineLevel="0" collapsed="false">
      <c r="A73" s="10" t="s">
        <v>33</v>
      </c>
      <c r="B73" s="10" t="s">
        <v>307</v>
      </c>
      <c r="C73" s="10" t="s">
        <v>308</v>
      </c>
      <c r="D73" s="10" t="s">
        <v>272</v>
      </c>
      <c r="E73" s="10"/>
      <c r="F73" s="10"/>
      <c r="G73" s="10"/>
      <c r="H73" s="10" t="s">
        <v>309</v>
      </c>
      <c r="I73" s="10" t="n">
        <f aca="false">COUNTA(procesfase_relatie!N$2:N$2000)</f>
        <v>0</v>
      </c>
      <c r="J73" s="10" t="str">
        <f aca="false">IF(D73="ja",COUNTA(procesfase_relatie!$A$2:$A$2000)-I73,"")</f>
        <v/>
      </c>
    </row>
    <row r="74" customFormat="false" ht="15" hidden="false" customHeight="false" outlineLevel="0" collapsed="false">
      <c r="A74" s="10" t="s">
        <v>33</v>
      </c>
      <c r="B74" s="10" t="s">
        <v>310</v>
      </c>
      <c r="C74" s="10" t="s">
        <v>308</v>
      </c>
      <c r="D74" s="10" t="s">
        <v>272</v>
      </c>
      <c r="E74" s="10"/>
      <c r="F74" s="10"/>
      <c r="G74" s="10"/>
      <c r="H74" s="10" t="s">
        <v>311</v>
      </c>
      <c r="I74" s="10" t="n">
        <f aca="false">COUNTA(procesfase_relatie!O$2:O$2000)</f>
        <v>0</v>
      </c>
      <c r="J74" s="10" t="str">
        <f aca="false">IF(D74="ja",COUNTA(procesfase_relatie!$A$2:$A$2000)-I74,"")</f>
        <v/>
      </c>
    </row>
    <row r="75" customFormat="false" ht="15" hidden="false" customHeight="false" outlineLevel="0" collapsed="false">
      <c r="A75" s="10" t="s">
        <v>33</v>
      </c>
      <c r="B75" s="10" t="s">
        <v>312</v>
      </c>
      <c r="C75" s="10" t="s">
        <v>271</v>
      </c>
      <c r="D75" s="10" t="s">
        <v>272</v>
      </c>
      <c r="E75" s="10"/>
      <c r="F75" s="10"/>
      <c r="G75" s="10"/>
      <c r="H75" s="10" t="s">
        <v>313</v>
      </c>
      <c r="I75" s="10" t="n">
        <f aca="false">COUNTA(procesfase_relatie!P$2:P$2000)</f>
        <v>16</v>
      </c>
      <c r="J75" s="10" t="str">
        <f aca="false">IF(D75="ja",COUNTA(procesfase_relatie!$A$2:$A$2000)-I75,"")</f>
        <v/>
      </c>
    </row>
    <row r="76" customFormat="false" ht="15" hidden="false" customHeight="false" outlineLevel="0" collapsed="false">
      <c r="A76" s="9" t="s">
        <v>34</v>
      </c>
      <c r="B76" s="9" t="s">
        <v>353</v>
      </c>
      <c r="C76" s="9" t="s">
        <v>257</v>
      </c>
      <c r="D76" s="9" t="s">
        <v>258</v>
      </c>
      <c r="E76" s="9" t="s">
        <v>259</v>
      </c>
      <c r="F76" s="9"/>
      <c r="G76" s="9"/>
      <c r="H76" s="9" t="s">
        <v>260</v>
      </c>
      <c r="I76" s="9" t="n">
        <f aca="false">COUNTA(beslismoment!A$2:A$2000)</f>
        <v>16</v>
      </c>
      <c r="J76" s="9" t="n">
        <f aca="false">IF(D76="ja",COUNTA(beslismoment!$A$2:$A$2000)-I76,"")</f>
        <v>0</v>
      </c>
    </row>
    <row r="77" customFormat="false" ht="15" hidden="false" customHeight="false" outlineLevel="0" collapsed="false">
      <c r="A77" s="9" t="s">
        <v>34</v>
      </c>
      <c r="B77" s="9" t="s">
        <v>354</v>
      </c>
      <c r="C77" s="9" t="s">
        <v>279</v>
      </c>
      <c r="D77" s="9" t="s">
        <v>258</v>
      </c>
      <c r="E77" s="9"/>
      <c r="F77" s="9"/>
      <c r="G77" s="9"/>
      <c r="H77" s="9" t="s">
        <v>355</v>
      </c>
      <c r="I77" s="9" t="n">
        <f aca="false">COUNTA(beslismoment!B$2:B$2000)</f>
        <v>16</v>
      </c>
      <c r="J77" s="9" t="n">
        <f aca="false">IF(D77="ja",COUNTA(beslismoment!$A$2:$A$2000)-I77,"")</f>
        <v>0</v>
      </c>
    </row>
    <row r="78" customFormat="false" ht="15" hidden="false" customHeight="false" outlineLevel="0" collapsed="false">
      <c r="A78" s="9" t="s">
        <v>34</v>
      </c>
      <c r="B78" s="9" t="s">
        <v>322</v>
      </c>
      <c r="C78" s="9" t="s">
        <v>323</v>
      </c>
      <c r="D78" s="9" t="s">
        <v>258</v>
      </c>
      <c r="E78" s="9" t="s">
        <v>324</v>
      </c>
      <c r="F78" s="9" t="s">
        <v>347</v>
      </c>
      <c r="G78" s="9"/>
      <c r="H78" s="9" t="s">
        <v>356</v>
      </c>
      <c r="I78" s="9" t="n">
        <f aca="false">COUNTA(beslismoment!C$2:C$2000)</f>
        <v>16</v>
      </c>
      <c r="J78" s="9" t="n">
        <f aca="false">IF(D78="ja",COUNTA(beslismoment!$A$2:$A$2000)-I78,"")</f>
        <v>0</v>
      </c>
    </row>
    <row r="79" customFormat="false" ht="15" hidden="false" customHeight="false" outlineLevel="0" collapsed="false">
      <c r="A79" s="9" t="s">
        <v>34</v>
      </c>
      <c r="B79" s="9" t="s">
        <v>264</v>
      </c>
      <c r="C79" s="9" t="s">
        <v>265</v>
      </c>
      <c r="D79" s="9" t="s">
        <v>258</v>
      </c>
      <c r="E79" s="9"/>
      <c r="F79" s="9"/>
      <c r="G79" s="9"/>
      <c r="H79" s="9" t="s">
        <v>357</v>
      </c>
      <c r="I79" s="9" t="n">
        <f aca="false">COUNTA(beslismoment!D$2:D$2000)</f>
        <v>16</v>
      </c>
      <c r="J79" s="9" t="n">
        <f aca="false">IF(D79="ja",COUNTA(beslismoment!$A$2:$A$2000)-I79,"")</f>
        <v>0</v>
      </c>
    </row>
    <row r="80" customFormat="false" ht="15" hidden="false" customHeight="false" outlineLevel="0" collapsed="false">
      <c r="A80" s="9" t="s">
        <v>34</v>
      </c>
      <c r="B80" s="9" t="s">
        <v>330</v>
      </c>
      <c r="C80" s="9" t="s">
        <v>271</v>
      </c>
      <c r="D80" s="9" t="s">
        <v>258</v>
      </c>
      <c r="E80" s="9"/>
      <c r="F80" s="9"/>
      <c r="G80" s="9"/>
      <c r="H80" s="9" t="s">
        <v>358</v>
      </c>
      <c r="I80" s="9" t="n">
        <f aca="false">COUNTA(beslismoment!E$2:E$2000)</f>
        <v>16</v>
      </c>
      <c r="J80" s="9" t="n">
        <f aca="false">IF(D80="ja",COUNTA(beslismoment!$A$2:$A$2000)-I80,"")</f>
        <v>0</v>
      </c>
    </row>
    <row r="81" customFormat="false" ht="15" hidden="false" customHeight="false" outlineLevel="0" collapsed="false">
      <c r="A81" s="9" t="s">
        <v>34</v>
      </c>
      <c r="B81" s="9" t="s">
        <v>319</v>
      </c>
      <c r="C81" s="9" t="s">
        <v>271</v>
      </c>
      <c r="D81" s="9" t="s">
        <v>272</v>
      </c>
      <c r="E81" s="9"/>
      <c r="F81" s="9"/>
      <c r="G81" s="9"/>
      <c r="H81" s="9" t="s">
        <v>359</v>
      </c>
      <c r="I81" s="9" t="n">
        <f aca="false">COUNTA(beslismoment!F$2:F$2000)</f>
        <v>16</v>
      </c>
      <c r="J81" s="9" t="str">
        <f aca="false">IF(D81="ja",COUNTA(beslismoment!$A$2:$A$2000)-I81,"")</f>
        <v/>
      </c>
    </row>
    <row r="82" customFormat="false" ht="15" hidden="false" customHeight="false" outlineLevel="0" collapsed="false">
      <c r="A82" s="9" t="s">
        <v>34</v>
      </c>
      <c r="B82" s="9" t="s">
        <v>360</v>
      </c>
      <c r="C82" s="9" t="s">
        <v>323</v>
      </c>
      <c r="D82" s="9" t="s">
        <v>258</v>
      </c>
      <c r="E82" s="9" t="s">
        <v>324</v>
      </c>
      <c r="F82" s="9" t="s">
        <v>361</v>
      </c>
      <c r="G82" s="9"/>
      <c r="H82" s="9" t="s">
        <v>362</v>
      </c>
      <c r="I82" s="9" t="n">
        <f aca="false">COUNTA(beslismoment!G$2:G$2000)</f>
        <v>16</v>
      </c>
      <c r="J82" s="9" t="n">
        <f aca="false">IF(D82="ja",COUNTA(beslismoment!$A$2:$A$2000)-I82,"")</f>
        <v>0</v>
      </c>
    </row>
    <row r="83" customFormat="false" ht="15" hidden="false" customHeight="false" outlineLevel="0" collapsed="false">
      <c r="A83" s="9" t="s">
        <v>34</v>
      </c>
      <c r="B83" s="9" t="s">
        <v>363</v>
      </c>
      <c r="C83" s="9" t="s">
        <v>279</v>
      </c>
      <c r="D83" s="9" t="s">
        <v>258</v>
      </c>
      <c r="E83" s="9"/>
      <c r="F83" s="9"/>
      <c r="G83" s="9" t="s">
        <v>364</v>
      </c>
      <c r="H83" s="9" t="s">
        <v>365</v>
      </c>
      <c r="I83" s="9" t="n">
        <f aca="false">COUNTA(beslismoment!H$2:H$2000)</f>
        <v>16</v>
      </c>
      <c r="J83" s="9" t="n">
        <f aca="false">IF(D83="ja",COUNTA(beslismoment!$A$2:$A$2000)-I83,"")</f>
        <v>0</v>
      </c>
    </row>
    <row r="84" customFormat="false" ht="15" hidden="false" customHeight="false" outlineLevel="0" collapsed="false">
      <c r="A84" s="9" t="s">
        <v>34</v>
      </c>
      <c r="B84" s="9" t="s">
        <v>366</v>
      </c>
      <c r="C84" s="9" t="s">
        <v>279</v>
      </c>
      <c r="D84" s="9" t="s">
        <v>258</v>
      </c>
      <c r="E84" s="9"/>
      <c r="F84" s="9"/>
      <c r="G84" s="9" t="s">
        <v>367</v>
      </c>
      <c r="H84" s="9" t="s">
        <v>368</v>
      </c>
      <c r="I84" s="9" t="n">
        <f aca="false">COUNTA(beslismoment!I$2:I$2000)</f>
        <v>16</v>
      </c>
      <c r="J84" s="9" t="n">
        <f aca="false">IF(D84="ja",COUNTA(beslismoment!$A$2:$A$2000)-I84,"")</f>
        <v>0</v>
      </c>
    </row>
    <row r="85" customFormat="false" ht="15" hidden="false" customHeight="false" outlineLevel="0" collapsed="false">
      <c r="A85" s="9" t="s">
        <v>34</v>
      </c>
      <c r="B85" s="9" t="s">
        <v>369</v>
      </c>
      <c r="C85" s="9" t="s">
        <v>271</v>
      </c>
      <c r="D85" s="9" t="s">
        <v>272</v>
      </c>
      <c r="E85" s="9"/>
      <c r="F85" s="9"/>
      <c r="G85" s="9"/>
      <c r="H85" s="9" t="s">
        <v>370</v>
      </c>
      <c r="I85" s="9" t="n">
        <f aca="false">COUNTA(beslismoment!J$2:J$2000)</f>
        <v>16</v>
      </c>
      <c r="J85" s="9" t="str">
        <f aca="false">IF(D85="ja",COUNTA(beslismoment!$A$2:$A$2000)-I85,"")</f>
        <v/>
      </c>
    </row>
    <row r="86" customFormat="false" ht="15" hidden="false" customHeight="false" outlineLevel="0" collapsed="false">
      <c r="A86" s="9" t="s">
        <v>34</v>
      </c>
      <c r="B86" s="9" t="s">
        <v>371</v>
      </c>
      <c r="C86" s="9" t="s">
        <v>271</v>
      </c>
      <c r="D86" s="9" t="s">
        <v>272</v>
      </c>
      <c r="E86" s="9"/>
      <c r="F86" s="9"/>
      <c r="G86" s="9"/>
      <c r="H86" s="9" t="s">
        <v>372</v>
      </c>
      <c r="I86" s="9" t="n">
        <f aca="false">COUNTA(beslismoment!K$2:K$2000)</f>
        <v>16</v>
      </c>
      <c r="J86" s="9" t="str">
        <f aca="false">IF(D86="ja",COUNTA(beslismoment!$A$2:$A$2000)-I86,"")</f>
        <v/>
      </c>
    </row>
    <row r="87" customFormat="false" ht="15" hidden="false" customHeight="false" outlineLevel="0" collapsed="false">
      <c r="A87" s="9" t="s">
        <v>34</v>
      </c>
      <c r="B87" s="9" t="s">
        <v>373</v>
      </c>
      <c r="C87" s="9" t="s">
        <v>271</v>
      </c>
      <c r="D87" s="9" t="s">
        <v>272</v>
      </c>
      <c r="E87" s="9"/>
      <c r="F87" s="9"/>
      <c r="G87" s="9"/>
      <c r="H87" s="9" t="s">
        <v>374</v>
      </c>
      <c r="I87" s="9" t="n">
        <f aca="false">COUNTA(beslismoment!L$2:L$2000)</f>
        <v>16</v>
      </c>
      <c r="J87" s="9" t="str">
        <f aca="false">IF(D87="ja",COUNTA(beslismoment!$A$2:$A$2000)-I87,"")</f>
        <v/>
      </c>
    </row>
    <row r="88" customFormat="false" ht="15" hidden="false" customHeight="false" outlineLevel="0" collapsed="false">
      <c r="A88" s="9" t="s">
        <v>34</v>
      </c>
      <c r="B88" s="9" t="s">
        <v>375</v>
      </c>
      <c r="C88" s="9" t="s">
        <v>271</v>
      </c>
      <c r="D88" s="9" t="s">
        <v>272</v>
      </c>
      <c r="E88" s="9"/>
      <c r="F88" s="9"/>
      <c r="G88" s="9"/>
      <c r="H88" s="9" t="s">
        <v>376</v>
      </c>
      <c r="I88" s="9" t="n">
        <f aca="false">COUNTA(beslismoment!M$2:M$2000)</f>
        <v>16</v>
      </c>
      <c r="J88" s="9" t="str">
        <f aca="false">IF(D88="ja",COUNTA(beslismoment!$A$2:$A$2000)-I88,"")</f>
        <v/>
      </c>
    </row>
    <row r="89" customFormat="false" ht="15" hidden="false" customHeight="false" outlineLevel="0" collapsed="false">
      <c r="A89" s="9" t="s">
        <v>34</v>
      </c>
      <c r="B89" s="9" t="s">
        <v>377</v>
      </c>
      <c r="C89" s="9" t="s">
        <v>289</v>
      </c>
      <c r="D89" s="9" t="s">
        <v>258</v>
      </c>
      <c r="E89" s="9"/>
      <c r="F89" s="9"/>
      <c r="G89" s="9" t="s">
        <v>290</v>
      </c>
      <c r="H89" s="9" t="s">
        <v>378</v>
      </c>
      <c r="I89" s="9" t="n">
        <f aca="false">COUNTA(beslismoment!N$2:N$2000)</f>
        <v>16</v>
      </c>
      <c r="J89" s="9" t="n">
        <f aca="false">IF(D89="ja",COUNTA(beslismoment!$A$2:$A$2000)-I89,"")</f>
        <v>0</v>
      </c>
    </row>
    <row r="90" customFormat="false" ht="15" hidden="false" customHeight="false" outlineLevel="0" collapsed="false">
      <c r="A90" s="9" t="s">
        <v>34</v>
      </c>
      <c r="B90" s="9" t="s">
        <v>379</v>
      </c>
      <c r="C90" s="9" t="s">
        <v>323</v>
      </c>
      <c r="D90" s="9" t="s">
        <v>272</v>
      </c>
      <c r="E90" s="9" t="s">
        <v>324</v>
      </c>
      <c r="F90" s="9" t="s">
        <v>380</v>
      </c>
      <c r="G90" s="9"/>
      <c r="H90" s="9" t="s">
        <v>381</v>
      </c>
      <c r="I90" s="9" t="n">
        <f aca="false">COUNTA(beslismoment!O$2:O$2000)</f>
        <v>11</v>
      </c>
      <c r="J90" s="9" t="str">
        <f aca="false">IF(D90="ja",COUNTA(beslismoment!$A$2:$A$2000)-I90,"")</f>
        <v/>
      </c>
    </row>
    <row r="91" customFormat="false" ht="15" hidden="false" customHeight="false" outlineLevel="0" collapsed="false">
      <c r="A91" s="9" t="s">
        <v>34</v>
      </c>
      <c r="B91" s="9" t="s">
        <v>382</v>
      </c>
      <c r="C91" s="9" t="s">
        <v>289</v>
      </c>
      <c r="D91" s="9" t="s">
        <v>258</v>
      </c>
      <c r="E91" s="9"/>
      <c r="F91" s="9"/>
      <c r="G91" s="9" t="s">
        <v>290</v>
      </c>
      <c r="H91" s="9" t="s">
        <v>383</v>
      </c>
      <c r="I91" s="9" t="n">
        <f aca="false">COUNTA(beslismoment!P$2:P$2000)</f>
        <v>16</v>
      </c>
      <c r="J91" s="9" t="n">
        <f aca="false">IF(D91="ja",COUNTA(beslismoment!$A$2:$A$2000)-I91,"")</f>
        <v>0</v>
      </c>
    </row>
    <row r="92" customFormat="false" ht="15" hidden="false" customHeight="false" outlineLevel="0" collapsed="false">
      <c r="A92" s="9" t="s">
        <v>34</v>
      </c>
      <c r="B92" s="9" t="s">
        <v>340</v>
      </c>
      <c r="C92" s="9" t="s">
        <v>289</v>
      </c>
      <c r="D92" s="9" t="s">
        <v>258</v>
      </c>
      <c r="E92" s="9"/>
      <c r="F92" s="9"/>
      <c r="G92" s="9" t="s">
        <v>290</v>
      </c>
      <c r="H92" s="9" t="s">
        <v>384</v>
      </c>
      <c r="I92" s="9" t="n">
        <f aca="false">COUNTA(beslismoment!Q$2:Q$2000)</f>
        <v>16</v>
      </c>
      <c r="J92" s="9" t="n">
        <f aca="false">IF(D92="ja",COUNTA(beslismoment!$A$2:$A$2000)-I92,"")</f>
        <v>0</v>
      </c>
    </row>
    <row r="93" customFormat="false" ht="15" hidden="false" customHeight="false" outlineLevel="0" collapsed="false">
      <c r="A93" s="9" t="s">
        <v>34</v>
      </c>
      <c r="B93" s="9" t="s">
        <v>342</v>
      </c>
      <c r="C93" s="9" t="s">
        <v>323</v>
      </c>
      <c r="D93" s="9" t="s">
        <v>258</v>
      </c>
      <c r="E93" s="9" t="s">
        <v>324</v>
      </c>
      <c r="F93" s="9" t="s">
        <v>343</v>
      </c>
      <c r="G93" s="9"/>
      <c r="H93" s="9" t="s">
        <v>385</v>
      </c>
      <c r="I93" s="9" t="n">
        <f aca="false">COUNTA(beslismoment!R$2:R$2000)</f>
        <v>16</v>
      </c>
      <c r="J93" s="9" t="n">
        <f aca="false">IF(D93="ja",COUNTA(beslismoment!$A$2:$A$2000)-I93,"")</f>
        <v>0</v>
      </c>
    </row>
    <row r="94" customFormat="false" ht="15" hidden="false" customHeight="false" outlineLevel="0" collapsed="false">
      <c r="A94" s="10" t="s">
        <v>34</v>
      </c>
      <c r="B94" s="10" t="s">
        <v>292</v>
      </c>
      <c r="C94" s="10" t="s">
        <v>293</v>
      </c>
      <c r="D94" s="10" t="s">
        <v>258</v>
      </c>
      <c r="E94" s="10"/>
      <c r="F94" s="10"/>
      <c r="G94" s="10"/>
      <c r="H94" s="10" t="s">
        <v>294</v>
      </c>
      <c r="I94" s="10" t="n">
        <f aca="false">COUNTA(beslismoment!S$2:S$2000)</f>
        <v>16</v>
      </c>
      <c r="J94" s="10" t="n">
        <f aca="false">IF(D94="ja",COUNTA(beslismoment!$A$2:$A$2000)-I94,"")</f>
        <v>0</v>
      </c>
    </row>
    <row r="95" customFormat="false" ht="15" hidden="false" customHeight="false" outlineLevel="0" collapsed="false">
      <c r="A95" s="10" t="s">
        <v>34</v>
      </c>
      <c r="B95" s="10" t="s">
        <v>295</v>
      </c>
      <c r="C95" s="10" t="s">
        <v>296</v>
      </c>
      <c r="D95" s="10" t="s">
        <v>258</v>
      </c>
      <c r="E95" s="10"/>
      <c r="F95" s="10"/>
      <c r="G95" s="10"/>
      <c r="H95" s="10" t="s">
        <v>297</v>
      </c>
      <c r="I95" s="10" t="n">
        <f aca="false">COUNTA(beslismoment!T$2:T$2000)</f>
        <v>16</v>
      </c>
      <c r="J95" s="10" t="n">
        <f aca="false">IF(D95="ja",COUNTA(beslismoment!$A$2:$A$2000)-I95,"")</f>
        <v>0</v>
      </c>
    </row>
    <row r="96" customFormat="false" ht="15" hidden="false" customHeight="false" outlineLevel="0" collapsed="false">
      <c r="A96" s="10" t="s">
        <v>34</v>
      </c>
      <c r="B96" s="10" t="s">
        <v>298</v>
      </c>
      <c r="C96" s="10" t="s">
        <v>293</v>
      </c>
      <c r="D96" s="10" t="s">
        <v>258</v>
      </c>
      <c r="E96" s="10"/>
      <c r="F96" s="10"/>
      <c r="G96" s="10"/>
      <c r="H96" s="10" t="s">
        <v>299</v>
      </c>
      <c r="I96" s="10" t="n">
        <f aca="false">COUNTA(beslismoment!U$2:U$2000)</f>
        <v>16</v>
      </c>
      <c r="J96" s="10" t="n">
        <f aca="false">IF(D96="ja",COUNTA(beslismoment!$A$2:$A$2000)-I96,"")</f>
        <v>0</v>
      </c>
    </row>
    <row r="97" customFormat="false" ht="15" hidden="false" customHeight="false" outlineLevel="0" collapsed="false">
      <c r="A97" s="10" t="s">
        <v>34</v>
      </c>
      <c r="B97" s="10" t="s">
        <v>300</v>
      </c>
      <c r="C97" s="10" t="s">
        <v>296</v>
      </c>
      <c r="D97" s="10" t="s">
        <v>258</v>
      </c>
      <c r="E97" s="10"/>
      <c r="F97" s="10"/>
      <c r="G97" s="10"/>
      <c r="H97" s="10" t="s">
        <v>301</v>
      </c>
      <c r="I97" s="10" t="n">
        <f aca="false">COUNTA(beslismoment!V$2:V$2000)</f>
        <v>16</v>
      </c>
      <c r="J97" s="10" t="n">
        <f aca="false">IF(D97="ja",COUNTA(beslismoment!$A$2:$A$2000)-I97,"")</f>
        <v>0</v>
      </c>
    </row>
    <row r="98" customFormat="false" ht="15" hidden="false" customHeight="false" outlineLevel="0" collapsed="false">
      <c r="A98" s="10" t="s">
        <v>34</v>
      </c>
      <c r="B98" s="10" t="s">
        <v>302</v>
      </c>
      <c r="C98" s="10" t="s">
        <v>279</v>
      </c>
      <c r="D98" s="10" t="s">
        <v>258</v>
      </c>
      <c r="E98" s="10"/>
      <c r="F98" s="10"/>
      <c r="G98" s="10" t="s">
        <v>303</v>
      </c>
      <c r="H98" s="10" t="s">
        <v>304</v>
      </c>
      <c r="I98" s="10" t="n">
        <f aca="false">COUNTA(beslismoment!W$2:W$2000)</f>
        <v>16</v>
      </c>
      <c r="J98" s="10" t="n">
        <f aca="false">IF(D98="ja",COUNTA(beslismoment!$A$2:$A$2000)-I98,"")</f>
        <v>0</v>
      </c>
    </row>
    <row r="99" customFormat="false" ht="15" hidden="false" customHeight="false" outlineLevel="0" collapsed="false">
      <c r="A99" s="10" t="s">
        <v>34</v>
      </c>
      <c r="B99" s="10" t="s">
        <v>305</v>
      </c>
      <c r="C99" s="10" t="s">
        <v>286</v>
      </c>
      <c r="D99" s="10" t="s">
        <v>258</v>
      </c>
      <c r="E99" s="10"/>
      <c r="F99" s="10"/>
      <c r="G99" s="10"/>
      <c r="H99" s="10" t="s">
        <v>306</v>
      </c>
      <c r="I99" s="10" t="n">
        <f aca="false">COUNTA(beslismoment!X$2:X$2000)</f>
        <v>16</v>
      </c>
      <c r="J99" s="10" t="n">
        <f aca="false">IF(D99="ja",COUNTA(beslismoment!$A$2:$A$2000)-I99,"")</f>
        <v>0</v>
      </c>
    </row>
    <row r="100" customFormat="false" ht="15" hidden="false" customHeight="false" outlineLevel="0" collapsed="false">
      <c r="A100" s="10" t="s">
        <v>34</v>
      </c>
      <c r="B100" s="10" t="s">
        <v>307</v>
      </c>
      <c r="C100" s="10" t="s">
        <v>308</v>
      </c>
      <c r="D100" s="10" t="s">
        <v>272</v>
      </c>
      <c r="E100" s="10"/>
      <c r="F100" s="10"/>
      <c r="G100" s="10"/>
      <c r="H100" s="10" t="s">
        <v>309</v>
      </c>
      <c r="I100" s="10" t="n">
        <f aca="false">COUNTA(beslismoment!Y$2:Y$2000)</f>
        <v>0</v>
      </c>
      <c r="J100" s="10" t="str">
        <f aca="false">IF(D100="ja",COUNTA(beslismoment!$A$2:$A$2000)-I100,"")</f>
        <v/>
      </c>
    </row>
    <row r="101" customFormat="false" ht="15" hidden="false" customHeight="false" outlineLevel="0" collapsed="false">
      <c r="A101" s="10" t="s">
        <v>34</v>
      </c>
      <c r="B101" s="10" t="s">
        <v>310</v>
      </c>
      <c r="C101" s="10" t="s">
        <v>308</v>
      </c>
      <c r="D101" s="10" t="s">
        <v>272</v>
      </c>
      <c r="E101" s="10"/>
      <c r="F101" s="10"/>
      <c r="G101" s="10"/>
      <c r="H101" s="10" t="s">
        <v>311</v>
      </c>
      <c r="I101" s="10" t="n">
        <f aca="false">COUNTA(beslismoment!Z$2:Z$2000)</f>
        <v>0</v>
      </c>
      <c r="J101" s="10" t="str">
        <f aca="false">IF(D101="ja",COUNTA(beslismoment!$A$2:$A$2000)-I101,"")</f>
        <v/>
      </c>
    </row>
    <row r="102" customFormat="false" ht="15" hidden="false" customHeight="false" outlineLevel="0" collapsed="false">
      <c r="A102" s="10" t="s">
        <v>34</v>
      </c>
      <c r="B102" s="10" t="s">
        <v>312</v>
      </c>
      <c r="C102" s="10" t="s">
        <v>271</v>
      </c>
      <c r="D102" s="10" t="s">
        <v>272</v>
      </c>
      <c r="E102" s="10"/>
      <c r="F102" s="10"/>
      <c r="G102" s="10"/>
      <c r="H102" s="10" t="s">
        <v>313</v>
      </c>
      <c r="I102" s="10" t="n">
        <f aca="false">COUNTA(beslismoment!AA$2:AA$2000)</f>
        <v>16</v>
      </c>
      <c r="J102" s="10" t="str">
        <f aca="false">IF(D102="ja",COUNTA(beslismoment!$A$2:$A$2000)-I102,"")</f>
        <v/>
      </c>
    </row>
    <row r="103" customFormat="false" ht="15" hidden="false" customHeight="false" outlineLevel="0" collapsed="false">
      <c r="A103" s="9" t="s">
        <v>35</v>
      </c>
      <c r="B103" s="9" t="s">
        <v>360</v>
      </c>
      <c r="C103" s="9" t="s">
        <v>257</v>
      </c>
      <c r="D103" s="9" t="s">
        <v>258</v>
      </c>
      <c r="E103" s="9" t="s">
        <v>259</v>
      </c>
      <c r="F103" s="9"/>
      <c r="G103" s="9"/>
      <c r="H103" s="9"/>
      <c r="I103" s="9" t="n">
        <f aca="false">COUNTA(besluittype!A$2:A$2000)</f>
        <v>14</v>
      </c>
      <c r="J103" s="9" t="n">
        <f aca="false">IF(D103="ja",COUNTA(besluittype!$A$2:$A$2000)-I103,"")</f>
        <v>0</v>
      </c>
    </row>
    <row r="104" customFormat="false" ht="15" hidden="false" customHeight="false" outlineLevel="0" collapsed="false">
      <c r="A104" s="9" t="s">
        <v>35</v>
      </c>
      <c r="B104" s="9" t="s">
        <v>315</v>
      </c>
      <c r="C104" s="9" t="s">
        <v>279</v>
      </c>
      <c r="D104" s="9" t="s">
        <v>258</v>
      </c>
      <c r="E104" s="9"/>
      <c r="F104" s="9"/>
      <c r="G104" s="9"/>
      <c r="H104" s="9"/>
      <c r="I104" s="9" t="n">
        <f aca="false">COUNTA(besluittype!B$2:B$2000)</f>
        <v>14</v>
      </c>
      <c r="J104" s="9" t="n">
        <f aca="false">IF(D104="ja",COUNTA(besluittype!$A$2:$A$2000)-I104,"")</f>
        <v>0</v>
      </c>
    </row>
    <row r="105" customFormat="false" ht="15" hidden="false" customHeight="false" outlineLevel="0" collapsed="false">
      <c r="A105" s="9" t="s">
        <v>35</v>
      </c>
      <c r="B105" s="9" t="s">
        <v>264</v>
      </c>
      <c r="C105" s="9" t="s">
        <v>283</v>
      </c>
      <c r="D105" s="9" t="s">
        <v>258</v>
      </c>
      <c r="E105" s="9"/>
      <c r="F105" s="9"/>
      <c r="G105" s="9"/>
      <c r="H105" s="9"/>
      <c r="I105" s="9" t="n">
        <f aca="false">COUNTA(besluittype!C$2:C$2000)</f>
        <v>14</v>
      </c>
      <c r="J105" s="9" t="n">
        <f aca="false">IF(D105="ja",COUNTA(besluittype!$A$2:$A$2000)-I105,"")</f>
        <v>0</v>
      </c>
    </row>
    <row r="106" customFormat="false" ht="15" hidden="false" customHeight="false" outlineLevel="0" collapsed="false">
      <c r="A106" s="9" t="s">
        <v>35</v>
      </c>
      <c r="B106" s="9" t="s">
        <v>319</v>
      </c>
      <c r="C106" s="9" t="s">
        <v>271</v>
      </c>
      <c r="D106" s="9" t="s">
        <v>272</v>
      </c>
      <c r="E106" s="9"/>
      <c r="F106" s="9"/>
      <c r="G106" s="9"/>
      <c r="H106" s="9"/>
      <c r="I106" s="9" t="n">
        <f aca="false">COUNTA(besluittype!D$2:D$2000)</f>
        <v>0</v>
      </c>
      <c r="J106" s="9" t="str">
        <f aca="false">IF(D106="ja",COUNTA(besluittype!$A$2:$A$2000)-I106,"")</f>
        <v/>
      </c>
    </row>
    <row r="107" customFormat="false" ht="15" hidden="false" customHeight="false" outlineLevel="0" collapsed="false">
      <c r="A107" s="9" t="s">
        <v>35</v>
      </c>
      <c r="B107" s="9" t="s">
        <v>285</v>
      </c>
      <c r="C107" s="9" t="s">
        <v>286</v>
      </c>
      <c r="D107" s="9" t="s">
        <v>258</v>
      </c>
      <c r="E107" s="9"/>
      <c r="F107" s="9"/>
      <c r="G107" s="9"/>
      <c r="H107" s="9"/>
      <c r="I107" s="9" t="n">
        <f aca="false">COUNTA(besluittype!E$2:E$2000)</f>
        <v>14</v>
      </c>
      <c r="J107" s="9" t="n">
        <f aca="false">IF(D107="ja",COUNTA(besluittype!$A$2:$A$2000)-I107,"")</f>
        <v>0</v>
      </c>
    </row>
    <row r="108" customFormat="false" ht="15" hidden="false" customHeight="false" outlineLevel="0" collapsed="false">
      <c r="A108" s="10" t="s">
        <v>35</v>
      </c>
      <c r="B108" s="10" t="s">
        <v>292</v>
      </c>
      <c r="C108" s="10" t="s">
        <v>293</v>
      </c>
      <c r="D108" s="10" t="s">
        <v>258</v>
      </c>
      <c r="E108" s="10"/>
      <c r="F108" s="10"/>
      <c r="G108" s="10"/>
      <c r="H108" s="10" t="s">
        <v>294</v>
      </c>
      <c r="I108" s="10" t="n">
        <f aca="false">COUNTA(besluittype!F$2:F$2000)</f>
        <v>14</v>
      </c>
      <c r="J108" s="10" t="n">
        <f aca="false">IF(D108="ja",COUNTA(besluittype!$A$2:$A$2000)-I108,"")</f>
        <v>0</v>
      </c>
    </row>
    <row r="109" customFormat="false" ht="15" hidden="false" customHeight="false" outlineLevel="0" collapsed="false">
      <c r="A109" s="10" t="s">
        <v>35</v>
      </c>
      <c r="B109" s="10" t="s">
        <v>295</v>
      </c>
      <c r="C109" s="10" t="s">
        <v>296</v>
      </c>
      <c r="D109" s="10" t="s">
        <v>258</v>
      </c>
      <c r="E109" s="10"/>
      <c r="F109" s="10"/>
      <c r="G109" s="10"/>
      <c r="H109" s="10" t="s">
        <v>297</v>
      </c>
      <c r="I109" s="10" t="n">
        <f aca="false">COUNTA(besluittype!G$2:G$2000)</f>
        <v>14</v>
      </c>
      <c r="J109" s="10" t="n">
        <f aca="false">IF(D109="ja",COUNTA(besluittype!$A$2:$A$2000)-I109,"")</f>
        <v>0</v>
      </c>
    </row>
    <row r="110" customFormat="false" ht="15" hidden="false" customHeight="false" outlineLevel="0" collapsed="false">
      <c r="A110" s="10" t="s">
        <v>35</v>
      </c>
      <c r="B110" s="10" t="s">
        <v>298</v>
      </c>
      <c r="C110" s="10" t="s">
        <v>293</v>
      </c>
      <c r="D110" s="10" t="s">
        <v>258</v>
      </c>
      <c r="E110" s="10"/>
      <c r="F110" s="10"/>
      <c r="G110" s="10"/>
      <c r="H110" s="10" t="s">
        <v>299</v>
      </c>
      <c r="I110" s="10" t="n">
        <f aca="false">COUNTA(besluittype!H$2:H$2000)</f>
        <v>14</v>
      </c>
      <c r="J110" s="10" t="n">
        <f aca="false">IF(D110="ja",COUNTA(besluittype!$A$2:$A$2000)-I110,"")</f>
        <v>0</v>
      </c>
    </row>
    <row r="111" customFormat="false" ht="15" hidden="false" customHeight="false" outlineLevel="0" collapsed="false">
      <c r="A111" s="10" t="s">
        <v>35</v>
      </c>
      <c r="B111" s="10" t="s">
        <v>300</v>
      </c>
      <c r="C111" s="10" t="s">
        <v>296</v>
      </c>
      <c r="D111" s="10" t="s">
        <v>258</v>
      </c>
      <c r="E111" s="10"/>
      <c r="F111" s="10"/>
      <c r="G111" s="10"/>
      <c r="H111" s="10" t="s">
        <v>301</v>
      </c>
      <c r="I111" s="10" t="n">
        <f aca="false">COUNTA(besluittype!I$2:I$2000)</f>
        <v>14</v>
      </c>
      <c r="J111" s="10" t="n">
        <f aca="false">IF(D111="ja",COUNTA(besluittype!$A$2:$A$2000)-I111,"")</f>
        <v>0</v>
      </c>
    </row>
    <row r="112" customFormat="false" ht="15" hidden="false" customHeight="false" outlineLevel="0" collapsed="false">
      <c r="A112" s="10" t="s">
        <v>35</v>
      </c>
      <c r="B112" s="10" t="s">
        <v>302</v>
      </c>
      <c r="C112" s="10" t="s">
        <v>279</v>
      </c>
      <c r="D112" s="10" t="s">
        <v>258</v>
      </c>
      <c r="E112" s="10"/>
      <c r="F112" s="10"/>
      <c r="G112" s="10" t="s">
        <v>303</v>
      </c>
      <c r="H112" s="10" t="s">
        <v>304</v>
      </c>
      <c r="I112" s="10" t="n">
        <f aca="false">COUNTA(besluittype!J$2:J$2000)</f>
        <v>14</v>
      </c>
      <c r="J112" s="10" t="n">
        <f aca="false">IF(D112="ja",COUNTA(besluittype!$A$2:$A$2000)-I112,"")</f>
        <v>0</v>
      </c>
    </row>
    <row r="113" customFormat="false" ht="15" hidden="false" customHeight="false" outlineLevel="0" collapsed="false">
      <c r="A113" s="10" t="s">
        <v>35</v>
      </c>
      <c r="B113" s="10" t="s">
        <v>305</v>
      </c>
      <c r="C113" s="10" t="s">
        <v>286</v>
      </c>
      <c r="D113" s="10" t="s">
        <v>258</v>
      </c>
      <c r="E113" s="10"/>
      <c r="F113" s="10"/>
      <c r="G113" s="10"/>
      <c r="H113" s="10" t="s">
        <v>306</v>
      </c>
      <c r="I113" s="10" t="n">
        <f aca="false">COUNTA(besluittype!K$2:K$2000)</f>
        <v>14</v>
      </c>
      <c r="J113" s="10" t="n">
        <f aca="false">IF(D113="ja",COUNTA(besluittype!$A$2:$A$2000)-I113,"")</f>
        <v>0</v>
      </c>
    </row>
    <row r="114" customFormat="false" ht="15" hidden="false" customHeight="false" outlineLevel="0" collapsed="false">
      <c r="A114" s="10" t="s">
        <v>35</v>
      </c>
      <c r="B114" s="10" t="s">
        <v>307</v>
      </c>
      <c r="C114" s="10" t="s">
        <v>308</v>
      </c>
      <c r="D114" s="10" t="s">
        <v>272</v>
      </c>
      <c r="E114" s="10"/>
      <c r="F114" s="10"/>
      <c r="G114" s="10"/>
      <c r="H114" s="10" t="s">
        <v>309</v>
      </c>
      <c r="I114" s="10" t="n">
        <f aca="false">COUNTA(besluittype!L$2:L$2000)</f>
        <v>0</v>
      </c>
      <c r="J114" s="10" t="str">
        <f aca="false">IF(D114="ja",COUNTA(besluittype!$A$2:$A$2000)-I114,"")</f>
        <v/>
      </c>
    </row>
    <row r="115" customFormat="false" ht="15" hidden="false" customHeight="false" outlineLevel="0" collapsed="false">
      <c r="A115" s="10" t="s">
        <v>35</v>
      </c>
      <c r="B115" s="10" t="s">
        <v>310</v>
      </c>
      <c r="C115" s="10" t="s">
        <v>308</v>
      </c>
      <c r="D115" s="10" t="s">
        <v>272</v>
      </c>
      <c r="E115" s="10"/>
      <c r="F115" s="10"/>
      <c r="G115" s="10"/>
      <c r="H115" s="10" t="s">
        <v>311</v>
      </c>
      <c r="I115" s="10" t="n">
        <f aca="false">COUNTA(besluittype!M$2:M$2000)</f>
        <v>0</v>
      </c>
      <c r="J115" s="10" t="str">
        <f aca="false">IF(D115="ja",COUNTA(besluittype!$A$2:$A$2000)-I115,"")</f>
        <v/>
      </c>
    </row>
    <row r="116" customFormat="false" ht="15" hidden="false" customHeight="false" outlineLevel="0" collapsed="false">
      <c r="A116" s="10" t="s">
        <v>35</v>
      </c>
      <c r="B116" s="10" t="s">
        <v>312</v>
      </c>
      <c r="C116" s="10" t="s">
        <v>271</v>
      </c>
      <c r="D116" s="10" t="s">
        <v>272</v>
      </c>
      <c r="E116" s="10"/>
      <c r="F116" s="10"/>
      <c r="G116" s="10"/>
      <c r="H116" s="10" t="s">
        <v>313</v>
      </c>
      <c r="I116" s="10" t="n">
        <f aca="false">COUNTA(besluittype!N$2:N$2000)</f>
        <v>0</v>
      </c>
      <c r="J116" s="10" t="str">
        <f aca="false">IF(D116="ja",COUNTA(besluittype!$A$2:$A$2000)-I116,"")</f>
        <v/>
      </c>
    </row>
    <row r="117" customFormat="false" ht="15" hidden="false" customHeight="false" outlineLevel="0" collapsed="false">
      <c r="A117" s="9" t="s">
        <v>36</v>
      </c>
      <c r="B117" s="9" t="s">
        <v>386</v>
      </c>
      <c r="C117" s="9" t="s">
        <v>257</v>
      </c>
      <c r="D117" s="9" t="s">
        <v>258</v>
      </c>
      <c r="E117" s="9" t="s">
        <v>259</v>
      </c>
      <c r="F117" s="9"/>
      <c r="G117" s="9"/>
      <c r="H117" s="9" t="s">
        <v>260</v>
      </c>
      <c r="I117" s="9" t="n">
        <f aca="false">COUNTA(rol!A$2:A$2000)</f>
        <v>22</v>
      </c>
      <c r="J117" s="9" t="n">
        <f aca="false">IF(D117="ja",COUNTA(rol!$A$2:$A$2000)-I117,"")</f>
        <v>0</v>
      </c>
    </row>
    <row r="118" customFormat="false" ht="15" hidden="false" customHeight="false" outlineLevel="0" collapsed="false">
      <c r="A118" s="9" t="s">
        <v>36</v>
      </c>
      <c r="B118" s="9" t="s">
        <v>387</v>
      </c>
      <c r="C118" s="9" t="s">
        <v>262</v>
      </c>
      <c r="D118" s="9" t="s">
        <v>258</v>
      </c>
      <c r="E118" s="9"/>
      <c r="F118" s="9"/>
      <c r="G118" s="9"/>
      <c r="H118" s="9" t="s">
        <v>388</v>
      </c>
      <c r="I118" s="9" t="n">
        <f aca="false">COUNTA(rol!B$2:B$2000)</f>
        <v>22</v>
      </c>
      <c r="J118" s="9" t="n">
        <f aca="false">IF(D118="ja",COUNTA(rol!$A$2:$A$2000)-I118,"")</f>
        <v>0</v>
      </c>
    </row>
    <row r="119" customFormat="false" ht="15" hidden="false" customHeight="false" outlineLevel="0" collapsed="false">
      <c r="A119" s="9" t="s">
        <v>36</v>
      </c>
      <c r="B119" s="9" t="s">
        <v>264</v>
      </c>
      <c r="C119" s="9" t="s">
        <v>389</v>
      </c>
      <c r="D119" s="9" t="s">
        <v>258</v>
      </c>
      <c r="E119" s="9"/>
      <c r="F119" s="9"/>
      <c r="G119" s="9"/>
      <c r="H119" s="9" t="s">
        <v>390</v>
      </c>
      <c r="I119" s="9" t="n">
        <f aca="false">COUNTA(rol!C$2:C$2000)</f>
        <v>22</v>
      </c>
      <c r="J119" s="9" t="n">
        <f aca="false">IF(D119="ja",COUNTA(rol!$A$2:$A$2000)-I119,"")</f>
        <v>0</v>
      </c>
    </row>
    <row r="120" customFormat="false" ht="15" hidden="false" customHeight="false" outlineLevel="0" collapsed="false">
      <c r="A120" s="9" t="s">
        <v>36</v>
      </c>
      <c r="B120" s="9" t="s">
        <v>391</v>
      </c>
      <c r="C120" s="9" t="s">
        <v>323</v>
      </c>
      <c r="D120" s="9" t="s">
        <v>258</v>
      </c>
      <c r="E120" s="9" t="s">
        <v>324</v>
      </c>
      <c r="F120" s="9" t="s">
        <v>392</v>
      </c>
      <c r="G120" s="9"/>
      <c r="H120" s="9" t="s">
        <v>393</v>
      </c>
      <c r="I120" s="9" t="n">
        <f aca="false">COUNTA(rol!D$2:D$2000)</f>
        <v>22</v>
      </c>
      <c r="J120" s="9" t="n">
        <f aca="false">IF(D120="ja",COUNTA(rol!$A$2:$A$2000)-I120,"")</f>
        <v>0</v>
      </c>
    </row>
    <row r="121" customFormat="false" ht="15" hidden="false" customHeight="false" outlineLevel="0" collapsed="false">
      <c r="A121" s="9" t="s">
        <v>36</v>
      </c>
      <c r="B121" s="9" t="s">
        <v>319</v>
      </c>
      <c r="C121" s="9" t="s">
        <v>271</v>
      </c>
      <c r="D121" s="9" t="s">
        <v>258</v>
      </c>
      <c r="E121" s="9"/>
      <c r="F121" s="9"/>
      <c r="G121" s="9"/>
      <c r="H121" s="9" t="s">
        <v>394</v>
      </c>
      <c r="I121" s="9" t="n">
        <f aca="false">COUNTA(rol!E$2:E$2000)</f>
        <v>22</v>
      </c>
      <c r="J121" s="9" t="n">
        <f aca="false">IF(D121="ja",COUNTA(rol!$A$2:$A$2000)-I121,"")</f>
        <v>0</v>
      </c>
    </row>
    <row r="122" customFormat="false" ht="15" hidden="false" customHeight="false" outlineLevel="0" collapsed="false">
      <c r="A122" s="9" t="s">
        <v>36</v>
      </c>
      <c r="B122" s="9" t="s">
        <v>395</v>
      </c>
      <c r="C122" s="9" t="s">
        <v>271</v>
      </c>
      <c r="D122" s="9" t="s">
        <v>258</v>
      </c>
      <c r="E122" s="9"/>
      <c r="F122" s="9"/>
      <c r="G122" s="9"/>
      <c r="H122" s="9" t="s">
        <v>396</v>
      </c>
      <c r="I122" s="9" t="n">
        <f aca="false">COUNTA(rol!F$2:F$2000)</f>
        <v>22</v>
      </c>
      <c r="J122" s="9" t="n">
        <f aca="false">IF(D122="ja",COUNTA(rol!$A$2:$A$2000)-I122,"")</f>
        <v>0</v>
      </c>
    </row>
    <row r="123" customFormat="false" ht="15" hidden="false" customHeight="false" outlineLevel="0" collapsed="false">
      <c r="A123" s="9" t="s">
        <v>36</v>
      </c>
      <c r="B123" s="9" t="s">
        <v>397</v>
      </c>
      <c r="C123" s="9" t="s">
        <v>271</v>
      </c>
      <c r="D123" s="9" t="s">
        <v>272</v>
      </c>
      <c r="E123" s="9"/>
      <c r="F123" s="9"/>
      <c r="G123" s="9"/>
      <c r="H123" s="9" t="s">
        <v>398</v>
      </c>
      <c r="I123" s="9" t="n">
        <f aca="false">COUNTA(rol!G$2:G$2000)</f>
        <v>0</v>
      </c>
      <c r="J123" s="9" t="str">
        <f aca="false">IF(D123="ja",COUNTA(rol!$A$2:$A$2000)-I123,"")</f>
        <v/>
      </c>
    </row>
    <row r="124" customFormat="false" ht="15" hidden="false" customHeight="false" outlineLevel="0" collapsed="false">
      <c r="A124" s="9" t="s">
        <v>36</v>
      </c>
      <c r="B124" s="9" t="s">
        <v>399</v>
      </c>
      <c r="C124" s="9" t="s">
        <v>279</v>
      </c>
      <c r="D124" s="9" t="s">
        <v>272</v>
      </c>
      <c r="E124" s="9"/>
      <c r="F124" s="9"/>
      <c r="G124" s="9" t="s">
        <v>400</v>
      </c>
      <c r="H124" s="9" t="s">
        <v>401</v>
      </c>
      <c r="I124" s="9" t="n">
        <f aca="false">COUNTA(rol!H$2:H$2000)</f>
        <v>22</v>
      </c>
      <c r="J124" s="9" t="str">
        <f aca="false">IF(D124="ja",COUNTA(rol!$A$2:$A$2000)-I124,"")</f>
        <v/>
      </c>
    </row>
    <row r="125" customFormat="false" ht="15" hidden="false" customHeight="false" outlineLevel="0" collapsed="false">
      <c r="A125" s="9" t="s">
        <v>36</v>
      </c>
      <c r="B125" s="9" t="s">
        <v>402</v>
      </c>
      <c r="C125" s="9" t="s">
        <v>289</v>
      </c>
      <c r="D125" s="9" t="s">
        <v>258</v>
      </c>
      <c r="E125" s="9"/>
      <c r="F125" s="9"/>
      <c r="G125" s="9" t="s">
        <v>290</v>
      </c>
      <c r="H125" s="9" t="s">
        <v>403</v>
      </c>
      <c r="I125" s="9" t="n">
        <f aca="false">COUNTA(rol!I$2:I$2000)</f>
        <v>22</v>
      </c>
      <c r="J125" s="9" t="n">
        <f aca="false">IF(D125="ja",COUNTA(rol!$A$2:$A$2000)-I125,"")</f>
        <v>0</v>
      </c>
    </row>
    <row r="126" customFormat="false" ht="15" hidden="false" customHeight="false" outlineLevel="0" collapsed="false">
      <c r="A126" s="9" t="s">
        <v>36</v>
      </c>
      <c r="B126" s="9" t="s">
        <v>404</v>
      </c>
      <c r="C126" s="9" t="s">
        <v>289</v>
      </c>
      <c r="D126" s="9" t="s">
        <v>258</v>
      </c>
      <c r="E126" s="9"/>
      <c r="F126" s="9"/>
      <c r="G126" s="9" t="s">
        <v>290</v>
      </c>
      <c r="H126" s="9" t="s">
        <v>405</v>
      </c>
      <c r="I126" s="9" t="n">
        <f aca="false">COUNTA(rol!J$2:J$2000)</f>
        <v>22</v>
      </c>
      <c r="J126" s="9" t="n">
        <f aca="false">IF(D126="ja",COUNTA(rol!$A$2:$A$2000)-I126,"")</f>
        <v>0</v>
      </c>
    </row>
    <row r="127" customFormat="false" ht="15" hidden="false" customHeight="false" outlineLevel="0" collapsed="false">
      <c r="A127" s="9" t="s">
        <v>36</v>
      </c>
      <c r="B127" s="9" t="s">
        <v>340</v>
      </c>
      <c r="C127" s="9" t="s">
        <v>289</v>
      </c>
      <c r="D127" s="9" t="s">
        <v>258</v>
      </c>
      <c r="E127" s="9"/>
      <c r="F127" s="9"/>
      <c r="G127" s="9" t="s">
        <v>290</v>
      </c>
      <c r="H127" s="9" t="s">
        <v>341</v>
      </c>
      <c r="I127" s="9" t="n">
        <f aca="false">COUNTA(rol!K$2:K$2000)</f>
        <v>22</v>
      </c>
      <c r="J127" s="9" t="n">
        <f aca="false">IF(D127="ja",COUNTA(rol!$A$2:$A$2000)-I127,"")</f>
        <v>0</v>
      </c>
    </row>
    <row r="128" customFormat="false" ht="15" hidden="false" customHeight="false" outlineLevel="0" collapsed="false">
      <c r="A128" s="9" t="s">
        <v>36</v>
      </c>
      <c r="B128" s="9" t="s">
        <v>342</v>
      </c>
      <c r="C128" s="9" t="s">
        <v>323</v>
      </c>
      <c r="D128" s="9" t="s">
        <v>258</v>
      </c>
      <c r="E128" s="9" t="s">
        <v>324</v>
      </c>
      <c r="F128" s="9" t="s">
        <v>343</v>
      </c>
      <c r="G128" s="9"/>
      <c r="H128" s="9" t="s">
        <v>385</v>
      </c>
      <c r="I128" s="9" t="n">
        <f aca="false">COUNTA(rol!L$2:L$2000)</f>
        <v>22</v>
      </c>
      <c r="J128" s="9" t="n">
        <f aca="false">IF(D128="ja",COUNTA(rol!$A$2:$A$2000)-I128,"")</f>
        <v>0</v>
      </c>
    </row>
    <row r="129" customFormat="false" ht="15" hidden="false" customHeight="false" outlineLevel="0" collapsed="false">
      <c r="A129" s="10" t="s">
        <v>36</v>
      </c>
      <c r="B129" s="10" t="s">
        <v>292</v>
      </c>
      <c r="C129" s="10" t="s">
        <v>293</v>
      </c>
      <c r="D129" s="10" t="s">
        <v>258</v>
      </c>
      <c r="E129" s="10"/>
      <c r="F129" s="10"/>
      <c r="G129" s="10"/>
      <c r="H129" s="10" t="s">
        <v>294</v>
      </c>
      <c r="I129" s="10" t="n">
        <f aca="false">COUNTA(rol!M$2:M$2000)</f>
        <v>22</v>
      </c>
      <c r="J129" s="10" t="n">
        <f aca="false">IF(D129="ja",COUNTA(rol!$A$2:$A$2000)-I129,"")</f>
        <v>0</v>
      </c>
    </row>
    <row r="130" customFormat="false" ht="15" hidden="false" customHeight="false" outlineLevel="0" collapsed="false">
      <c r="A130" s="10" t="s">
        <v>36</v>
      </c>
      <c r="B130" s="10" t="s">
        <v>295</v>
      </c>
      <c r="C130" s="10" t="s">
        <v>296</v>
      </c>
      <c r="D130" s="10" t="s">
        <v>258</v>
      </c>
      <c r="E130" s="10"/>
      <c r="F130" s="10"/>
      <c r="G130" s="10"/>
      <c r="H130" s="10" t="s">
        <v>297</v>
      </c>
      <c r="I130" s="10" t="n">
        <f aca="false">COUNTA(rol!N$2:N$2000)</f>
        <v>22</v>
      </c>
      <c r="J130" s="10" t="n">
        <f aca="false">IF(D130="ja",COUNTA(rol!$A$2:$A$2000)-I130,"")</f>
        <v>0</v>
      </c>
    </row>
    <row r="131" customFormat="false" ht="15" hidden="false" customHeight="false" outlineLevel="0" collapsed="false">
      <c r="A131" s="10" t="s">
        <v>36</v>
      </c>
      <c r="B131" s="10" t="s">
        <v>298</v>
      </c>
      <c r="C131" s="10" t="s">
        <v>293</v>
      </c>
      <c r="D131" s="10" t="s">
        <v>258</v>
      </c>
      <c r="E131" s="10"/>
      <c r="F131" s="10"/>
      <c r="G131" s="10"/>
      <c r="H131" s="10" t="s">
        <v>299</v>
      </c>
      <c r="I131" s="10" t="n">
        <f aca="false">COUNTA(rol!O$2:O$2000)</f>
        <v>22</v>
      </c>
      <c r="J131" s="10" t="n">
        <f aca="false">IF(D131="ja",COUNTA(rol!$A$2:$A$2000)-I131,"")</f>
        <v>0</v>
      </c>
    </row>
    <row r="132" customFormat="false" ht="15" hidden="false" customHeight="false" outlineLevel="0" collapsed="false">
      <c r="A132" s="10" t="s">
        <v>36</v>
      </c>
      <c r="B132" s="10" t="s">
        <v>300</v>
      </c>
      <c r="C132" s="10" t="s">
        <v>296</v>
      </c>
      <c r="D132" s="10" t="s">
        <v>258</v>
      </c>
      <c r="E132" s="10"/>
      <c r="F132" s="10"/>
      <c r="G132" s="10"/>
      <c r="H132" s="10" t="s">
        <v>301</v>
      </c>
      <c r="I132" s="10" t="n">
        <f aca="false">COUNTA(rol!P$2:P$2000)</f>
        <v>22</v>
      </c>
      <c r="J132" s="10" t="n">
        <f aca="false">IF(D132="ja",COUNTA(rol!$A$2:$A$2000)-I132,"")</f>
        <v>0</v>
      </c>
    </row>
    <row r="133" customFormat="false" ht="15" hidden="false" customHeight="false" outlineLevel="0" collapsed="false">
      <c r="A133" s="10" t="s">
        <v>36</v>
      </c>
      <c r="B133" s="10" t="s">
        <v>302</v>
      </c>
      <c r="C133" s="10" t="s">
        <v>279</v>
      </c>
      <c r="D133" s="10" t="s">
        <v>258</v>
      </c>
      <c r="E133" s="10"/>
      <c r="F133" s="10"/>
      <c r="G133" s="10" t="s">
        <v>303</v>
      </c>
      <c r="H133" s="10" t="s">
        <v>304</v>
      </c>
      <c r="I133" s="10" t="n">
        <f aca="false">COUNTA(rol!Q$2:Q$2000)</f>
        <v>22</v>
      </c>
      <c r="J133" s="10" t="n">
        <f aca="false">IF(D133="ja",COUNTA(rol!$A$2:$A$2000)-I133,"")</f>
        <v>0</v>
      </c>
    </row>
    <row r="134" customFormat="false" ht="15" hidden="false" customHeight="false" outlineLevel="0" collapsed="false">
      <c r="A134" s="10" t="s">
        <v>36</v>
      </c>
      <c r="B134" s="10" t="s">
        <v>305</v>
      </c>
      <c r="C134" s="10" t="s">
        <v>286</v>
      </c>
      <c r="D134" s="10" t="s">
        <v>258</v>
      </c>
      <c r="E134" s="10"/>
      <c r="F134" s="10"/>
      <c r="G134" s="10"/>
      <c r="H134" s="10" t="s">
        <v>306</v>
      </c>
      <c r="I134" s="10" t="n">
        <f aca="false">COUNTA(rol!R$2:R$2000)</f>
        <v>22</v>
      </c>
      <c r="J134" s="10" t="n">
        <f aca="false">IF(D134="ja",COUNTA(rol!$A$2:$A$2000)-I134,"")</f>
        <v>0</v>
      </c>
    </row>
    <row r="135" customFormat="false" ht="15" hidden="false" customHeight="false" outlineLevel="0" collapsed="false">
      <c r="A135" s="10" t="s">
        <v>36</v>
      </c>
      <c r="B135" s="10" t="s">
        <v>307</v>
      </c>
      <c r="C135" s="10" t="s">
        <v>308</v>
      </c>
      <c r="D135" s="10" t="s">
        <v>272</v>
      </c>
      <c r="E135" s="10"/>
      <c r="F135" s="10"/>
      <c r="G135" s="10"/>
      <c r="H135" s="10" t="s">
        <v>309</v>
      </c>
      <c r="I135" s="10" t="n">
        <f aca="false">COUNTA(rol!S$2:S$2000)</f>
        <v>0</v>
      </c>
      <c r="J135" s="10" t="str">
        <f aca="false">IF(D135="ja",COUNTA(rol!$A$2:$A$2000)-I135,"")</f>
        <v/>
      </c>
    </row>
    <row r="136" customFormat="false" ht="15" hidden="false" customHeight="false" outlineLevel="0" collapsed="false">
      <c r="A136" s="10" t="s">
        <v>36</v>
      </c>
      <c r="B136" s="10" t="s">
        <v>310</v>
      </c>
      <c r="C136" s="10" t="s">
        <v>308</v>
      </c>
      <c r="D136" s="10" t="s">
        <v>272</v>
      </c>
      <c r="E136" s="10"/>
      <c r="F136" s="10"/>
      <c r="G136" s="10"/>
      <c r="H136" s="10" t="s">
        <v>311</v>
      </c>
      <c r="I136" s="10" t="n">
        <f aca="false">COUNTA(rol!T$2:T$2000)</f>
        <v>0</v>
      </c>
      <c r="J136" s="10" t="str">
        <f aca="false">IF(D136="ja",COUNTA(rol!$A$2:$A$2000)-I136,"")</f>
        <v/>
      </c>
    </row>
    <row r="137" customFormat="false" ht="15" hidden="false" customHeight="false" outlineLevel="0" collapsed="false">
      <c r="A137" s="10" t="s">
        <v>36</v>
      </c>
      <c r="B137" s="10" t="s">
        <v>312</v>
      </c>
      <c r="C137" s="10" t="s">
        <v>271</v>
      </c>
      <c r="D137" s="10" t="s">
        <v>272</v>
      </c>
      <c r="E137" s="10"/>
      <c r="F137" s="10"/>
      <c r="G137" s="10"/>
      <c r="H137" s="10" t="s">
        <v>313</v>
      </c>
      <c r="I137" s="10" t="n">
        <f aca="false">COUNTA(rol!U$2:U$2000)</f>
        <v>22</v>
      </c>
      <c r="J137" s="10" t="str">
        <f aca="false">IF(D137="ja",COUNTA(rol!$A$2:$A$2000)-I137,"")</f>
        <v/>
      </c>
    </row>
    <row r="138" customFormat="false" ht="15" hidden="false" customHeight="false" outlineLevel="0" collapsed="false">
      <c r="A138" s="9" t="s">
        <v>37</v>
      </c>
      <c r="B138" s="9" t="s">
        <v>391</v>
      </c>
      <c r="C138" s="9" t="s">
        <v>257</v>
      </c>
      <c r="D138" s="9" t="s">
        <v>258</v>
      </c>
      <c r="E138" s="9" t="s">
        <v>259</v>
      </c>
      <c r="F138" s="9"/>
      <c r="G138" s="9"/>
      <c r="H138" s="9"/>
      <c r="I138" s="9" t="n">
        <f aca="false">COUNTA(rolcluster!A$2:A$2000)</f>
        <v>9</v>
      </c>
      <c r="J138" s="9" t="n">
        <f aca="false">IF(D138="ja",COUNTA(rolcluster!$A$2:$A$2000)-I138,"")</f>
        <v>0</v>
      </c>
    </row>
    <row r="139" customFormat="false" ht="15" hidden="false" customHeight="false" outlineLevel="0" collapsed="false">
      <c r="A139" s="9" t="s">
        <v>37</v>
      </c>
      <c r="B139" s="9" t="s">
        <v>315</v>
      </c>
      <c r="C139" s="9" t="s">
        <v>262</v>
      </c>
      <c r="D139" s="9" t="s">
        <v>258</v>
      </c>
      <c r="E139" s="9"/>
      <c r="F139" s="9"/>
      <c r="G139" s="9"/>
      <c r="H139" s="9"/>
      <c r="I139" s="9" t="n">
        <f aca="false">COUNTA(rolcluster!B$2:B$2000)</f>
        <v>9</v>
      </c>
      <c r="J139" s="9" t="n">
        <f aca="false">IF(D139="ja",COUNTA(rolcluster!$A$2:$A$2000)-I139,"")</f>
        <v>0</v>
      </c>
    </row>
    <row r="140" customFormat="false" ht="15" hidden="false" customHeight="false" outlineLevel="0" collapsed="false">
      <c r="A140" s="9" t="s">
        <v>37</v>
      </c>
      <c r="B140" s="9" t="s">
        <v>264</v>
      </c>
      <c r="C140" s="9" t="s">
        <v>283</v>
      </c>
      <c r="D140" s="9" t="s">
        <v>258</v>
      </c>
      <c r="E140" s="9"/>
      <c r="F140" s="9"/>
      <c r="G140" s="9"/>
      <c r="H140" s="9"/>
      <c r="I140" s="9" t="n">
        <f aca="false">COUNTA(rolcluster!C$2:C$2000)</f>
        <v>9</v>
      </c>
      <c r="J140" s="9" t="n">
        <f aca="false">IF(D140="ja",COUNTA(rolcluster!$A$2:$A$2000)-I140,"")</f>
        <v>0</v>
      </c>
    </row>
    <row r="141" customFormat="false" ht="15" hidden="false" customHeight="false" outlineLevel="0" collapsed="false">
      <c r="A141" s="9" t="s">
        <v>37</v>
      </c>
      <c r="B141" s="9" t="s">
        <v>319</v>
      </c>
      <c r="C141" s="9" t="s">
        <v>271</v>
      </c>
      <c r="D141" s="9" t="s">
        <v>272</v>
      </c>
      <c r="E141" s="9"/>
      <c r="F141" s="9"/>
      <c r="G141" s="9"/>
      <c r="H141" s="9"/>
      <c r="I141" s="9" t="n">
        <f aca="false">COUNTA(rolcluster!D$2:D$2000)</f>
        <v>0</v>
      </c>
      <c r="J141" s="9" t="str">
        <f aca="false">IF(D141="ja",COUNTA(rolcluster!$A$2:$A$2000)-I141,"")</f>
        <v/>
      </c>
    </row>
    <row r="142" customFormat="false" ht="15" hidden="false" customHeight="false" outlineLevel="0" collapsed="false">
      <c r="A142" s="9" t="s">
        <v>37</v>
      </c>
      <c r="B142" s="9" t="s">
        <v>285</v>
      </c>
      <c r="C142" s="9" t="s">
        <v>286</v>
      </c>
      <c r="D142" s="9" t="s">
        <v>258</v>
      </c>
      <c r="E142" s="9"/>
      <c r="F142" s="9"/>
      <c r="G142" s="9"/>
      <c r="H142" s="9"/>
      <c r="I142" s="9" t="n">
        <f aca="false">COUNTA(rolcluster!E$2:E$2000)</f>
        <v>9</v>
      </c>
      <c r="J142" s="9" t="n">
        <f aca="false">IF(D142="ja",COUNTA(rolcluster!$A$2:$A$2000)-I142,"")</f>
        <v>0</v>
      </c>
    </row>
    <row r="143" customFormat="false" ht="15" hidden="false" customHeight="false" outlineLevel="0" collapsed="false">
      <c r="A143" s="10" t="s">
        <v>37</v>
      </c>
      <c r="B143" s="10" t="s">
        <v>292</v>
      </c>
      <c r="C143" s="10" t="s">
        <v>293</v>
      </c>
      <c r="D143" s="10" t="s">
        <v>258</v>
      </c>
      <c r="E143" s="10"/>
      <c r="F143" s="10"/>
      <c r="G143" s="10"/>
      <c r="H143" s="10" t="s">
        <v>294</v>
      </c>
      <c r="I143" s="10" t="n">
        <f aca="false">COUNTA(rolcluster!F$2:F$2000)</f>
        <v>9</v>
      </c>
      <c r="J143" s="10" t="n">
        <f aca="false">IF(D143="ja",COUNTA(rolcluster!$A$2:$A$2000)-I143,"")</f>
        <v>0</v>
      </c>
    </row>
    <row r="144" customFormat="false" ht="15" hidden="false" customHeight="false" outlineLevel="0" collapsed="false">
      <c r="A144" s="10" t="s">
        <v>37</v>
      </c>
      <c r="B144" s="10" t="s">
        <v>295</v>
      </c>
      <c r="C144" s="10" t="s">
        <v>296</v>
      </c>
      <c r="D144" s="10" t="s">
        <v>258</v>
      </c>
      <c r="E144" s="10"/>
      <c r="F144" s="10"/>
      <c r="G144" s="10"/>
      <c r="H144" s="10" t="s">
        <v>297</v>
      </c>
      <c r="I144" s="10" t="n">
        <f aca="false">COUNTA(rolcluster!G$2:G$2000)</f>
        <v>9</v>
      </c>
      <c r="J144" s="10" t="n">
        <f aca="false">IF(D144="ja",COUNTA(rolcluster!$A$2:$A$2000)-I144,"")</f>
        <v>0</v>
      </c>
    </row>
    <row r="145" customFormat="false" ht="15" hidden="false" customHeight="false" outlineLevel="0" collapsed="false">
      <c r="A145" s="10" t="s">
        <v>37</v>
      </c>
      <c r="B145" s="10" t="s">
        <v>298</v>
      </c>
      <c r="C145" s="10" t="s">
        <v>293</v>
      </c>
      <c r="D145" s="10" t="s">
        <v>258</v>
      </c>
      <c r="E145" s="10"/>
      <c r="F145" s="10"/>
      <c r="G145" s="10"/>
      <c r="H145" s="10" t="s">
        <v>299</v>
      </c>
      <c r="I145" s="10" t="n">
        <f aca="false">COUNTA(rolcluster!H$2:H$2000)</f>
        <v>9</v>
      </c>
      <c r="J145" s="10" t="n">
        <f aca="false">IF(D145="ja",COUNTA(rolcluster!$A$2:$A$2000)-I145,"")</f>
        <v>0</v>
      </c>
    </row>
    <row r="146" customFormat="false" ht="15" hidden="false" customHeight="false" outlineLevel="0" collapsed="false">
      <c r="A146" s="10" t="s">
        <v>37</v>
      </c>
      <c r="B146" s="10" t="s">
        <v>300</v>
      </c>
      <c r="C146" s="10" t="s">
        <v>296</v>
      </c>
      <c r="D146" s="10" t="s">
        <v>258</v>
      </c>
      <c r="E146" s="10"/>
      <c r="F146" s="10"/>
      <c r="G146" s="10"/>
      <c r="H146" s="10" t="s">
        <v>301</v>
      </c>
      <c r="I146" s="10" t="n">
        <f aca="false">COUNTA(rolcluster!I$2:I$2000)</f>
        <v>9</v>
      </c>
      <c r="J146" s="10" t="n">
        <f aca="false">IF(D146="ja",COUNTA(rolcluster!$A$2:$A$2000)-I146,"")</f>
        <v>0</v>
      </c>
    </row>
    <row r="147" customFormat="false" ht="15" hidden="false" customHeight="false" outlineLevel="0" collapsed="false">
      <c r="A147" s="10" t="s">
        <v>37</v>
      </c>
      <c r="B147" s="10" t="s">
        <v>302</v>
      </c>
      <c r="C147" s="10" t="s">
        <v>279</v>
      </c>
      <c r="D147" s="10" t="s">
        <v>258</v>
      </c>
      <c r="E147" s="10"/>
      <c r="F147" s="10"/>
      <c r="G147" s="10" t="s">
        <v>303</v>
      </c>
      <c r="H147" s="10" t="s">
        <v>304</v>
      </c>
      <c r="I147" s="10" t="n">
        <f aca="false">COUNTA(rolcluster!J$2:J$2000)</f>
        <v>9</v>
      </c>
      <c r="J147" s="10" t="n">
        <f aca="false">IF(D147="ja",COUNTA(rolcluster!$A$2:$A$2000)-I147,"")</f>
        <v>0</v>
      </c>
    </row>
    <row r="148" customFormat="false" ht="15" hidden="false" customHeight="false" outlineLevel="0" collapsed="false">
      <c r="A148" s="10" t="s">
        <v>37</v>
      </c>
      <c r="B148" s="10" t="s">
        <v>305</v>
      </c>
      <c r="C148" s="10" t="s">
        <v>286</v>
      </c>
      <c r="D148" s="10" t="s">
        <v>258</v>
      </c>
      <c r="E148" s="10"/>
      <c r="F148" s="10"/>
      <c r="G148" s="10"/>
      <c r="H148" s="10" t="s">
        <v>306</v>
      </c>
      <c r="I148" s="10" t="n">
        <f aca="false">COUNTA(rolcluster!K$2:K$2000)</f>
        <v>9</v>
      </c>
      <c r="J148" s="10" t="n">
        <f aca="false">IF(D148="ja",COUNTA(rolcluster!$A$2:$A$2000)-I148,"")</f>
        <v>0</v>
      </c>
    </row>
    <row r="149" customFormat="false" ht="15" hidden="false" customHeight="false" outlineLevel="0" collapsed="false">
      <c r="A149" s="10" t="s">
        <v>37</v>
      </c>
      <c r="B149" s="10" t="s">
        <v>307</v>
      </c>
      <c r="C149" s="10" t="s">
        <v>308</v>
      </c>
      <c r="D149" s="10" t="s">
        <v>272</v>
      </c>
      <c r="E149" s="10"/>
      <c r="F149" s="10"/>
      <c r="G149" s="10"/>
      <c r="H149" s="10" t="s">
        <v>309</v>
      </c>
      <c r="I149" s="10" t="n">
        <f aca="false">COUNTA(rolcluster!L$2:L$2000)</f>
        <v>0</v>
      </c>
      <c r="J149" s="10" t="str">
        <f aca="false">IF(D149="ja",COUNTA(rolcluster!$A$2:$A$2000)-I149,"")</f>
        <v/>
      </c>
    </row>
    <row r="150" customFormat="false" ht="15" hidden="false" customHeight="false" outlineLevel="0" collapsed="false">
      <c r="A150" s="10" t="s">
        <v>37</v>
      </c>
      <c r="B150" s="10" t="s">
        <v>310</v>
      </c>
      <c r="C150" s="10" t="s">
        <v>308</v>
      </c>
      <c r="D150" s="10" t="s">
        <v>272</v>
      </c>
      <c r="E150" s="10"/>
      <c r="F150" s="10"/>
      <c r="G150" s="10"/>
      <c r="H150" s="10" t="s">
        <v>311</v>
      </c>
      <c r="I150" s="10" t="n">
        <f aca="false">COUNTA(rolcluster!M$2:M$2000)</f>
        <v>0</v>
      </c>
      <c r="J150" s="10" t="str">
        <f aca="false">IF(D150="ja",COUNTA(rolcluster!$A$2:$A$2000)-I150,"")</f>
        <v/>
      </c>
    </row>
    <row r="151" customFormat="false" ht="15" hidden="false" customHeight="false" outlineLevel="0" collapsed="false">
      <c r="A151" s="10" t="s">
        <v>37</v>
      </c>
      <c r="B151" s="10" t="s">
        <v>312</v>
      </c>
      <c r="C151" s="10" t="s">
        <v>271</v>
      </c>
      <c r="D151" s="10" t="s">
        <v>272</v>
      </c>
      <c r="E151" s="10"/>
      <c r="F151" s="10"/>
      <c r="G151" s="10"/>
      <c r="H151" s="10" t="s">
        <v>313</v>
      </c>
      <c r="I151" s="10" t="n">
        <f aca="false">COUNTA(rolcluster!N$2:N$2000)</f>
        <v>0</v>
      </c>
      <c r="J151" s="10" t="str">
        <f aca="false">IF(D151="ja",COUNTA(rolcluster!$A$2:$A$2000)-I151,"")</f>
        <v/>
      </c>
    </row>
    <row r="152" customFormat="false" ht="15" hidden="false" customHeight="false" outlineLevel="0" collapsed="false">
      <c r="A152" s="9" t="s">
        <v>38</v>
      </c>
      <c r="B152" s="9" t="s">
        <v>406</v>
      </c>
      <c r="C152" s="9" t="s">
        <v>257</v>
      </c>
      <c r="D152" s="9" t="s">
        <v>258</v>
      </c>
      <c r="E152" s="9" t="s">
        <v>259</v>
      </c>
      <c r="F152" s="9"/>
      <c r="G152" s="9"/>
      <c r="H152" s="9"/>
      <c r="I152" s="9" t="n">
        <f aca="false">COUNTA(functie_alias!A$2:A$2000)</f>
        <v>18</v>
      </c>
      <c r="J152" s="9" t="n">
        <f aca="false">IF(D152="ja",COUNTA(functie_alias!$A$2:$A$2000)-I152,"")</f>
        <v>0</v>
      </c>
    </row>
    <row r="153" customFormat="false" ht="15" hidden="false" customHeight="false" outlineLevel="0" collapsed="false">
      <c r="A153" s="9" t="s">
        <v>38</v>
      </c>
      <c r="B153" s="9" t="s">
        <v>386</v>
      </c>
      <c r="C153" s="9" t="s">
        <v>323</v>
      </c>
      <c r="D153" s="9" t="s">
        <v>258</v>
      </c>
      <c r="E153" s="9" t="s">
        <v>324</v>
      </c>
      <c r="F153" s="9" t="s">
        <v>407</v>
      </c>
      <c r="G153" s="9"/>
      <c r="H153" s="9"/>
      <c r="I153" s="9" t="n">
        <f aca="false">COUNTA(functie_alias!B$2:B$2000)</f>
        <v>18</v>
      </c>
      <c r="J153" s="9" t="n">
        <f aca="false">IF(D153="ja",COUNTA(functie_alias!$A$2:$A$2000)-I153,"")</f>
        <v>0</v>
      </c>
    </row>
    <row r="154" customFormat="false" ht="15" hidden="false" customHeight="false" outlineLevel="0" collapsed="false">
      <c r="A154" s="9" t="s">
        <v>38</v>
      </c>
      <c r="B154" s="9" t="s">
        <v>408</v>
      </c>
      <c r="C154" s="9" t="s">
        <v>265</v>
      </c>
      <c r="D154" s="9" t="s">
        <v>258</v>
      </c>
      <c r="E154" s="9"/>
      <c r="F154" s="9"/>
      <c r="G154" s="9"/>
      <c r="H154" s="9"/>
      <c r="I154" s="9" t="n">
        <f aca="false">COUNTA(functie_alias!C$2:C$2000)</f>
        <v>18</v>
      </c>
      <c r="J154" s="9" t="n">
        <f aca="false">IF(D154="ja",COUNTA(functie_alias!$A$2:$A$2000)-I154,"")</f>
        <v>0</v>
      </c>
    </row>
    <row r="155" customFormat="false" ht="15" hidden="false" customHeight="false" outlineLevel="0" collapsed="false">
      <c r="A155" s="9" t="s">
        <v>38</v>
      </c>
      <c r="B155" s="9" t="s">
        <v>409</v>
      </c>
      <c r="C155" s="9" t="s">
        <v>265</v>
      </c>
      <c r="D155" s="9" t="s">
        <v>272</v>
      </c>
      <c r="E155" s="9"/>
      <c r="F155" s="9"/>
      <c r="G155" s="9"/>
      <c r="H155" s="9"/>
      <c r="I155" s="9" t="n">
        <f aca="false">COUNTA(functie_alias!D$2:D$2000)</f>
        <v>18</v>
      </c>
      <c r="J155" s="9" t="str">
        <f aca="false">IF(D155="ja",COUNTA(functie_alias!$A$2:$A$2000)-I155,"")</f>
        <v/>
      </c>
    </row>
    <row r="156" customFormat="false" ht="15" hidden="false" customHeight="false" outlineLevel="0" collapsed="false">
      <c r="A156" s="9" t="s">
        <v>38</v>
      </c>
      <c r="B156" s="9" t="s">
        <v>410</v>
      </c>
      <c r="C156" s="9" t="s">
        <v>271</v>
      </c>
      <c r="D156" s="9" t="s">
        <v>272</v>
      </c>
      <c r="E156" s="9"/>
      <c r="F156" s="9"/>
      <c r="G156" s="9"/>
      <c r="H156" s="9"/>
      <c r="I156" s="9" t="n">
        <f aca="false">COUNTA(functie_alias!E$2:E$2000)</f>
        <v>0</v>
      </c>
      <c r="J156" s="9" t="str">
        <f aca="false">IF(D156="ja",COUNTA(functie_alias!$A$2:$A$2000)-I156,"")</f>
        <v/>
      </c>
    </row>
    <row r="157" customFormat="false" ht="15" hidden="false" customHeight="false" outlineLevel="0" collapsed="false">
      <c r="A157" s="9" t="s">
        <v>38</v>
      </c>
      <c r="B157" s="9" t="s">
        <v>411</v>
      </c>
      <c r="C157" s="9" t="s">
        <v>289</v>
      </c>
      <c r="D157" s="9" t="s">
        <v>258</v>
      </c>
      <c r="E157" s="9"/>
      <c r="F157" s="9"/>
      <c r="G157" s="9" t="s">
        <v>290</v>
      </c>
      <c r="H157" s="9"/>
      <c r="I157" s="9" t="n">
        <f aca="false">COUNTA(functie_alias!F$2:F$2000)</f>
        <v>18</v>
      </c>
      <c r="J157" s="9" t="n">
        <f aca="false">IF(D157="ja",COUNTA(functie_alias!$A$2:$A$2000)-I157,"")</f>
        <v>0</v>
      </c>
    </row>
    <row r="158" customFormat="false" ht="15" hidden="false" customHeight="false" outlineLevel="0" collapsed="false">
      <c r="A158" s="10" t="s">
        <v>38</v>
      </c>
      <c r="B158" s="10" t="s">
        <v>292</v>
      </c>
      <c r="C158" s="10" t="s">
        <v>293</v>
      </c>
      <c r="D158" s="10" t="s">
        <v>258</v>
      </c>
      <c r="E158" s="10"/>
      <c r="F158" s="10"/>
      <c r="G158" s="10"/>
      <c r="H158" s="10" t="s">
        <v>294</v>
      </c>
      <c r="I158" s="10" t="n">
        <f aca="false">COUNTA(functie_alias!G$2:G$2000)</f>
        <v>18</v>
      </c>
      <c r="J158" s="10" t="n">
        <f aca="false">IF(D158="ja",COUNTA(functie_alias!$A$2:$A$2000)-I158,"")</f>
        <v>0</v>
      </c>
    </row>
    <row r="159" customFormat="false" ht="15" hidden="false" customHeight="false" outlineLevel="0" collapsed="false">
      <c r="A159" s="10" t="s">
        <v>38</v>
      </c>
      <c r="B159" s="10" t="s">
        <v>295</v>
      </c>
      <c r="C159" s="10" t="s">
        <v>296</v>
      </c>
      <c r="D159" s="10" t="s">
        <v>258</v>
      </c>
      <c r="E159" s="10"/>
      <c r="F159" s="10"/>
      <c r="G159" s="10"/>
      <c r="H159" s="10" t="s">
        <v>297</v>
      </c>
      <c r="I159" s="10" t="n">
        <f aca="false">COUNTA(functie_alias!H$2:H$2000)</f>
        <v>18</v>
      </c>
      <c r="J159" s="10" t="n">
        <f aca="false">IF(D159="ja",COUNTA(functie_alias!$A$2:$A$2000)-I159,"")</f>
        <v>0</v>
      </c>
    </row>
    <row r="160" customFormat="false" ht="15" hidden="false" customHeight="false" outlineLevel="0" collapsed="false">
      <c r="A160" s="10" t="s">
        <v>38</v>
      </c>
      <c r="B160" s="10" t="s">
        <v>298</v>
      </c>
      <c r="C160" s="10" t="s">
        <v>293</v>
      </c>
      <c r="D160" s="10" t="s">
        <v>258</v>
      </c>
      <c r="E160" s="10"/>
      <c r="F160" s="10"/>
      <c r="G160" s="10"/>
      <c r="H160" s="10" t="s">
        <v>299</v>
      </c>
      <c r="I160" s="10" t="n">
        <f aca="false">COUNTA(functie_alias!I$2:I$2000)</f>
        <v>18</v>
      </c>
      <c r="J160" s="10" t="n">
        <f aca="false">IF(D160="ja",COUNTA(functie_alias!$A$2:$A$2000)-I160,"")</f>
        <v>0</v>
      </c>
    </row>
    <row r="161" customFormat="false" ht="15" hidden="false" customHeight="false" outlineLevel="0" collapsed="false">
      <c r="A161" s="10" t="s">
        <v>38</v>
      </c>
      <c r="B161" s="10" t="s">
        <v>300</v>
      </c>
      <c r="C161" s="10" t="s">
        <v>296</v>
      </c>
      <c r="D161" s="10" t="s">
        <v>258</v>
      </c>
      <c r="E161" s="10"/>
      <c r="F161" s="10"/>
      <c r="G161" s="10"/>
      <c r="H161" s="10" t="s">
        <v>301</v>
      </c>
      <c r="I161" s="10" t="n">
        <f aca="false">COUNTA(functie_alias!J$2:J$2000)</f>
        <v>18</v>
      </c>
      <c r="J161" s="10" t="n">
        <f aca="false">IF(D161="ja",COUNTA(functie_alias!$A$2:$A$2000)-I161,"")</f>
        <v>0</v>
      </c>
    </row>
    <row r="162" customFormat="false" ht="15" hidden="false" customHeight="false" outlineLevel="0" collapsed="false">
      <c r="A162" s="10" t="s">
        <v>38</v>
      </c>
      <c r="B162" s="10" t="s">
        <v>302</v>
      </c>
      <c r="C162" s="10" t="s">
        <v>279</v>
      </c>
      <c r="D162" s="10" t="s">
        <v>258</v>
      </c>
      <c r="E162" s="10"/>
      <c r="F162" s="10"/>
      <c r="G162" s="10" t="s">
        <v>303</v>
      </c>
      <c r="H162" s="10" t="s">
        <v>304</v>
      </c>
      <c r="I162" s="10" t="n">
        <f aca="false">COUNTA(functie_alias!K$2:K$2000)</f>
        <v>18</v>
      </c>
      <c r="J162" s="10" t="n">
        <f aca="false">IF(D162="ja",COUNTA(functie_alias!$A$2:$A$2000)-I162,"")</f>
        <v>0</v>
      </c>
    </row>
    <row r="163" customFormat="false" ht="15" hidden="false" customHeight="false" outlineLevel="0" collapsed="false">
      <c r="A163" s="10" t="s">
        <v>38</v>
      </c>
      <c r="B163" s="10" t="s">
        <v>305</v>
      </c>
      <c r="C163" s="10" t="s">
        <v>286</v>
      </c>
      <c r="D163" s="10" t="s">
        <v>258</v>
      </c>
      <c r="E163" s="10"/>
      <c r="F163" s="10"/>
      <c r="G163" s="10"/>
      <c r="H163" s="10" t="s">
        <v>306</v>
      </c>
      <c r="I163" s="10" t="n">
        <f aca="false">COUNTA(functie_alias!L$2:L$2000)</f>
        <v>18</v>
      </c>
      <c r="J163" s="10" t="n">
        <f aca="false">IF(D163="ja",COUNTA(functie_alias!$A$2:$A$2000)-I163,"")</f>
        <v>0</v>
      </c>
    </row>
    <row r="164" customFormat="false" ht="15" hidden="false" customHeight="false" outlineLevel="0" collapsed="false">
      <c r="A164" s="10" t="s">
        <v>38</v>
      </c>
      <c r="B164" s="10" t="s">
        <v>307</v>
      </c>
      <c r="C164" s="10" t="s">
        <v>308</v>
      </c>
      <c r="D164" s="10" t="s">
        <v>272</v>
      </c>
      <c r="E164" s="10"/>
      <c r="F164" s="10"/>
      <c r="G164" s="10"/>
      <c r="H164" s="10" t="s">
        <v>309</v>
      </c>
      <c r="I164" s="10" t="n">
        <f aca="false">COUNTA(functie_alias!M$2:M$2000)</f>
        <v>0</v>
      </c>
      <c r="J164" s="10" t="str">
        <f aca="false">IF(D164="ja",COUNTA(functie_alias!$A$2:$A$2000)-I164,"")</f>
        <v/>
      </c>
    </row>
    <row r="165" customFormat="false" ht="15" hidden="false" customHeight="false" outlineLevel="0" collapsed="false">
      <c r="A165" s="10" t="s">
        <v>38</v>
      </c>
      <c r="B165" s="10" t="s">
        <v>310</v>
      </c>
      <c r="C165" s="10" t="s">
        <v>308</v>
      </c>
      <c r="D165" s="10" t="s">
        <v>272</v>
      </c>
      <c r="E165" s="10"/>
      <c r="F165" s="10"/>
      <c r="G165" s="10"/>
      <c r="H165" s="10" t="s">
        <v>311</v>
      </c>
      <c r="I165" s="10" t="n">
        <f aca="false">COUNTA(functie_alias!N$2:N$2000)</f>
        <v>0</v>
      </c>
      <c r="J165" s="10" t="str">
        <f aca="false">IF(D165="ja",COUNTA(functie_alias!$A$2:$A$2000)-I165,"")</f>
        <v/>
      </c>
    </row>
    <row r="166" customFormat="false" ht="15" hidden="false" customHeight="false" outlineLevel="0" collapsed="false">
      <c r="A166" s="10" t="s">
        <v>38</v>
      </c>
      <c r="B166" s="10" t="s">
        <v>312</v>
      </c>
      <c r="C166" s="10" t="s">
        <v>271</v>
      </c>
      <c r="D166" s="10" t="s">
        <v>272</v>
      </c>
      <c r="E166" s="10"/>
      <c r="F166" s="10"/>
      <c r="G166" s="10"/>
      <c r="H166" s="10" t="s">
        <v>313</v>
      </c>
      <c r="I166" s="10" t="n">
        <f aca="false">COUNTA(functie_alias!O$2:O$2000)</f>
        <v>18</v>
      </c>
      <c r="J166" s="10" t="str">
        <f aca="false">IF(D166="ja",COUNTA(functie_alias!$A$2:$A$2000)-I166,"")</f>
        <v/>
      </c>
    </row>
    <row r="167" customFormat="false" ht="15" hidden="false" customHeight="false" outlineLevel="0" collapsed="false">
      <c r="A167" s="9" t="s">
        <v>39</v>
      </c>
      <c r="B167" s="9" t="s">
        <v>412</v>
      </c>
      <c r="C167" s="9" t="s">
        <v>257</v>
      </c>
      <c r="D167" s="9" t="s">
        <v>258</v>
      </c>
      <c r="E167" s="9" t="s">
        <v>259</v>
      </c>
      <c r="F167" s="9"/>
      <c r="G167" s="9"/>
      <c r="H167" s="9"/>
      <c r="I167" s="9" t="n">
        <f aca="false">COUNTA(eigenaartype!A$2:A$2000)</f>
        <v>10</v>
      </c>
      <c r="J167" s="9" t="n">
        <f aca="false">IF(D167="ja",COUNTA(eigenaartype!$A$2:$A$2000)-I167,"")</f>
        <v>0</v>
      </c>
    </row>
    <row r="168" customFormat="false" ht="15" hidden="false" customHeight="false" outlineLevel="0" collapsed="false">
      <c r="A168" s="9" t="s">
        <v>39</v>
      </c>
      <c r="B168" s="9" t="s">
        <v>315</v>
      </c>
      <c r="C168" s="9" t="s">
        <v>262</v>
      </c>
      <c r="D168" s="9" t="s">
        <v>258</v>
      </c>
      <c r="E168" s="9"/>
      <c r="F168" s="9"/>
      <c r="G168" s="9"/>
      <c r="H168" s="9"/>
      <c r="I168" s="9" t="n">
        <f aca="false">COUNTA(eigenaartype!B$2:B$2000)</f>
        <v>10</v>
      </c>
      <c r="J168" s="9" t="n">
        <f aca="false">IF(D168="ja",COUNTA(eigenaartype!$A$2:$A$2000)-I168,"")</f>
        <v>0</v>
      </c>
    </row>
    <row r="169" customFormat="false" ht="15" hidden="false" customHeight="false" outlineLevel="0" collapsed="false">
      <c r="A169" s="9" t="s">
        <v>39</v>
      </c>
      <c r="B169" s="9" t="s">
        <v>264</v>
      </c>
      <c r="C169" s="9" t="s">
        <v>389</v>
      </c>
      <c r="D169" s="9" t="s">
        <v>258</v>
      </c>
      <c r="E169" s="9"/>
      <c r="F169" s="9"/>
      <c r="G169" s="9"/>
      <c r="H169" s="9"/>
      <c r="I169" s="9" t="n">
        <f aca="false">COUNTA(eigenaartype!C$2:C$2000)</f>
        <v>10</v>
      </c>
      <c r="J169" s="9" t="n">
        <f aca="false">IF(D169="ja",COUNTA(eigenaartype!$A$2:$A$2000)-I169,"")</f>
        <v>0</v>
      </c>
    </row>
    <row r="170" customFormat="false" ht="15" hidden="false" customHeight="false" outlineLevel="0" collapsed="false">
      <c r="A170" s="9" t="s">
        <v>39</v>
      </c>
      <c r="B170" s="9" t="s">
        <v>319</v>
      </c>
      <c r="C170" s="9" t="s">
        <v>271</v>
      </c>
      <c r="D170" s="9" t="s">
        <v>272</v>
      </c>
      <c r="E170" s="9"/>
      <c r="F170" s="9"/>
      <c r="G170" s="9"/>
      <c r="H170" s="9"/>
      <c r="I170" s="9" t="n">
        <f aca="false">COUNTA(eigenaartype!D$2:D$2000)</f>
        <v>0</v>
      </c>
      <c r="J170" s="9" t="str">
        <f aca="false">IF(D170="ja",COUNTA(eigenaartype!$A$2:$A$2000)-I170,"")</f>
        <v/>
      </c>
    </row>
    <row r="171" customFormat="false" ht="15" hidden="false" customHeight="false" outlineLevel="0" collapsed="false">
      <c r="A171" s="9" t="s">
        <v>39</v>
      </c>
      <c r="B171" s="9" t="s">
        <v>413</v>
      </c>
      <c r="C171" s="9" t="s">
        <v>289</v>
      </c>
      <c r="D171" s="9" t="s">
        <v>258</v>
      </c>
      <c r="E171" s="9"/>
      <c r="F171" s="9"/>
      <c r="G171" s="9" t="s">
        <v>290</v>
      </c>
      <c r="H171" s="9"/>
      <c r="I171" s="9" t="n">
        <f aca="false">COUNTA(eigenaartype!E$2:E$2000)</f>
        <v>10</v>
      </c>
      <c r="J171" s="9" t="n">
        <f aca="false">IF(D171="ja",COUNTA(eigenaartype!$A$2:$A$2000)-I171,"")</f>
        <v>0</v>
      </c>
    </row>
    <row r="172" customFormat="false" ht="15" hidden="false" customHeight="false" outlineLevel="0" collapsed="false">
      <c r="A172" s="9" t="s">
        <v>39</v>
      </c>
      <c r="B172" s="9" t="s">
        <v>285</v>
      </c>
      <c r="C172" s="9" t="s">
        <v>286</v>
      </c>
      <c r="D172" s="9" t="s">
        <v>258</v>
      </c>
      <c r="E172" s="9"/>
      <c r="F172" s="9"/>
      <c r="G172" s="9"/>
      <c r="H172" s="9"/>
      <c r="I172" s="9" t="n">
        <f aca="false">COUNTA(eigenaartype!F$2:F$2000)</f>
        <v>10</v>
      </c>
      <c r="J172" s="9" t="n">
        <f aca="false">IF(D172="ja",COUNTA(eigenaartype!$A$2:$A$2000)-I172,"")</f>
        <v>0</v>
      </c>
    </row>
    <row r="173" customFormat="false" ht="15" hidden="false" customHeight="false" outlineLevel="0" collapsed="false">
      <c r="A173" s="10" t="s">
        <v>39</v>
      </c>
      <c r="B173" s="10" t="s">
        <v>292</v>
      </c>
      <c r="C173" s="10" t="s">
        <v>293</v>
      </c>
      <c r="D173" s="10" t="s">
        <v>258</v>
      </c>
      <c r="E173" s="10"/>
      <c r="F173" s="10"/>
      <c r="G173" s="10"/>
      <c r="H173" s="10" t="s">
        <v>294</v>
      </c>
      <c r="I173" s="10" t="n">
        <f aca="false">COUNTA(eigenaartype!G$2:G$2000)</f>
        <v>10</v>
      </c>
      <c r="J173" s="10" t="n">
        <f aca="false">IF(D173="ja",COUNTA(eigenaartype!$A$2:$A$2000)-I173,"")</f>
        <v>0</v>
      </c>
    </row>
    <row r="174" customFormat="false" ht="15" hidden="false" customHeight="false" outlineLevel="0" collapsed="false">
      <c r="A174" s="10" t="s">
        <v>39</v>
      </c>
      <c r="B174" s="10" t="s">
        <v>295</v>
      </c>
      <c r="C174" s="10" t="s">
        <v>296</v>
      </c>
      <c r="D174" s="10" t="s">
        <v>258</v>
      </c>
      <c r="E174" s="10"/>
      <c r="F174" s="10"/>
      <c r="G174" s="10"/>
      <c r="H174" s="10" t="s">
        <v>297</v>
      </c>
      <c r="I174" s="10" t="n">
        <f aca="false">COUNTA(eigenaartype!H$2:H$2000)</f>
        <v>10</v>
      </c>
      <c r="J174" s="10" t="n">
        <f aca="false">IF(D174="ja",COUNTA(eigenaartype!$A$2:$A$2000)-I174,"")</f>
        <v>0</v>
      </c>
    </row>
    <row r="175" customFormat="false" ht="15" hidden="false" customHeight="false" outlineLevel="0" collapsed="false">
      <c r="A175" s="10" t="s">
        <v>39</v>
      </c>
      <c r="B175" s="10" t="s">
        <v>298</v>
      </c>
      <c r="C175" s="10" t="s">
        <v>293</v>
      </c>
      <c r="D175" s="10" t="s">
        <v>258</v>
      </c>
      <c r="E175" s="10"/>
      <c r="F175" s="10"/>
      <c r="G175" s="10"/>
      <c r="H175" s="10" t="s">
        <v>299</v>
      </c>
      <c r="I175" s="10" t="n">
        <f aca="false">COUNTA(eigenaartype!I$2:I$2000)</f>
        <v>10</v>
      </c>
      <c r="J175" s="10" t="n">
        <f aca="false">IF(D175="ja",COUNTA(eigenaartype!$A$2:$A$2000)-I175,"")</f>
        <v>0</v>
      </c>
    </row>
    <row r="176" customFormat="false" ht="15" hidden="false" customHeight="false" outlineLevel="0" collapsed="false">
      <c r="A176" s="10" t="s">
        <v>39</v>
      </c>
      <c r="B176" s="10" t="s">
        <v>300</v>
      </c>
      <c r="C176" s="10" t="s">
        <v>296</v>
      </c>
      <c r="D176" s="10" t="s">
        <v>258</v>
      </c>
      <c r="E176" s="10"/>
      <c r="F176" s="10"/>
      <c r="G176" s="10"/>
      <c r="H176" s="10" t="s">
        <v>301</v>
      </c>
      <c r="I176" s="10" t="n">
        <f aca="false">COUNTA(eigenaartype!J$2:J$2000)</f>
        <v>10</v>
      </c>
      <c r="J176" s="10" t="n">
        <f aca="false">IF(D176="ja",COUNTA(eigenaartype!$A$2:$A$2000)-I176,"")</f>
        <v>0</v>
      </c>
    </row>
    <row r="177" customFormat="false" ht="15" hidden="false" customHeight="false" outlineLevel="0" collapsed="false">
      <c r="A177" s="10" t="s">
        <v>39</v>
      </c>
      <c r="B177" s="10" t="s">
        <v>302</v>
      </c>
      <c r="C177" s="10" t="s">
        <v>279</v>
      </c>
      <c r="D177" s="10" t="s">
        <v>258</v>
      </c>
      <c r="E177" s="10"/>
      <c r="F177" s="10"/>
      <c r="G177" s="10" t="s">
        <v>303</v>
      </c>
      <c r="H177" s="10" t="s">
        <v>304</v>
      </c>
      <c r="I177" s="10" t="n">
        <f aca="false">COUNTA(eigenaartype!K$2:K$2000)</f>
        <v>10</v>
      </c>
      <c r="J177" s="10" t="n">
        <f aca="false">IF(D177="ja",COUNTA(eigenaartype!$A$2:$A$2000)-I177,"")</f>
        <v>0</v>
      </c>
    </row>
    <row r="178" customFormat="false" ht="15" hidden="false" customHeight="false" outlineLevel="0" collapsed="false">
      <c r="A178" s="10" t="s">
        <v>39</v>
      </c>
      <c r="B178" s="10" t="s">
        <v>305</v>
      </c>
      <c r="C178" s="10" t="s">
        <v>286</v>
      </c>
      <c r="D178" s="10" t="s">
        <v>258</v>
      </c>
      <c r="E178" s="10"/>
      <c r="F178" s="10"/>
      <c r="G178" s="10"/>
      <c r="H178" s="10" t="s">
        <v>306</v>
      </c>
      <c r="I178" s="10" t="n">
        <f aca="false">COUNTA(eigenaartype!L$2:L$2000)</f>
        <v>10</v>
      </c>
      <c r="J178" s="10" t="n">
        <f aca="false">IF(D178="ja",COUNTA(eigenaartype!$A$2:$A$2000)-I178,"")</f>
        <v>0</v>
      </c>
    </row>
    <row r="179" customFormat="false" ht="15" hidden="false" customHeight="false" outlineLevel="0" collapsed="false">
      <c r="A179" s="10" t="s">
        <v>39</v>
      </c>
      <c r="B179" s="10" t="s">
        <v>307</v>
      </c>
      <c r="C179" s="10" t="s">
        <v>308</v>
      </c>
      <c r="D179" s="10" t="s">
        <v>272</v>
      </c>
      <c r="E179" s="10"/>
      <c r="F179" s="10"/>
      <c r="G179" s="10"/>
      <c r="H179" s="10" t="s">
        <v>309</v>
      </c>
      <c r="I179" s="10" t="n">
        <f aca="false">COUNTA(eigenaartype!M$2:M$2000)</f>
        <v>0</v>
      </c>
      <c r="J179" s="10" t="str">
        <f aca="false">IF(D179="ja",COUNTA(eigenaartype!$A$2:$A$2000)-I179,"")</f>
        <v/>
      </c>
    </row>
    <row r="180" customFormat="false" ht="15" hidden="false" customHeight="false" outlineLevel="0" collapsed="false">
      <c r="A180" s="10" t="s">
        <v>39</v>
      </c>
      <c r="B180" s="10" t="s">
        <v>310</v>
      </c>
      <c r="C180" s="10" t="s">
        <v>308</v>
      </c>
      <c r="D180" s="10" t="s">
        <v>272</v>
      </c>
      <c r="E180" s="10"/>
      <c r="F180" s="10"/>
      <c r="G180" s="10"/>
      <c r="H180" s="10" t="s">
        <v>311</v>
      </c>
      <c r="I180" s="10" t="n">
        <f aca="false">COUNTA(eigenaartype!N$2:N$2000)</f>
        <v>0</v>
      </c>
      <c r="J180" s="10" t="str">
        <f aca="false">IF(D180="ja",COUNTA(eigenaartype!$A$2:$A$2000)-I180,"")</f>
        <v/>
      </c>
    </row>
    <row r="181" customFormat="false" ht="15" hidden="false" customHeight="false" outlineLevel="0" collapsed="false">
      <c r="A181" s="10" t="s">
        <v>39</v>
      </c>
      <c r="B181" s="10" t="s">
        <v>312</v>
      </c>
      <c r="C181" s="10" t="s">
        <v>271</v>
      </c>
      <c r="D181" s="10" t="s">
        <v>272</v>
      </c>
      <c r="E181" s="10"/>
      <c r="F181" s="10"/>
      <c r="G181" s="10"/>
      <c r="H181" s="10" t="s">
        <v>313</v>
      </c>
      <c r="I181" s="10" t="n">
        <f aca="false">COUNTA(eigenaartype!O$2:O$2000)</f>
        <v>0</v>
      </c>
      <c r="J181" s="10" t="str">
        <f aca="false">IF(D181="ja",COUNTA(eigenaartype!$A$2:$A$2000)-I181,"")</f>
        <v/>
      </c>
    </row>
    <row r="182" customFormat="false" ht="15" hidden="false" customHeight="false" outlineLevel="0" collapsed="false">
      <c r="A182" s="9" t="s">
        <v>40</v>
      </c>
      <c r="B182" s="9" t="s">
        <v>414</v>
      </c>
      <c r="C182" s="9" t="s">
        <v>257</v>
      </c>
      <c r="D182" s="9" t="s">
        <v>258</v>
      </c>
      <c r="E182" s="9" t="s">
        <v>259</v>
      </c>
      <c r="F182" s="9"/>
      <c r="G182" s="9"/>
      <c r="H182" s="9"/>
      <c r="I182" s="9" t="n">
        <f aca="false">COUNTA(objecttype!A$2:A$2000)</f>
        <v>21</v>
      </c>
      <c r="J182" s="9" t="n">
        <f aca="false">IF(D182="ja",COUNTA(objecttype!$A$2:$A$2000)-I182,"")</f>
        <v>0</v>
      </c>
    </row>
    <row r="183" customFormat="false" ht="15" hidden="false" customHeight="false" outlineLevel="0" collapsed="false">
      <c r="A183" s="9" t="s">
        <v>40</v>
      </c>
      <c r="B183" s="9" t="s">
        <v>415</v>
      </c>
      <c r="C183" s="9" t="s">
        <v>262</v>
      </c>
      <c r="D183" s="9" t="s">
        <v>258</v>
      </c>
      <c r="E183" s="9"/>
      <c r="F183" s="9"/>
      <c r="G183" s="9"/>
      <c r="H183" s="9"/>
      <c r="I183" s="9" t="n">
        <f aca="false">COUNTA(objecttype!B$2:B$2000)</f>
        <v>21</v>
      </c>
      <c r="J183" s="9" t="n">
        <f aca="false">IF(D183="ja",COUNTA(objecttype!$A$2:$A$2000)-I183,"")</f>
        <v>0</v>
      </c>
    </row>
    <row r="184" customFormat="false" ht="15" hidden="false" customHeight="false" outlineLevel="0" collapsed="false">
      <c r="A184" s="9" t="s">
        <v>40</v>
      </c>
      <c r="B184" s="9" t="s">
        <v>264</v>
      </c>
      <c r="C184" s="9" t="s">
        <v>389</v>
      </c>
      <c r="D184" s="9" t="s">
        <v>258</v>
      </c>
      <c r="E184" s="9"/>
      <c r="F184" s="9"/>
      <c r="G184" s="9"/>
      <c r="H184" s="9"/>
      <c r="I184" s="9" t="n">
        <f aca="false">COUNTA(objecttype!C$2:C$2000)</f>
        <v>21</v>
      </c>
      <c r="J184" s="9" t="n">
        <f aca="false">IF(D184="ja",COUNTA(objecttype!$A$2:$A$2000)-I184,"")</f>
        <v>0</v>
      </c>
    </row>
    <row r="185" customFormat="false" ht="15" hidden="false" customHeight="false" outlineLevel="0" collapsed="false">
      <c r="A185" s="9" t="s">
        <v>40</v>
      </c>
      <c r="B185" s="9" t="s">
        <v>416</v>
      </c>
      <c r="C185" s="9" t="s">
        <v>323</v>
      </c>
      <c r="D185" s="9" t="s">
        <v>272</v>
      </c>
      <c r="E185" s="9" t="s">
        <v>324</v>
      </c>
      <c r="F185" s="9" t="s">
        <v>417</v>
      </c>
      <c r="G185" s="9"/>
      <c r="H185" s="9"/>
      <c r="I185" s="9" t="n">
        <f aca="false">COUNTA(objecttype!D$2:D$2000)</f>
        <v>20</v>
      </c>
      <c r="J185" s="9" t="str">
        <f aca="false">IF(D185="ja",COUNTA(objecttype!$A$2:$A$2000)-I185,"")</f>
        <v/>
      </c>
    </row>
    <row r="186" customFormat="false" ht="15" hidden="false" customHeight="false" outlineLevel="0" collapsed="false">
      <c r="A186" s="9" t="s">
        <v>40</v>
      </c>
      <c r="B186" s="9" t="s">
        <v>319</v>
      </c>
      <c r="C186" s="9" t="s">
        <v>271</v>
      </c>
      <c r="D186" s="9" t="s">
        <v>272</v>
      </c>
      <c r="E186" s="9"/>
      <c r="F186" s="9"/>
      <c r="G186" s="9"/>
      <c r="H186" s="9"/>
      <c r="I186" s="9" t="n">
        <f aca="false">COUNTA(objecttype!E$2:E$2000)</f>
        <v>0</v>
      </c>
      <c r="J186" s="9" t="str">
        <f aca="false">IF(D186="ja",COUNTA(objecttype!$A$2:$A$2000)-I186,"")</f>
        <v/>
      </c>
    </row>
    <row r="187" customFormat="false" ht="15" hidden="false" customHeight="false" outlineLevel="0" collapsed="false">
      <c r="A187" s="9" t="s">
        <v>40</v>
      </c>
      <c r="B187" s="9" t="s">
        <v>285</v>
      </c>
      <c r="C187" s="9" t="s">
        <v>286</v>
      </c>
      <c r="D187" s="9" t="s">
        <v>258</v>
      </c>
      <c r="E187" s="9"/>
      <c r="F187" s="9"/>
      <c r="G187" s="9"/>
      <c r="H187" s="9"/>
      <c r="I187" s="9" t="n">
        <f aca="false">COUNTA(objecttype!F$2:F$2000)</f>
        <v>21</v>
      </c>
      <c r="J187" s="9" t="n">
        <f aca="false">IF(D187="ja",COUNTA(objecttype!$A$2:$A$2000)-I187,"")</f>
        <v>0</v>
      </c>
    </row>
    <row r="188" customFormat="false" ht="15" hidden="false" customHeight="false" outlineLevel="0" collapsed="false">
      <c r="A188" s="10" t="s">
        <v>40</v>
      </c>
      <c r="B188" s="10" t="s">
        <v>292</v>
      </c>
      <c r="C188" s="10" t="s">
        <v>293</v>
      </c>
      <c r="D188" s="10" t="s">
        <v>258</v>
      </c>
      <c r="E188" s="10"/>
      <c r="F188" s="10"/>
      <c r="G188" s="10"/>
      <c r="H188" s="10" t="s">
        <v>294</v>
      </c>
      <c r="I188" s="10" t="n">
        <f aca="false">COUNTA(objecttype!G$2:G$2000)</f>
        <v>21</v>
      </c>
      <c r="J188" s="10" t="n">
        <f aca="false">IF(D188="ja",COUNTA(objecttype!$A$2:$A$2000)-I188,"")</f>
        <v>0</v>
      </c>
    </row>
    <row r="189" customFormat="false" ht="15" hidden="false" customHeight="false" outlineLevel="0" collapsed="false">
      <c r="A189" s="10" t="s">
        <v>40</v>
      </c>
      <c r="B189" s="10" t="s">
        <v>295</v>
      </c>
      <c r="C189" s="10" t="s">
        <v>296</v>
      </c>
      <c r="D189" s="10" t="s">
        <v>258</v>
      </c>
      <c r="E189" s="10"/>
      <c r="F189" s="10"/>
      <c r="G189" s="10"/>
      <c r="H189" s="10" t="s">
        <v>297</v>
      </c>
      <c r="I189" s="10" t="n">
        <f aca="false">COUNTA(objecttype!H$2:H$2000)</f>
        <v>21</v>
      </c>
      <c r="J189" s="10" t="n">
        <f aca="false">IF(D189="ja",COUNTA(objecttype!$A$2:$A$2000)-I189,"")</f>
        <v>0</v>
      </c>
    </row>
    <row r="190" customFormat="false" ht="15" hidden="false" customHeight="false" outlineLevel="0" collapsed="false">
      <c r="A190" s="10" t="s">
        <v>40</v>
      </c>
      <c r="B190" s="10" t="s">
        <v>298</v>
      </c>
      <c r="C190" s="10" t="s">
        <v>293</v>
      </c>
      <c r="D190" s="10" t="s">
        <v>258</v>
      </c>
      <c r="E190" s="10"/>
      <c r="F190" s="10"/>
      <c r="G190" s="10"/>
      <c r="H190" s="10" t="s">
        <v>299</v>
      </c>
      <c r="I190" s="10" t="n">
        <f aca="false">COUNTA(objecttype!I$2:I$2000)</f>
        <v>21</v>
      </c>
      <c r="J190" s="10" t="n">
        <f aca="false">IF(D190="ja",COUNTA(objecttype!$A$2:$A$2000)-I190,"")</f>
        <v>0</v>
      </c>
    </row>
    <row r="191" customFormat="false" ht="15" hidden="false" customHeight="false" outlineLevel="0" collapsed="false">
      <c r="A191" s="10" t="s">
        <v>40</v>
      </c>
      <c r="B191" s="10" t="s">
        <v>300</v>
      </c>
      <c r="C191" s="10" t="s">
        <v>296</v>
      </c>
      <c r="D191" s="10" t="s">
        <v>258</v>
      </c>
      <c r="E191" s="10"/>
      <c r="F191" s="10"/>
      <c r="G191" s="10"/>
      <c r="H191" s="10" t="s">
        <v>301</v>
      </c>
      <c r="I191" s="10" t="n">
        <f aca="false">COUNTA(objecttype!J$2:J$2000)</f>
        <v>21</v>
      </c>
      <c r="J191" s="10" t="n">
        <f aca="false">IF(D191="ja",COUNTA(objecttype!$A$2:$A$2000)-I191,"")</f>
        <v>0</v>
      </c>
    </row>
    <row r="192" customFormat="false" ht="15" hidden="false" customHeight="false" outlineLevel="0" collapsed="false">
      <c r="A192" s="10" t="s">
        <v>40</v>
      </c>
      <c r="B192" s="10" t="s">
        <v>302</v>
      </c>
      <c r="C192" s="10" t="s">
        <v>279</v>
      </c>
      <c r="D192" s="10" t="s">
        <v>258</v>
      </c>
      <c r="E192" s="10"/>
      <c r="F192" s="10"/>
      <c r="G192" s="10" t="s">
        <v>303</v>
      </c>
      <c r="H192" s="10" t="s">
        <v>304</v>
      </c>
      <c r="I192" s="10" t="n">
        <f aca="false">COUNTA(objecttype!K$2:K$2000)</f>
        <v>21</v>
      </c>
      <c r="J192" s="10" t="n">
        <f aca="false">IF(D192="ja",COUNTA(objecttype!$A$2:$A$2000)-I192,"")</f>
        <v>0</v>
      </c>
    </row>
    <row r="193" customFormat="false" ht="15" hidden="false" customHeight="false" outlineLevel="0" collapsed="false">
      <c r="A193" s="10" t="s">
        <v>40</v>
      </c>
      <c r="B193" s="10" t="s">
        <v>305</v>
      </c>
      <c r="C193" s="10" t="s">
        <v>286</v>
      </c>
      <c r="D193" s="10" t="s">
        <v>258</v>
      </c>
      <c r="E193" s="10"/>
      <c r="F193" s="10"/>
      <c r="G193" s="10"/>
      <c r="H193" s="10" t="s">
        <v>306</v>
      </c>
      <c r="I193" s="10" t="n">
        <f aca="false">COUNTA(objecttype!L$2:L$2000)</f>
        <v>21</v>
      </c>
      <c r="J193" s="10" t="n">
        <f aca="false">IF(D193="ja",COUNTA(objecttype!$A$2:$A$2000)-I193,"")</f>
        <v>0</v>
      </c>
    </row>
    <row r="194" customFormat="false" ht="15" hidden="false" customHeight="false" outlineLevel="0" collapsed="false">
      <c r="A194" s="10" t="s">
        <v>40</v>
      </c>
      <c r="B194" s="10" t="s">
        <v>307</v>
      </c>
      <c r="C194" s="10" t="s">
        <v>308</v>
      </c>
      <c r="D194" s="10" t="s">
        <v>272</v>
      </c>
      <c r="E194" s="10"/>
      <c r="F194" s="10"/>
      <c r="G194" s="10"/>
      <c r="H194" s="10" t="s">
        <v>309</v>
      </c>
      <c r="I194" s="10" t="n">
        <f aca="false">COUNTA(objecttype!M$2:M$2000)</f>
        <v>0</v>
      </c>
      <c r="J194" s="10" t="str">
        <f aca="false">IF(D194="ja",COUNTA(objecttype!$A$2:$A$2000)-I194,"")</f>
        <v/>
      </c>
    </row>
    <row r="195" customFormat="false" ht="15" hidden="false" customHeight="false" outlineLevel="0" collapsed="false">
      <c r="A195" s="10" t="s">
        <v>40</v>
      </c>
      <c r="B195" s="10" t="s">
        <v>310</v>
      </c>
      <c r="C195" s="10" t="s">
        <v>308</v>
      </c>
      <c r="D195" s="10" t="s">
        <v>272</v>
      </c>
      <c r="E195" s="10"/>
      <c r="F195" s="10"/>
      <c r="G195" s="10"/>
      <c r="H195" s="10" t="s">
        <v>311</v>
      </c>
      <c r="I195" s="10" t="n">
        <f aca="false">COUNTA(objecttype!N$2:N$2000)</f>
        <v>0</v>
      </c>
      <c r="J195" s="10" t="str">
        <f aca="false">IF(D195="ja",COUNTA(objecttype!$A$2:$A$2000)-I195,"")</f>
        <v/>
      </c>
    </row>
    <row r="196" customFormat="false" ht="15" hidden="false" customHeight="false" outlineLevel="0" collapsed="false">
      <c r="A196" s="10" t="s">
        <v>40</v>
      </c>
      <c r="B196" s="10" t="s">
        <v>312</v>
      </c>
      <c r="C196" s="10" t="s">
        <v>271</v>
      </c>
      <c r="D196" s="10" t="s">
        <v>272</v>
      </c>
      <c r="E196" s="10"/>
      <c r="F196" s="10"/>
      <c r="G196" s="10"/>
      <c r="H196" s="10" t="s">
        <v>313</v>
      </c>
      <c r="I196" s="10" t="n">
        <f aca="false">COUNTA(objecttype!O$2:O$2000)</f>
        <v>0</v>
      </c>
      <c r="J196" s="10" t="str">
        <f aca="false">IF(D196="ja",COUNTA(objecttype!$A$2:$A$2000)-I196,"")</f>
        <v/>
      </c>
    </row>
    <row r="197" customFormat="false" ht="15" hidden="false" customHeight="false" outlineLevel="0" collapsed="false">
      <c r="A197" s="9" t="s">
        <v>41</v>
      </c>
      <c r="B197" s="9" t="s">
        <v>418</v>
      </c>
      <c r="C197" s="9" t="s">
        <v>257</v>
      </c>
      <c r="D197" s="9" t="s">
        <v>258</v>
      </c>
      <c r="E197" s="9" t="s">
        <v>259</v>
      </c>
      <c r="F197" s="9"/>
      <c r="G197" s="9"/>
      <c r="H197" s="9"/>
      <c r="I197" s="9" t="n">
        <f aca="false">COUNTA(financiele_vraag!A$2:A$2000)</f>
        <v>12</v>
      </c>
      <c r="J197" s="9" t="n">
        <f aca="false">IF(D197="ja",COUNTA(financiele_vraag!$A$2:$A$2000)-I197,"")</f>
        <v>0</v>
      </c>
    </row>
    <row r="198" customFormat="false" ht="15" hidden="false" customHeight="false" outlineLevel="0" collapsed="false">
      <c r="A198" s="9" t="s">
        <v>41</v>
      </c>
      <c r="B198" s="9" t="s">
        <v>419</v>
      </c>
      <c r="C198" s="9" t="s">
        <v>262</v>
      </c>
      <c r="D198" s="9" t="s">
        <v>258</v>
      </c>
      <c r="E198" s="9"/>
      <c r="F198" s="9"/>
      <c r="G198" s="9"/>
      <c r="H198" s="9"/>
      <c r="I198" s="9" t="n">
        <f aca="false">COUNTA(financiele_vraag!B$2:B$2000)</f>
        <v>12</v>
      </c>
      <c r="J198" s="9" t="n">
        <f aca="false">IF(D198="ja",COUNTA(financiele_vraag!$A$2:$A$2000)-I198,"")</f>
        <v>0</v>
      </c>
    </row>
    <row r="199" customFormat="false" ht="15" hidden="false" customHeight="false" outlineLevel="0" collapsed="false">
      <c r="A199" s="9" t="s">
        <v>41</v>
      </c>
      <c r="B199" s="9" t="s">
        <v>420</v>
      </c>
      <c r="C199" s="9" t="s">
        <v>268</v>
      </c>
      <c r="D199" s="9" t="s">
        <v>258</v>
      </c>
      <c r="E199" s="9"/>
      <c r="F199" s="9"/>
      <c r="G199" s="9"/>
      <c r="H199" s="9"/>
      <c r="I199" s="9" t="n">
        <f aca="false">COUNTA(financiele_vraag!C$2:C$2000)</f>
        <v>12</v>
      </c>
      <c r="J199" s="9" t="n">
        <f aca="false">IF(D199="ja",COUNTA(financiele_vraag!$A$2:$A$2000)-I199,"")</f>
        <v>0</v>
      </c>
    </row>
    <row r="200" customFormat="false" ht="15" hidden="false" customHeight="false" outlineLevel="0" collapsed="false">
      <c r="A200" s="9" t="s">
        <v>41</v>
      </c>
      <c r="B200" s="9" t="s">
        <v>421</v>
      </c>
      <c r="C200" s="9" t="s">
        <v>389</v>
      </c>
      <c r="D200" s="9" t="s">
        <v>258</v>
      </c>
      <c r="E200" s="9"/>
      <c r="F200" s="9"/>
      <c r="G200" s="9"/>
      <c r="H200" s="9"/>
      <c r="I200" s="9" t="n">
        <f aca="false">COUNTA(financiele_vraag!D$2:D$2000)</f>
        <v>12</v>
      </c>
      <c r="J200" s="9" t="n">
        <f aca="false">IF(D200="ja",COUNTA(financiele_vraag!$A$2:$A$2000)-I200,"")</f>
        <v>0</v>
      </c>
    </row>
    <row r="201" customFormat="false" ht="15" hidden="false" customHeight="false" outlineLevel="0" collapsed="false">
      <c r="A201" s="9" t="s">
        <v>41</v>
      </c>
      <c r="B201" s="9" t="s">
        <v>422</v>
      </c>
      <c r="C201" s="9" t="s">
        <v>323</v>
      </c>
      <c r="D201" s="9" t="s">
        <v>258</v>
      </c>
      <c r="E201" s="9" t="s">
        <v>324</v>
      </c>
      <c r="F201" s="9" t="s">
        <v>423</v>
      </c>
      <c r="G201" s="9"/>
      <c r="H201" s="9"/>
      <c r="I201" s="9" t="n">
        <f aca="false">COUNTA(financiele_vraag!E$2:E$2000)</f>
        <v>12</v>
      </c>
      <c r="J201" s="9" t="n">
        <f aca="false">IF(D201="ja",COUNTA(financiele_vraag!$A$2:$A$2000)-I201,"")</f>
        <v>0</v>
      </c>
    </row>
    <row r="202" customFormat="false" ht="15" hidden="false" customHeight="false" outlineLevel="0" collapsed="false">
      <c r="A202" s="9" t="s">
        <v>41</v>
      </c>
      <c r="B202" s="9" t="s">
        <v>319</v>
      </c>
      <c r="C202" s="9" t="s">
        <v>271</v>
      </c>
      <c r="D202" s="9" t="s">
        <v>272</v>
      </c>
      <c r="E202" s="9"/>
      <c r="F202" s="9"/>
      <c r="G202" s="9"/>
      <c r="H202" s="9"/>
      <c r="I202" s="9" t="n">
        <f aca="false">COUNTA(financiele_vraag!F$2:F$2000)</f>
        <v>0</v>
      </c>
      <c r="J202" s="9" t="str">
        <f aca="false">IF(D202="ja",COUNTA(financiele_vraag!$A$2:$A$2000)-I202,"")</f>
        <v/>
      </c>
    </row>
    <row r="203" customFormat="false" ht="15" hidden="false" customHeight="false" outlineLevel="0" collapsed="false">
      <c r="A203" s="9" t="s">
        <v>41</v>
      </c>
      <c r="B203" s="9" t="s">
        <v>424</v>
      </c>
      <c r="C203" s="9" t="s">
        <v>283</v>
      </c>
      <c r="D203" s="9" t="s">
        <v>272</v>
      </c>
      <c r="E203" s="9"/>
      <c r="F203" s="9"/>
      <c r="G203" s="9"/>
      <c r="H203" s="9"/>
      <c r="I203" s="9" t="n">
        <f aca="false">COUNTA(financiele_vraag!G$2:G$2000)</f>
        <v>12</v>
      </c>
      <c r="J203" s="9" t="str">
        <f aca="false">IF(D203="ja",COUNTA(financiele_vraag!$A$2:$A$2000)-I203,"")</f>
        <v/>
      </c>
    </row>
    <row r="204" customFormat="false" ht="15" hidden="false" customHeight="false" outlineLevel="0" collapsed="false">
      <c r="A204" s="9" t="s">
        <v>41</v>
      </c>
      <c r="B204" s="9" t="s">
        <v>285</v>
      </c>
      <c r="C204" s="9" t="s">
        <v>286</v>
      </c>
      <c r="D204" s="9" t="s">
        <v>258</v>
      </c>
      <c r="E204" s="9"/>
      <c r="F204" s="9"/>
      <c r="G204" s="9"/>
      <c r="H204" s="9"/>
      <c r="I204" s="9" t="n">
        <f aca="false">COUNTA(financiele_vraag!H$2:H$2000)</f>
        <v>12</v>
      </c>
      <c r="J204" s="9" t="n">
        <f aca="false">IF(D204="ja",COUNTA(financiele_vraag!$A$2:$A$2000)-I204,"")</f>
        <v>0</v>
      </c>
    </row>
    <row r="205" customFormat="false" ht="15" hidden="false" customHeight="false" outlineLevel="0" collapsed="false">
      <c r="A205" s="10" t="s">
        <v>41</v>
      </c>
      <c r="B205" s="10" t="s">
        <v>292</v>
      </c>
      <c r="C205" s="10" t="s">
        <v>293</v>
      </c>
      <c r="D205" s="10" t="s">
        <v>258</v>
      </c>
      <c r="E205" s="10"/>
      <c r="F205" s="10"/>
      <c r="G205" s="10"/>
      <c r="H205" s="10" t="s">
        <v>294</v>
      </c>
      <c r="I205" s="10" t="n">
        <f aca="false">COUNTA(financiele_vraag!I$2:I$2000)</f>
        <v>12</v>
      </c>
      <c r="J205" s="10" t="n">
        <f aca="false">IF(D205="ja",COUNTA(financiele_vraag!$A$2:$A$2000)-I205,"")</f>
        <v>0</v>
      </c>
    </row>
    <row r="206" customFormat="false" ht="15" hidden="false" customHeight="false" outlineLevel="0" collapsed="false">
      <c r="A206" s="10" t="s">
        <v>41</v>
      </c>
      <c r="B206" s="10" t="s">
        <v>295</v>
      </c>
      <c r="C206" s="10" t="s">
        <v>296</v>
      </c>
      <c r="D206" s="10" t="s">
        <v>258</v>
      </c>
      <c r="E206" s="10"/>
      <c r="F206" s="10"/>
      <c r="G206" s="10"/>
      <c r="H206" s="10" t="s">
        <v>297</v>
      </c>
      <c r="I206" s="10" t="n">
        <f aca="false">COUNTA(financiele_vraag!J$2:J$2000)</f>
        <v>12</v>
      </c>
      <c r="J206" s="10" t="n">
        <f aca="false">IF(D206="ja",COUNTA(financiele_vraag!$A$2:$A$2000)-I206,"")</f>
        <v>0</v>
      </c>
    </row>
    <row r="207" customFormat="false" ht="15" hidden="false" customHeight="false" outlineLevel="0" collapsed="false">
      <c r="A207" s="10" t="s">
        <v>41</v>
      </c>
      <c r="B207" s="10" t="s">
        <v>298</v>
      </c>
      <c r="C207" s="10" t="s">
        <v>293</v>
      </c>
      <c r="D207" s="10" t="s">
        <v>258</v>
      </c>
      <c r="E207" s="10"/>
      <c r="F207" s="10"/>
      <c r="G207" s="10"/>
      <c r="H207" s="10" t="s">
        <v>299</v>
      </c>
      <c r="I207" s="10" t="n">
        <f aca="false">COUNTA(financiele_vraag!K$2:K$2000)</f>
        <v>12</v>
      </c>
      <c r="J207" s="10" t="n">
        <f aca="false">IF(D207="ja",COUNTA(financiele_vraag!$A$2:$A$2000)-I207,"")</f>
        <v>0</v>
      </c>
    </row>
    <row r="208" customFormat="false" ht="15" hidden="false" customHeight="false" outlineLevel="0" collapsed="false">
      <c r="A208" s="10" t="s">
        <v>41</v>
      </c>
      <c r="B208" s="10" t="s">
        <v>300</v>
      </c>
      <c r="C208" s="10" t="s">
        <v>296</v>
      </c>
      <c r="D208" s="10" t="s">
        <v>258</v>
      </c>
      <c r="E208" s="10"/>
      <c r="F208" s="10"/>
      <c r="G208" s="10"/>
      <c r="H208" s="10" t="s">
        <v>301</v>
      </c>
      <c r="I208" s="10" t="n">
        <f aca="false">COUNTA(financiele_vraag!L$2:L$2000)</f>
        <v>12</v>
      </c>
      <c r="J208" s="10" t="n">
        <f aca="false">IF(D208="ja",COUNTA(financiele_vraag!$A$2:$A$2000)-I208,"")</f>
        <v>0</v>
      </c>
    </row>
    <row r="209" customFormat="false" ht="15" hidden="false" customHeight="false" outlineLevel="0" collapsed="false">
      <c r="A209" s="10" t="s">
        <v>41</v>
      </c>
      <c r="B209" s="10" t="s">
        <v>302</v>
      </c>
      <c r="C209" s="10" t="s">
        <v>279</v>
      </c>
      <c r="D209" s="10" t="s">
        <v>258</v>
      </c>
      <c r="E209" s="10"/>
      <c r="F209" s="10"/>
      <c r="G209" s="10" t="s">
        <v>303</v>
      </c>
      <c r="H209" s="10" t="s">
        <v>304</v>
      </c>
      <c r="I209" s="10" t="n">
        <f aca="false">COUNTA(financiele_vraag!M$2:M$2000)</f>
        <v>12</v>
      </c>
      <c r="J209" s="10" t="n">
        <f aca="false">IF(D209="ja",COUNTA(financiele_vraag!$A$2:$A$2000)-I209,"")</f>
        <v>0</v>
      </c>
    </row>
    <row r="210" customFormat="false" ht="15" hidden="false" customHeight="false" outlineLevel="0" collapsed="false">
      <c r="A210" s="10" t="s">
        <v>41</v>
      </c>
      <c r="B210" s="10" t="s">
        <v>305</v>
      </c>
      <c r="C210" s="10" t="s">
        <v>286</v>
      </c>
      <c r="D210" s="10" t="s">
        <v>258</v>
      </c>
      <c r="E210" s="10"/>
      <c r="F210" s="10"/>
      <c r="G210" s="10"/>
      <c r="H210" s="10" t="s">
        <v>306</v>
      </c>
      <c r="I210" s="10" t="n">
        <f aca="false">COUNTA(financiele_vraag!N$2:N$2000)</f>
        <v>12</v>
      </c>
      <c r="J210" s="10" t="n">
        <f aca="false">IF(D210="ja",COUNTA(financiele_vraag!$A$2:$A$2000)-I210,"")</f>
        <v>0</v>
      </c>
    </row>
    <row r="211" customFormat="false" ht="15" hidden="false" customHeight="false" outlineLevel="0" collapsed="false">
      <c r="A211" s="10" t="s">
        <v>41</v>
      </c>
      <c r="B211" s="10" t="s">
        <v>307</v>
      </c>
      <c r="C211" s="10" t="s">
        <v>308</v>
      </c>
      <c r="D211" s="10" t="s">
        <v>272</v>
      </c>
      <c r="E211" s="10"/>
      <c r="F211" s="10"/>
      <c r="G211" s="10"/>
      <c r="H211" s="10" t="s">
        <v>309</v>
      </c>
      <c r="I211" s="10" t="n">
        <f aca="false">COUNTA(financiele_vraag!O$2:O$2000)</f>
        <v>0</v>
      </c>
      <c r="J211" s="10" t="str">
        <f aca="false">IF(D211="ja",COUNTA(financiele_vraag!$A$2:$A$2000)-I211,"")</f>
        <v/>
      </c>
    </row>
    <row r="212" customFormat="false" ht="15" hidden="false" customHeight="false" outlineLevel="0" collapsed="false">
      <c r="A212" s="10" t="s">
        <v>41</v>
      </c>
      <c r="B212" s="10" t="s">
        <v>310</v>
      </c>
      <c r="C212" s="10" t="s">
        <v>308</v>
      </c>
      <c r="D212" s="10" t="s">
        <v>272</v>
      </c>
      <c r="E212" s="10"/>
      <c r="F212" s="10"/>
      <c r="G212" s="10"/>
      <c r="H212" s="10" t="s">
        <v>311</v>
      </c>
      <c r="I212" s="10" t="n">
        <f aca="false">COUNTA(financiele_vraag!P$2:P$2000)</f>
        <v>0</v>
      </c>
      <c r="J212" s="10" t="str">
        <f aca="false">IF(D212="ja",COUNTA(financiele_vraag!$A$2:$A$2000)-I212,"")</f>
        <v/>
      </c>
    </row>
    <row r="213" customFormat="false" ht="15" hidden="false" customHeight="false" outlineLevel="0" collapsed="false">
      <c r="A213" s="10" t="s">
        <v>41</v>
      </c>
      <c r="B213" s="10" t="s">
        <v>312</v>
      </c>
      <c r="C213" s="10" t="s">
        <v>271</v>
      </c>
      <c r="D213" s="10" t="s">
        <v>272</v>
      </c>
      <c r="E213" s="10"/>
      <c r="F213" s="10"/>
      <c r="G213" s="10"/>
      <c r="H213" s="10" t="s">
        <v>313</v>
      </c>
      <c r="I213" s="10" t="n">
        <f aca="false">COUNTA(financiele_vraag!Q$2:Q$2000)</f>
        <v>12</v>
      </c>
      <c r="J213" s="10" t="str">
        <f aca="false">IF(D213="ja",COUNTA(financiele_vraag!$A$2:$A$2000)-I213,"")</f>
        <v/>
      </c>
    </row>
    <row r="214" customFormat="false" ht="15" hidden="false" customHeight="false" outlineLevel="0" collapsed="false">
      <c r="A214" s="9" t="s">
        <v>43</v>
      </c>
      <c r="B214" s="9" t="s">
        <v>422</v>
      </c>
      <c r="C214" s="9" t="s">
        <v>257</v>
      </c>
      <c r="D214" s="9" t="s">
        <v>258</v>
      </c>
      <c r="E214" s="9" t="s">
        <v>259</v>
      </c>
      <c r="F214" s="9"/>
      <c r="G214" s="9"/>
      <c r="H214" s="9"/>
      <c r="I214" s="9" t="n">
        <f aca="false">COUNTA(financieel_thema!A$2:A$2000)</f>
        <v>19</v>
      </c>
      <c r="J214" s="9" t="n">
        <f aca="false">IF(D214="ja",COUNTA(financieel_thema!$A$2:$A$2000)-I214,"")</f>
        <v>0</v>
      </c>
    </row>
    <row r="215" customFormat="false" ht="15" hidden="false" customHeight="false" outlineLevel="0" collapsed="false">
      <c r="A215" s="9" t="s">
        <v>43</v>
      </c>
      <c r="B215" s="9" t="s">
        <v>425</v>
      </c>
      <c r="C215" s="9" t="s">
        <v>262</v>
      </c>
      <c r="D215" s="9" t="s">
        <v>258</v>
      </c>
      <c r="E215" s="9"/>
      <c r="F215" s="9"/>
      <c r="G215" s="9"/>
      <c r="H215" s="9"/>
      <c r="I215" s="9" t="n">
        <f aca="false">COUNTA(financieel_thema!B$2:B$2000)</f>
        <v>19</v>
      </c>
      <c r="J215" s="9" t="n">
        <f aca="false">IF(D215="ja",COUNTA(financieel_thema!$A$2:$A$2000)-I215,"")</f>
        <v>0</v>
      </c>
    </row>
    <row r="216" customFormat="false" ht="15" hidden="false" customHeight="false" outlineLevel="0" collapsed="false">
      <c r="A216" s="9" t="s">
        <v>43</v>
      </c>
      <c r="B216" s="9" t="s">
        <v>264</v>
      </c>
      <c r="C216" s="9" t="s">
        <v>389</v>
      </c>
      <c r="D216" s="9" t="s">
        <v>258</v>
      </c>
      <c r="E216" s="9"/>
      <c r="F216" s="9"/>
      <c r="G216" s="9"/>
      <c r="H216" s="9"/>
      <c r="I216" s="9" t="n">
        <f aca="false">COUNTA(financieel_thema!C$2:C$2000)</f>
        <v>19</v>
      </c>
      <c r="J216" s="9" t="n">
        <f aca="false">IF(D216="ja",COUNTA(financieel_thema!$A$2:$A$2000)-I216,"")</f>
        <v>0</v>
      </c>
    </row>
    <row r="217" customFormat="false" ht="15" hidden="false" customHeight="false" outlineLevel="0" collapsed="false">
      <c r="A217" s="9" t="s">
        <v>43</v>
      </c>
      <c r="B217" s="9" t="s">
        <v>319</v>
      </c>
      <c r="C217" s="9" t="s">
        <v>271</v>
      </c>
      <c r="D217" s="9" t="s">
        <v>272</v>
      </c>
      <c r="E217" s="9"/>
      <c r="F217" s="9"/>
      <c r="G217" s="9"/>
      <c r="H217" s="9"/>
      <c r="I217" s="9" t="n">
        <f aca="false">COUNTA(financieel_thema!D$2:D$2000)</f>
        <v>0</v>
      </c>
      <c r="J217" s="9" t="str">
        <f aca="false">IF(D217="ja",COUNTA(financieel_thema!$A$2:$A$2000)-I217,"")</f>
        <v/>
      </c>
    </row>
    <row r="218" customFormat="false" ht="15" hidden="false" customHeight="false" outlineLevel="0" collapsed="false">
      <c r="A218" s="9" t="s">
        <v>43</v>
      </c>
      <c r="B218" s="9" t="s">
        <v>426</v>
      </c>
      <c r="C218" s="9" t="s">
        <v>323</v>
      </c>
      <c r="D218" s="9" t="s">
        <v>272</v>
      </c>
      <c r="E218" s="9" t="s">
        <v>324</v>
      </c>
      <c r="F218" s="9" t="s">
        <v>423</v>
      </c>
      <c r="G218" s="9"/>
      <c r="H218" s="9"/>
      <c r="I218" s="9" t="n">
        <f aca="false">COUNTA(financieel_thema!E$2:E$2000)</f>
        <v>7</v>
      </c>
      <c r="J218" s="9" t="str">
        <f aca="false">IF(D218="ja",COUNTA(financieel_thema!$A$2:$A$2000)-I218,"")</f>
        <v/>
      </c>
    </row>
    <row r="219" customFormat="false" ht="15" hidden="false" customHeight="false" outlineLevel="0" collapsed="false">
      <c r="A219" s="9" t="s">
        <v>43</v>
      </c>
      <c r="B219" s="9" t="s">
        <v>285</v>
      </c>
      <c r="C219" s="9" t="s">
        <v>286</v>
      </c>
      <c r="D219" s="9" t="s">
        <v>258</v>
      </c>
      <c r="E219" s="9"/>
      <c r="F219" s="9"/>
      <c r="G219" s="9"/>
      <c r="H219" s="9"/>
      <c r="I219" s="9" t="n">
        <f aca="false">COUNTA(financieel_thema!F$2:F$2000)</f>
        <v>19</v>
      </c>
      <c r="J219" s="9" t="n">
        <f aca="false">IF(D219="ja",COUNTA(financieel_thema!$A$2:$A$2000)-I219,"")</f>
        <v>0</v>
      </c>
    </row>
    <row r="220" customFormat="false" ht="15" hidden="false" customHeight="false" outlineLevel="0" collapsed="false">
      <c r="A220" s="10" t="s">
        <v>43</v>
      </c>
      <c r="B220" s="10" t="s">
        <v>292</v>
      </c>
      <c r="C220" s="10" t="s">
        <v>293</v>
      </c>
      <c r="D220" s="10" t="s">
        <v>258</v>
      </c>
      <c r="E220" s="10"/>
      <c r="F220" s="10"/>
      <c r="G220" s="10"/>
      <c r="H220" s="10" t="s">
        <v>294</v>
      </c>
      <c r="I220" s="10" t="n">
        <f aca="false">COUNTA(financieel_thema!G$2:G$2000)</f>
        <v>19</v>
      </c>
      <c r="J220" s="10" t="n">
        <f aca="false">IF(D220="ja",COUNTA(financieel_thema!$A$2:$A$2000)-I220,"")</f>
        <v>0</v>
      </c>
    </row>
    <row r="221" customFormat="false" ht="15" hidden="false" customHeight="false" outlineLevel="0" collapsed="false">
      <c r="A221" s="10" t="s">
        <v>43</v>
      </c>
      <c r="B221" s="10" t="s">
        <v>295</v>
      </c>
      <c r="C221" s="10" t="s">
        <v>296</v>
      </c>
      <c r="D221" s="10" t="s">
        <v>258</v>
      </c>
      <c r="E221" s="10"/>
      <c r="F221" s="10"/>
      <c r="G221" s="10"/>
      <c r="H221" s="10" t="s">
        <v>297</v>
      </c>
      <c r="I221" s="10" t="n">
        <f aca="false">COUNTA(financieel_thema!H$2:H$2000)</f>
        <v>19</v>
      </c>
      <c r="J221" s="10" t="n">
        <f aca="false">IF(D221="ja",COUNTA(financieel_thema!$A$2:$A$2000)-I221,"")</f>
        <v>0</v>
      </c>
    </row>
    <row r="222" customFormat="false" ht="15" hidden="false" customHeight="false" outlineLevel="0" collapsed="false">
      <c r="A222" s="10" t="s">
        <v>43</v>
      </c>
      <c r="B222" s="10" t="s">
        <v>298</v>
      </c>
      <c r="C222" s="10" t="s">
        <v>293</v>
      </c>
      <c r="D222" s="10" t="s">
        <v>258</v>
      </c>
      <c r="E222" s="10"/>
      <c r="F222" s="10"/>
      <c r="G222" s="10"/>
      <c r="H222" s="10" t="s">
        <v>299</v>
      </c>
      <c r="I222" s="10" t="n">
        <f aca="false">COUNTA(financieel_thema!I$2:I$2000)</f>
        <v>19</v>
      </c>
      <c r="J222" s="10" t="n">
        <f aca="false">IF(D222="ja",COUNTA(financieel_thema!$A$2:$A$2000)-I222,"")</f>
        <v>0</v>
      </c>
    </row>
    <row r="223" customFormat="false" ht="15" hidden="false" customHeight="false" outlineLevel="0" collapsed="false">
      <c r="A223" s="10" t="s">
        <v>43</v>
      </c>
      <c r="B223" s="10" t="s">
        <v>300</v>
      </c>
      <c r="C223" s="10" t="s">
        <v>296</v>
      </c>
      <c r="D223" s="10" t="s">
        <v>258</v>
      </c>
      <c r="E223" s="10"/>
      <c r="F223" s="10"/>
      <c r="G223" s="10"/>
      <c r="H223" s="10" t="s">
        <v>301</v>
      </c>
      <c r="I223" s="10" t="n">
        <f aca="false">COUNTA(financieel_thema!J$2:J$2000)</f>
        <v>19</v>
      </c>
      <c r="J223" s="10" t="n">
        <f aca="false">IF(D223="ja",COUNTA(financieel_thema!$A$2:$A$2000)-I223,"")</f>
        <v>0</v>
      </c>
    </row>
    <row r="224" customFormat="false" ht="15" hidden="false" customHeight="false" outlineLevel="0" collapsed="false">
      <c r="A224" s="10" t="s">
        <v>43</v>
      </c>
      <c r="B224" s="10" t="s">
        <v>302</v>
      </c>
      <c r="C224" s="10" t="s">
        <v>279</v>
      </c>
      <c r="D224" s="10" t="s">
        <v>258</v>
      </c>
      <c r="E224" s="10"/>
      <c r="F224" s="10"/>
      <c r="G224" s="10" t="s">
        <v>303</v>
      </c>
      <c r="H224" s="10" t="s">
        <v>304</v>
      </c>
      <c r="I224" s="10" t="n">
        <f aca="false">COUNTA(financieel_thema!K$2:K$2000)</f>
        <v>19</v>
      </c>
      <c r="J224" s="10" t="n">
        <f aca="false">IF(D224="ja",COUNTA(financieel_thema!$A$2:$A$2000)-I224,"")</f>
        <v>0</v>
      </c>
    </row>
    <row r="225" customFormat="false" ht="15" hidden="false" customHeight="false" outlineLevel="0" collapsed="false">
      <c r="A225" s="10" t="s">
        <v>43</v>
      </c>
      <c r="B225" s="10" t="s">
        <v>305</v>
      </c>
      <c r="C225" s="10" t="s">
        <v>286</v>
      </c>
      <c r="D225" s="10" t="s">
        <v>258</v>
      </c>
      <c r="E225" s="10"/>
      <c r="F225" s="10"/>
      <c r="G225" s="10"/>
      <c r="H225" s="10" t="s">
        <v>306</v>
      </c>
      <c r="I225" s="10" t="n">
        <f aca="false">COUNTA(financieel_thema!L$2:L$2000)</f>
        <v>19</v>
      </c>
      <c r="J225" s="10" t="n">
        <f aca="false">IF(D225="ja",COUNTA(financieel_thema!$A$2:$A$2000)-I225,"")</f>
        <v>0</v>
      </c>
    </row>
    <row r="226" customFormat="false" ht="15" hidden="false" customHeight="false" outlineLevel="0" collapsed="false">
      <c r="A226" s="10" t="s">
        <v>43</v>
      </c>
      <c r="B226" s="10" t="s">
        <v>307</v>
      </c>
      <c r="C226" s="10" t="s">
        <v>308</v>
      </c>
      <c r="D226" s="10" t="s">
        <v>272</v>
      </c>
      <c r="E226" s="10"/>
      <c r="F226" s="10"/>
      <c r="G226" s="10"/>
      <c r="H226" s="10" t="s">
        <v>309</v>
      </c>
      <c r="I226" s="10" t="n">
        <f aca="false">COUNTA(financieel_thema!M$2:M$2000)</f>
        <v>0</v>
      </c>
      <c r="J226" s="10" t="str">
        <f aca="false">IF(D226="ja",COUNTA(financieel_thema!$A$2:$A$2000)-I226,"")</f>
        <v/>
      </c>
    </row>
    <row r="227" customFormat="false" ht="15" hidden="false" customHeight="false" outlineLevel="0" collapsed="false">
      <c r="A227" s="10" t="s">
        <v>43</v>
      </c>
      <c r="B227" s="10" t="s">
        <v>310</v>
      </c>
      <c r="C227" s="10" t="s">
        <v>308</v>
      </c>
      <c r="D227" s="10" t="s">
        <v>272</v>
      </c>
      <c r="E227" s="10"/>
      <c r="F227" s="10"/>
      <c r="G227" s="10"/>
      <c r="H227" s="10" t="s">
        <v>311</v>
      </c>
      <c r="I227" s="10" t="n">
        <f aca="false">COUNTA(financieel_thema!N$2:N$2000)</f>
        <v>0</v>
      </c>
      <c r="J227" s="10" t="str">
        <f aca="false">IF(D227="ja",COUNTA(financieel_thema!$A$2:$A$2000)-I227,"")</f>
        <v/>
      </c>
    </row>
    <row r="228" customFormat="false" ht="15" hidden="false" customHeight="false" outlineLevel="0" collapsed="false">
      <c r="A228" s="10" t="s">
        <v>43</v>
      </c>
      <c r="B228" s="10" t="s">
        <v>312</v>
      </c>
      <c r="C228" s="10" t="s">
        <v>271</v>
      </c>
      <c r="D228" s="10" t="s">
        <v>272</v>
      </c>
      <c r="E228" s="10"/>
      <c r="F228" s="10"/>
      <c r="G228" s="10"/>
      <c r="H228" s="10" t="s">
        <v>313</v>
      </c>
      <c r="I228" s="10" t="n">
        <f aca="false">COUNTA(financieel_thema!O$2:O$2000)</f>
        <v>7</v>
      </c>
      <c r="J228" s="10" t="str">
        <f aca="false">IF(D228="ja",COUNTA(financieel_thema!$A$2:$A$2000)-I228,"")</f>
        <v/>
      </c>
    </row>
    <row r="229" customFormat="false" ht="15" hidden="false" customHeight="false" outlineLevel="0" collapsed="false">
      <c r="A229" s="9" t="s">
        <v>44</v>
      </c>
      <c r="B229" s="9" t="s">
        <v>427</v>
      </c>
      <c r="C229" s="9" t="s">
        <v>257</v>
      </c>
      <c r="D229" s="9" t="s">
        <v>258</v>
      </c>
      <c r="E229" s="9" t="s">
        <v>259</v>
      </c>
      <c r="F229" s="9"/>
      <c r="G229" s="9"/>
      <c r="H229" s="9"/>
      <c r="I229" s="9" t="n">
        <f aca="false">COUNTA(informatiebehoefte!A$2:A$2000)</f>
        <v>15</v>
      </c>
      <c r="J229" s="9" t="n">
        <f aca="false">IF(D229="ja",COUNTA(informatiebehoefte!$A$2:$A$2000)-I229,"")</f>
        <v>0</v>
      </c>
    </row>
    <row r="230" customFormat="false" ht="15" hidden="false" customHeight="false" outlineLevel="0" collapsed="false">
      <c r="A230" s="9" t="s">
        <v>44</v>
      </c>
      <c r="B230" s="9" t="s">
        <v>428</v>
      </c>
      <c r="C230" s="9" t="s">
        <v>279</v>
      </c>
      <c r="D230" s="9" t="s">
        <v>258</v>
      </c>
      <c r="E230" s="9"/>
      <c r="F230" s="9"/>
      <c r="G230" s="9"/>
      <c r="H230" s="9"/>
      <c r="I230" s="9" t="n">
        <f aca="false">COUNTA(informatiebehoefte!B$2:B$2000)</f>
        <v>15</v>
      </c>
      <c r="J230" s="9" t="n">
        <f aca="false">IF(D230="ja",COUNTA(informatiebehoefte!$A$2:$A$2000)-I230,"")</f>
        <v>0</v>
      </c>
    </row>
    <row r="231" customFormat="false" ht="15" hidden="false" customHeight="false" outlineLevel="0" collapsed="false">
      <c r="A231" s="9" t="s">
        <v>44</v>
      </c>
      <c r="B231" s="9" t="s">
        <v>264</v>
      </c>
      <c r="C231" s="9" t="s">
        <v>265</v>
      </c>
      <c r="D231" s="9" t="s">
        <v>258</v>
      </c>
      <c r="E231" s="9"/>
      <c r="F231" s="9"/>
      <c r="G231" s="9"/>
      <c r="H231" s="9"/>
      <c r="I231" s="9" t="n">
        <f aca="false">COUNTA(informatiebehoefte!C$2:C$2000)</f>
        <v>15</v>
      </c>
      <c r="J231" s="9" t="n">
        <f aca="false">IF(D231="ja",COUNTA(informatiebehoefte!$A$2:$A$2000)-I231,"")</f>
        <v>0</v>
      </c>
    </row>
    <row r="232" customFormat="false" ht="15" hidden="false" customHeight="false" outlineLevel="0" collapsed="false">
      <c r="A232" s="9" t="s">
        <v>44</v>
      </c>
      <c r="B232" s="9" t="s">
        <v>429</v>
      </c>
      <c r="C232" s="9" t="s">
        <v>323</v>
      </c>
      <c r="D232" s="9" t="s">
        <v>258</v>
      </c>
      <c r="E232" s="9" t="s">
        <v>324</v>
      </c>
      <c r="F232" s="9" t="s">
        <v>430</v>
      </c>
      <c r="G232" s="9"/>
      <c r="H232" s="9"/>
      <c r="I232" s="9" t="n">
        <f aca="false">COUNTA(informatiebehoefte!D$2:D$2000)</f>
        <v>15</v>
      </c>
      <c r="J232" s="9" t="n">
        <f aca="false">IF(D232="ja",COUNTA(informatiebehoefte!$A$2:$A$2000)-I232,"")</f>
        <v>0</v>
      </c>
    </row>
    <row r="233" customFormat="false" ht="15" hidden="false" customHeight="false" outlineLevel="0" collapsed="false">
      <c r="A233" s="9" t="s">
        <v>44</v>
      </c>
      <c r="B233" s="9" t="s">
        <v>431</v>
      </c>
      <c r="C233" s="9" t="s">
        <v>271</v>
      </c>
      <c r="D233" s="9" t="s">
        <v>258</v>
      </c>
      <c r="E233" s="9"/>
      <c r="F233" s="9"/>
      <c r="G233" s="9"/>
      <c r="H233" s="9"/>
      <c r="I233" s="9" t="n">
        <f aca="false">COUNTA(informatiebehoefte!E$2:E$2000)</f>
        <v>15</v>
      </c>
      <c r="J233" s="9" t="n">
        <f aca="false">IF(D233="ja",COUNTA(informatiebehoefte!$A$2:$A$2000)-I233,"")</f>
        <v>0</v>
      </c>
    </row>
    <row r="234" customFormat="false" ht="15" hidden="false" customHeight="false" outlineLevel="0" collapsed="false">
      <c r="A234" s="9" t="s">
        <v>44</v>
      </c>
      <c r="B234" s="9" t="s">
        <v>319</v>
      </c>
      <c r="C234" s="9" t="s">
        <v>271</v>
      </c>
      <c r="D234" s="9" t="s">
        <v>272</v>
      </c>
      <c r="E234" s="9"/>
      <c r="F234" s="9"/>
      <c r="G234" s="9"/>
      <c r="H234" s="9"/>
      <c r="I234" s="9" t="n">
        <f aca="false">COUNTA(informatiebehoefte!F$2:F$2000)</f>
        <v>0</v>
      </c>
      <c r="J234" s="9" t="str">
        <f aca="false">IF(D234="ja",COUNTA(informatiebehoefte!$A$2:$A$2000)-I234,"")</f>
        <v/>
      </c>
    </row>
    <row r="235" customFormat="false" ht="15" hidden="false" customHeight="false" outlineLevel="0" collapsed="false">
      <c r="A235" s="9" t="s">
        <v>44</v>
      </c>
      <c r="B235" s="9" t="s">
        <v>432</v>
      </c>
      <c r="C235" s="9" t="s">
        <v>279</v>
      </c>
      <c r="D235" s="9" t="s">
        <v>272</v>
      </c>
      <c r="E235" s="9"/>
      <c r="F235" s="9"/>
      <c r="G235" s="9" t="s">
        <v>433</v>
      </c>
      <c r="H235" s="9"/>
      <c r="I235" s="9" t="n">
        <f aca="false">COUNTA(informatiebehoefte!G$2:G$2000)</f>
        <v>15</v>
      </c>
      <c r="J235" s="9" t="str">
        <f aca="false">IF(D235="ja",COUNTA(informatiebehoefte!$A$2:$A$2000)-I235,"")</f>
        <v/>
      </c>
    </row>
    <row r="236" customFormat="false" ht="15" hidden="false" customHeight="false" outlineLevel="0" collapsed="false">
      <c r="A236" s="9" t="s">
        <v>44</v>
      </c>
      <c r="B236" s="9" t="s">
        <v>434</v>
      </c>
      <c r="C236" s="9" t="s">
        <v>283</v>
      </c>
      <c r="D236" s="9" t="s">
        <v>272</v>
      </c>
      <c r="E236" s="9"/>
      <c r="F236" s="9"/>
      <c r="G236" s="9"/>
      <c r="H236" s="9"/>
      <c r="I236" s="9" t="n">
        <f aca="false">COUNTA(informatiebehoefte!H$2:H$2000)</f>
        <v>15</v>
      </c>
      <c r="J236" s="9" t="str">
        <f aca="false">IF(D236="ja",COUNTA(informatiebehoefte!$A$2:$A$2000)-I236,"")</f>
        <v/>
      </c>
    </row>
    <row r="237" customFormat="false" ht="15" hidden="false" customHeight="false" outlineLevel="0" collapsed="false">
      <c r="A237" s="9" t="s">
        <v>44</v>
      </c>
      <c r="B237" s="9" t="s">
        <v>435</v>
      </c>
      <c r="C237" s="9" t="s">
        <v>283</v>
      </c>
      <c r="D237" s="9" t="s">
        <v>272</v>
      </c>
      <c r="E237" s="9"/>
      <c r="F237" s="9"/>
      <c r="G237" s="9"/>
      <c r="H237" s="9"/>
      <c r="I237" s="9" t="n">
        <f aca="false">COUNTA(informatiebehoefte!I$2:I$2000)</f>
        <v>15</v>
      </c>
      <c r="J237" s="9" t="str">
        <f aca="false">IF(D237="ja",COUNTA(informatiebehoefte!$A$2:$A$2000)-I237,"")</f>
        <v/>
      </c>
    </row>
    <row r="238" customFormat="false" ht="15" hidden="false" customHeight="false" outlineLevel="0" collapsed="false">
      <c r="A238" s="9" t="s">
        <v>44</v>
      </c>
      <c r="B238" s="9" t="s">
        <v>436</v>
      </c>
      <c r="C238" s="9" t="s">
        <v>271</v>
      </c>
      <c r="D238" s="9" t="s">
        <v>272</v>
      </c>
      <c r="E238" s="9"/>
      <c r="F238" s="9"/>
      <c r="G238" s="9"/>
      <c r="H238" s="9"/>
      <c r="I238" s="9" t="n">
        <f aca="false">COUNTA(informatiebehoefte!J$2:J$2000)</f>
        <v>0</v>
      </c>
      <c r="J238" s="9" t="str">
        <f aca="false">IF(D238="ja",COUNTA(informatiebehoefte!$A$2:$A$2000)-I238,"")</f>
        <v/>
      </c>
    </row>
    <row r="239" customFormat="false" ht="15" hidden="false" customHeight="false" outlineLevel="0" collapsed="false">
      <c r="A239" s="9" t="s">
        <v>44</v>
      </c>
      <c r="B239" s="9" t="s">
        <v>437</v>
      </c>
      <c r="C239" s="9" t="s">
        <v>289</v>
      </c>
      <c r="D239" s="9" t="s">
        <v>258</v>
      </c>
      <c r="E239" s="9"/>
      <c r="F239" s="9"/>
      <c r="G239" s="9" t="s">
        <v>290</v>
      </c>
      <c r="H239" s="9"/>
      <c r="I239" s="9" t="n">
        <f aca="false">COUNTA(informatiebehoefte!K$2:K$2000)</f>
        <v>15</v>
      </c>
      <c r="J239" s="9" t="n">
        <f aca="false">IF(D239="ja",COUNTA(informatiebehoefte!$A$2:$A$2000)-I239,"")</f>
        <v>0</v>
      </c>
    </row>
    <row r="240" customFormat="false" ht="15" hidden="false" customHeight="false" outlineLevel="0" collapsed="false">
      <c r="A240" s="9" t="s">
        <v>44</v>
      </c>
      <c r="B240" s="9" t="s">
        <v>438</v>
      </c>
      <c r="C240" s="9" t="s">
        <v>289</v>
      </c>
      <c r="D240" s="9" t="s">
        <v>258</v>
      </c>
      <c r="E240" s="9"/>
      <c r="F240" s="9"/>
      <c r="G240" s="9" t="s">
        <v>290</v>
      </c>
      <c r="H240" s="9"/>
      <c r="I240" s="9" t="n">
        <f aca="false">COUNTA(informatiebehoefte!L$2:L$2000)</f>
        <v>15</v>
      </c>
      <c r="J240" s="9" t="n">
        <f aca="false">IF(D240="ja",COUNTA(informatiebehoefte!$A$2:$A$2000)-I240,"")</f>
        <v>0</v>
      </c>
    </row>
    <row r="241" customFormat="false" ht="15" hidden="false" customHeight="false" outlineLevel="0" collapsed="false">
      <c r="A241" s="10" t="s">
        <v>44</v>
      </c>
      <c r="B241" s="10" t="s">
        <v>292</v>
      </c>
      <c r="C241" s="10" t="s">
        <v>293</v>
      </c>
      <c r="D241" s="10" t="s">
        <v>258</v>
      </c>
      <c r="E241" s="10"/>
      <c r="F241" s="10"/>
      <c r="G241" s="10"/>
      <c r="H241" s="10" t="s">
        <v>294</v>
      </c>
      <c r="I241" s="10" t="n">
        <f aca="false">COUNTA(informatiebehoefte!M$2:M$2000)</f>
        <v>15</v>
      </c>
      <c r="J241" s="10" t="n">
        <f aca="false">IF(D241="ja",COUNTA(informatiebehoefte!$A$2:$A$2000)-I241,"")</f>
        <v>0</v>
      </c>
    </row>
    <row r="242" customFormat="false" ht="15" hidden="false" customHeight="false" outlineLevel="0" collapsed="false">
      <c r="A242" s="10" t="s">
        <v>44</v>
      </c>
      <c r="B242" s="10" t="s">
        <v>295</v>
      </c>
      <c r="C242" s="10" t="s">
        <v>296</v>
      </c>
      <c r="D242" s="10" t="s">
        <v>258</v>
      </c>
      <c r="E242" s="10"/>
      <c r="F242" s="10"/>
      <c r="G242" s="10"/>
      <c r="H242" s="10" t="s">
        <v>297</v>
      </c>
      <c r="I242" s="10" t="n">
        <f aca="false">COUNTA(informatiebehoefte!N$2:N$2000)</f>
        <v>15</v>
      </c>
      <c r="J242" s="10" t="n">
        <f aca="false">IF(D242="ja",COUNTA(informatiebehoefte!$A$2:$A$2000)-I242,"")</f>
        <v>0</v>
      </c>
    </row>
    <row r="243" customFormat="false" ht="15" hidden="false" customHeight="false" outlineLevel="0" collapsed="false">
      <c r="A243" s="10" t="s">
        <v>44</v>
      </c>
      <c r="B243" s="10" t="s">
        <v>298</v>
      </c>
      <c r="C243" s="10" t="s">
        <v>293</v>
      </c>
      <c r="D243" s="10" t="s">
        <v>258</v>
      </c>
      <c r="E243" s="10"/>
      <c r="F243" s="10"/>
      <c r="G243" s="10"/>
      <c r="H243" s="10" t="s">
        <v>299</v>
      </c>
      <c r="I243" s="10" t="n">
        <f aca="false">COUNTA(informatiebehoefte!O$2:O$2000)</f>
        <v>15</v>
      </c>
      <c r="J243" s="10" t="n">
        <f aca="false">IF(D243="ja",COUNTA(informatiebehoefte!$A$2:$A$2000)-I243,"")</f>
        <v>0</v>
      </c>
    </row>
    <row r="244" customFormat="false" ht="15" hidden="false" customHeight="false" outlineLevel="0" collapsed="false">
      <c r="A244" s="10" t="s">
        <v>44</v>
      </c>
      <c r="B244" s="10" t="s">
        <v>300</v>
      </c>
      <c r="C244" s="10" t="s">
        <v>296</v>
      </c>
      <c r="D244" s="10" t="s">
        <v>258</v>
      </c>
      <c r="E244" s="10"/>
      <c r="F244" s="10"/>
      <c r="G244" s="10"/>
      <c r="H244" s="10" t="s">
        <v>301</v>
      </c>
      <c r="I244" s="10" t="n">
        <f aca="false">COUNTA(informatiebehoefte!P$2:P$2000)</f>
        <v>15</v>
      </c>
      <c r="J244" s="10" t="n">
        <f aca="false">IF(D244="ja",COUNTA(informatiebehoefte!$A$2:$A$2000)-I244,"")</f>
        <v>0</v>
      </c>
    </row>
    <row r="245" customFormat="false" ht="15" hidden="false" customHeight="false" outlineLevel="0" collapsed="false">
      <c r="A245" s="10" t="s">
        <v>44</v>
      </c>
      <c r="B245" s="10" t="s">
        <v>302</v>
      </c>
      <c r="C245" s="10" t="s">
        <v>279</v>
      </c>
      <c r="D245" s="10" t="s">
        <v>258</v>
      </c>
      <c r="E245" s="10"/>
      <c r="F245" s="10"/>
      <c r="G245" s="10" t="s">
        <v>303</v>
      </c>
      <c r="H245" s="10" t="s">
        <v>304</v>
      </c>
      <c r="I245" s="10" t="n">
        <f aca="false">COUNTA(informatiebehoefte!Q$2:Q$2000)</f>
        <v>15</v>
      </c>
      <c r="J245" s="10" t="n">
        <f aca="false">IF(D245="ja",COUNTA(informatiebehoefte!$A$2:$A$2000)-I245,"")</f>
        <v>0</v>
      </c>
    </row>
    <row r="246" customFormat="false" ht="15" hidden="false" customHeight="false" outlineLevel="0" collapsed="false">
      <c r="A246" s="10" t="s">
        <v>44</v>
      </c>
      <c r="B246" s="10" t="s">
        <v>305</v>
      </c>
      <c r="C246" s="10" t="s">
        <v>286</v>
      </c>
      <c r="D246" s="10" t="s">
        <v>258</v>
      </c>
      <c r="E246" s="10"/>
      <c r="F246" s="10"/>
      <c r="G246" s="10"/>
      <c r="H246" s="10" t="s">
        <v>306</v>
      </c>
      <c r="I246" s="10" t="n">
        <f aca="false">COUNTA(informatiebehoefte!R$2:R$2000)</f>
        <v>15</v>
      </c>
      <c r="J246" s="10" t="n">
        <f aca="false">IF(D246="ja",COUNTA(informatiebehoefte!$A$2:$A$2000)-I246,"")</f>
        <v>0</v>
      </c>
    </row>
    <row r="247" customFormat="false" ht="15" hidden="false" customHeight="false" outlineLevel="0" collapsed="false">
      <c r="A247" s="10" t="s">
        <v>44</v>
      </c>
      <c r="B247" s="10" t="s">
        <v>307</v>
      </c>
      <c r="C247" s="10" t="s">
        <v>308</v>
      </c>
      <c r="D247" s="10" t="s">
        <v>272</v>
      </c>
      <c r="E247" s="10"/>
      <c r="F247" s="10"/>
      <c r="G247" s="10"/>
      <c r="H247" s="10" t="s">
        <v>309</v>
      </c>
      <c r="I247" s="10" t="n">
        <f aca="false">COUNTA(informatiebehoefte!S$2:S$2000)</f>
        <v>0</v>
      </c>
      <c r="J247" s="10" t="str">
        <f aca="false">IF(D247="ja",COUNTA(informatiebehoefte!$A$2:$A$2000)-I247,"")</f>
        <v/>
      </c>
    </row>
    <row r="248" customFormat="false" ht="15" hidden="false" customHeight="false" outlineLevel="0" collapsed="false">
      <c r="A248" s="10" t="s">
        <v>44</v>
      </c>
      <c r="B248" s="10" t="s">
        <v>310</v>
      </c>
      <c r="C248" s="10" t="s">
        <v>308</v>
      </c>
      <c r="D248" s="10" t="s">
        <v>272</v>
      </c>
      <c r="E248" s="10"/>
      <c r="F248" s="10"/>
      <c r="G248" s="10"/>
      <c r="H248" s="10" t="s">
        <v>311</v>
      </c>
      <c r="I248" s="10" t="n">
        <f aca="false">COUNTA(informatiebehoefte!T$2:T$2000)</f>
        <v>0</v>
      </c>
      <c r="J248" s="10" t="str">
        <f aca="false">IF(D248="ja",COUNTA(informatiebehoefte!$A$2:$A$2000)-I248,"")</f>
        <v/>
      </c>
    </row>
    <row r="249" customFormat="false" ht="15" hidden="false" customHeight="false" outlineLevel="0" collapsed="false">
      <c r="A249" s="10" t="s">
        <v>44</v>
      </c>
      <c r="B249" s="10" t="s">
        <v>312</v>
      </c>
      <c r="C249" s="10" t="s">
        <v>271</v>
      </c>
      <c r="D249" s="10" t="s">
        <v>272</v>
      </c>
      <c r="E249" s="10"/>
      <c r="F249" s="10"/>
      <c r="G249" s="10"/>
      <c r="H249" s="10" t="s">
        <v>313</v>
      </c>
      <c r="I249" s="10" t="n">
        <f aca="false">COUNTA(informatiebehoefte!U$2:U$2000)</f>
        <v>15</v>
      </c>
      <c r="J249" s="10" t="str">
        <f aca="false">IF(D249="ja",COUNTA(informatiebehoefte!$A$2:$A$2000)-I249,"")</f>
        <v/>
      </c>
    </row>
    <row r="250" customFormat="false" ht="15" hidden="false" customHeight="false" outlineLevel="0" collapsed="false">
      <c r="A250" s="9" t="s">
        <v>45</v>
      </c>
      <c r="B250" s="9" t="s">
        <v>429</v>
      </c>
      <c r="C250" s="9" t="s">
        <v>257</v>
      </c>
      <c r="D250" s="9" t="s">
        <v>258</v>
      </c>
      <c r="E250" s="9" t="s">
        <v>259</v>
      </c>
      <c r="F250" s="9"/>
      <c r="G250" s="9"/>
      <c r="H250" s="9"/>
      <c r="I250" s="9" t="n">
        <f aca="false">COUNTA(informatietype!A$2:A$2000)</f>
        <v>18</v>
      </c>
      <c r="J250" s="9" t="n">
        <f aca="false">IF(D250="ja",COUNTA(informatietype!$A$2:$A$2000)-I250,"")</f>
        <v>0</v>
      </c>
    </row>
    <row r="251" customFormat="false" ht="15" hidden="false" customHeight="false" outlineLevel="0" collapsed="false">
      <c r="A251" s="9" t="s">
        <v>45</v>
      </c>
      <c r="B251" s="9" t="s">
        <v>315</v>
      </c>
      <c r="C251" s="9" t="s">
        <v>262</v>
      </c>
      <c r="D251" s="9" t="s">
        <v>258</v>
      </c>
      <c r="E251" s="9"/>
      <c r="F251" s="9"/>
      <c r="G251" s="9"/>
      <c r="H251" s="9"/>
      <c r="I251" s="9" t="n">
        <f aca="false">COUNTA(informatietype!B$2:B$2000)</f>
        <v>18</v>
      </c>
      <c r="J251" s="9" t="n">
        <f aca="false">IF(D251="ja",COUNTA(informatietype!$A$2:$A$2000)-I251,"")</f>
        <v>0</v>
      </c>
    </row>
    <row r="252" customFormat="false" ht="15" hidden="false" customHeight="false" outlineLevel="0" collapsed="false">
      <c r="A252" s="9" t="s">
        <v>45</v>
      </c>
      <c r="B252" s="9" t="s">
        <v>264</v>
      </c>
      <c r="C252" s="9" t="s">
        <v>389</v>
      </c>
      <c r="D252" s="9" t="s">
        <v>258</v>
      </c>
      <c r="E252" s="9"/>
      <c r="F252" s="9"/>
      <c r="G252" s="9"/>
      <c r="H252" s="9"/>
      <c r="I252" s="9" t="n">
        <f aca="false">COUNTA(informatietype!C$2:C$2000)</f>
        <v>18</v>
      </c>
      <c r="J252" s="9" t="n">
        <f aca="false">IF(D252="ja",COUNTA(informatietype!$A$2:$A$2000)-I252,"")</f>
        <v>0</v>
      </c>
    </row>
    <row r="253" customFormat="false" ht="15" hidden="false" customHeight="false" outlineLevel="0" collapsed="false">
      <c r="A253" s="9" t="s">
        <v>45</v>
      </c>
      <c r="B253" s="9" t="s">
        <v>319</v>
      </c>
      <c r="C253" s="9" t="s">
        <v>271</v>
      </c>
      <c r="D253" s="9" t="s">
        <v>272</v>
      </c>
      <c r="E253" s="9"/>
      <c r="F253" s="9"/>
      <c r="G253" s="9"/>
      <c r="H253" s="9"/>
      <c r="I253" s="9" t="n">
        <f aca="false">COUNTA(informatietype!D$2:D$2000)</f>
        <v>0</v>
      </c>
      <c r="J253" s="9" t="str">
        <f aca="false">IF(D253="ja",COUNTA(informatietype!$A$2:$A$2000)-I253,"")</f>
        <v/>
      </c>
    </row>
    <row r="254" customFormat="false" ht="15" hidden="false" customHeight="false" outlineLevel="0" collapsed="false">
      <c r="A254" s="9" t="s">
        <v>45</v>
      </c>
      <c r="B254" s="9" t="s">
        <v>285</v>
      </c>
      <c r="C254" s="9" t="s">
        <v>286</v>
      </c>
      <c r="D254" s="9" t="s">
        <v>258</v>
      </c>
      <c r="E254" s="9"/>
      <c r="F254" s="9"/>
      <c r="G254" s="9"/>
      <c r="H254" s="9"/>
      <c r="I254" s="9" t="n">
        <f aca="false">COUNTA(informatietype!E$2:E$2000)</f>
        <v>18</v>
      </c>
      <c r="J254" s="9" t="n">
        <f aca="false">IF(D254="ja",COUNTA(informatietype!$A$2:$A$2000)-I254,"")</f>
        <v>0</v>
      </c>
    </row>
    <row r="255" customFormat="false" ht="15" hidden="false" customHeight="false" outlineLevel="0" collapsed="false">
      <c r="A255" s="10" t="s">
        <v>45</v>
      </c>
      <c r="B255" s="10" t="s">
        <v>292</v>
      </c>
      <c r="C255" s="10" t="s">
        <v>293</v>
      </c>
      <c r="D255" s="10" t="s">
        <v>258</v>
      </c>
      <c r="E255" s="10"/>
      <c r="F255" s="10"/>
      <c r="G255" s="10"/>
      <c r="H255" s="10" t="s">
        <v>294</v>
      </c>
      <c r="I255" s="10" t="n">
        <f aca="false">COUNTA(informatietype!F$2:F$2000)</f>
        <v>18</v>
      </c>
      <c r="J255" s="10" t="n">
        <f aca="false">IF(D255="ja",COUNTA(informatietype!$A$2:$A$2000)-I255,"")</f>
        <v>0</v>
      </c>
    </row>
    <row r="256" customFormat="false" ht="15" hidden="false" customHeight="false" outlineLevel="0" collapsed="false">
      <c r="A256" s="10" t="s">
        <v>45</v>
      </c>
      <c r="B256" s="10" t="s">
        <v>295</v>
      </c>
      <c r="C256" s="10" t="s">
        <v>296</v>
      </c>
      <c r="D256" s="10" t="s">
        <v>258</v>
      </c>
      <c r="E256" s="10"/>
      <c r="F256" s="10"/>
      <c r="G256" s="10"/>
      <c r="H256" s="10" t="s">
        <v>297</v>
      </c>
      <c r="I256" s="10" t="n">
        <f aca="false">COUNTA(informatietype!G$2:G$2000)</f>
        <v>18</v>
      </c>
      <c r="J256" s="10" t="n">
        <f aca="false">IF(D256="ja",COUNTA(informatietype!$A$2:$A$2000)-I256,"")</f>
        <v>0</v>
      </c>
    </row>
    <row r="257" customFormat="false" ht="15" hidden="false" customHeight="false" outlineLevel="0" collapsed="false">
      <c r="A257" s="10" t="s">
        <v>45</v>
      </c>
      <c r="B257" s="10" t="s">
        <v>298</v>
      </c>
      <c r="C257" s="10" t="s">
        <v>293</v>
      </c>
      <c r="D257" s="10" t="s">
        <v>258</v>
      </c>
      <c r="E257" s="10"/>
      <c r="F257" s="10"/>
      <c r="G257" s="10"/>
      <c r="H257" s="10" t="s">
        <v>299</v>
      </c>
      <c r="I257" s="10" t="n">
        <f aca="false">COUNTA(informatietype!H$2:H$2000)</f>
        <v>18</v>
      </c>
      <c r="J257" s="10" t="n">
        <f aca="false">IF(D257="ja",COUNTA(informatietype!$A$2:$A$2000)-I257,"")</f>
        <v>0</v>
      </c>
    </row>
    <row r="258" customFormat="false" ht="15" hidden="false" customHeight="false" outlineLevel="0" collapsed="false">
      <c r="A258" s="10" t="s">
        <v>45</v>
      </c>
      <c r="B258" s="10" t="s">
        <v>300</v>
      </c>
      <c r="C258" s="10" t="s">
        <v>296</v>
      </c>
      <c r="D258" s="10" t="s">
        <v>258</v>
      </c>
      <c r="E258" s="10"/>
      <c r="F258" s="10"/>
      <c r="G258" s="10"/>
      <c r="H258" s="10" t="s">
        <v>301</v>
      </c>
      <c r="I258" s="10" t="n">
        <f aca="false">COUNTA(informatietype!I$2:I$2000)</f>
        <v>18</v>
      </c>
      <c r="J258" s="10" t="n">
        <f aca="false">IF(D258="ja",COUNTA(informatietype!$A$2:$A$2000)-I258,"")</f>
        <v>0</v>
      </c>
    </row>
    <row r="259" customFormat="false" ht="15" hidden="false" customHeight="false" outlineLevel="0" collapsed="false">
      <c r="A259" s="10" t="s">
        <v>45</v>
      </c>
      <c r="B259" s="10" t="s">
        <v>302</v>
      </c>
      <c r="C259" s="10" t="s">
        <v>279</v>
      </c>
      <c r="D259" s="10" t="s">
        <v>258</v>
      </c>
      <c r="E259" s="10"/>
      <c r="F259" s="10"/>
      <c r="G259" s="10" t="s">
        <v>303</v>
      </c>
      <c r="H259" s="10" t="s">
        <v>304</v>
      </c>
      <c r="I259" s="10" t="n">
        <f aca="false">COUNTA(informatietype!J$2:J$2000)</f>
        <v>18</v>
      </c>
      <c r="J259" s="10" t="n">
        <f aca="false">IF(D259="ja",COUNTA(informatietype!$A$2:$A$2000)-I259,"")</f>
        <v>0</v>
      </c>
    </row>
    <row r="260" customFormat="false" ht="15" hidden="false" customHeight="false" outlineLevel="0" collapsed="false">
      <c r="A260" s="10" t="s">
        <v>45</v>
      </c>
      <c r="B260" s="10" t="s">
        <v>305</v>
      </c>
      <c r="C260" s="10" t="s">
        <v>286</v>
      </c>
      <c r="D260" s="10" t="s">
        <v>258</v>
      </c>
      <c r="E260" s="10"/>
      <c r="F260" s="10"/>
      <c r="G260" s="10"/>
      <c r="H260" s="10" t="s">
        <v>306</v>
      </c>
      <c r="I260" s="10" t="n">
        <f aca="false">COUNTA(informatietype!K$2:K$2000)</f>
        <v>18</v>
      </c>
      <c r="J260" s="10" t="n">
        <f aca="false">IF(D260="ja",COUNTA(informatietype!$A$2:$A$2000)-I260,"")</f>
        <v>0</v>
      </c>
    </row>
    <row r="261" customFormat="false" ht="15" hidden="false" customHeight="false" outlineLevel="0" collapsed="false">
      <c r="A261" s="10" t="s">
        <v>45</v>
      </c>
      <c r="B261" s="10" t="s">
        <v>307</v>
      </c>
      <c r="C261" s="10" t="s">
        <v>308</v>
      </c>
      <c r="D261" s="10" t="s">
        <v>272</v>
      </c>
      <c r="E261" s="10"/>
      <c r="F261" s="10"/>
      <c r="G261" s="10"/>
      <c r="H261" s="10" t="s">
        <v>309</v>
      </c>
      <c r="I261" s="10" t="n">
        <f aca="false">COUNTA(informatietype!L$2:L$2000)</f>
        <v>0</v>
      </c>
      <c r="J261" s="10" t="str">
        <f aca="false">IF(D261="ja",COUNTA(informatietype!$A$2:$A$2000)-I261,"")</f>
        <v/>
      </c>
    </row>
    <row r="262" customFormat="false" ht="15" hidden="false" customHeight="false" outlineLevel="0" collapsed="false">
      <c r="A262" s="10" t="s">
        <v>45</v>
      </c>
      <c r="B262" s="10" t="s">
        <v>310</v>
      </c>
      <c r="C262" s="10" t="s">
        <v>308</v>
      </c>
      <c r="D262" s="10" t="s">
        <v>272</v>
      </c>
      <c r="E262" s="10"/>
      <c r="F262" s="10"/>
      <c r="G262" s="10"/>
      <c r="H262" s="10" t="s">
        <v>311</v>
      </c>
      <c r="I262" s="10" t="n">
        <f aca="false">COUNTA(informatietype!M$2:M$2000)</f>
        <v>0</v>
      </c>
      <c r="J262" s="10" t="str">
        <f aca="false">IF(D262="ja",COUNTA(informatietype!$A$2:$A$2000)-I262,"")</f>
        <v/>
      </c>
    </row>
    <row r="263" customFormat="false" ht="15" hidden="false" customHeight="false" outlineLevel="0" collapsed="false">
      <c r="A263" s="10" t="s">
        <v>45</v>
      </c>
      <c r="B263" s="10" t="s">
        <v>312</v>
      </c>
      <c r="C263" s="10" t="s">
        <v>271</v>
      </c>
      <c r="D263" s="10" t="s">
        <v>272</v>
      </c>
      <c r="E263" s="10"/>
      <c r="F263" s="10"/>
      <c r="G263" s="10"/>
      <c r="H263" s="10" t="s">
        <v>313</v>
      </c>
      <c r="I263" s="10" t="n">
        <f aca="false">COUNTA(informatietype!N$2:N$2000)</f>
        <v>0</v>
      </c>
      <c r="J263" s="10" t="str">
        <f aca="false">IF(D263="ja",COUNTA(informatietype!$A$2:$A$2000)-I263,"")</f>
        <v/>
      </c>
    </row>
    <row r="264" customFormat="false" ht="15" hidden="false" customHeight="false" outlineLevel="0" collapsed="false">
      <c r="A264" s="9" t="s">
        <v>46</v>
      </c>
      <c r="B264" s="9" t="s">
        <v>439</v>
      </c>
      <c r="C264" s="9" t="s">
        <v>257</v>
      </c>
      <c r="D264" s="9" t="s">
        <v>258</v>
      </c>
      <c r="E264" s="9" t="s">
        <v>259</v>
      </c>
      <c r="F264" s="9"/>
      <c r="G264" s="9"/>
      <c r="H264" s="9"/>
      <c r="I264" s="9" t="n">
        <f aca="false">COUNTA(beslisproduct!A$2:A$2000)</f>
        <v>15</v>
      </c>
      <c r="J264" s="9" t="n">
        <f aca="false">IF(D264="ja",COUNTA(beslisproduct!$A$2:$A$2000)-I264,"")</f>
        <v>0</v>
      </c>
    </row>
    <row r="265" customFormat="false" ht="15" hidden="false" customHeight="false" outlineLevel="0" collapsed="false">
      <c r="A265" s="9" t="s">
        <v>46</v>
      </c>
      <c r="B265" s="9" t="s">
        <v>315</v>
      </c>
      <c r="C265" s="9" t="s">
        <v>262</v>
      </c>
      <c r="D265" s="9" t="s">
        <v>258</v>
      </c>
      <c r="E265" s="9"/>
      <c r="F265" s="9"/>
      <c r="G265" s="9"/>
      <c r="H265" s="9"/>
      <c r="I265" s="9" t="n">
        <f aca="false">COUNTA(beslisproduct!B$2:B$2000)</f>
        <v>15</v>
      </c>
      <c r="J265" s="9" t="n">
        <f aca="false">IF(D265="ja",COUNTA(beslisproduct!$A$2:$A$2000)-I265,"")</f>
        <v>0</v>
      </c>
    </row>
    <row r="266" customFormat="false" ht="15" hidden="false" customHeight="false" outlineLevel="0" collapsed="false">
      <c r="A266" s="9" t="s">
        <v>46</v>
      </c>
      <c r="B266" s="9" t="s">
        <v>264</v>
      </c>
      <c r="C266" s="9" t="s">
        <v>389</v>
      </c>
      <c r="D266" s="9" t="s">
        <v>258</v>
      </c>
      <c r="E266" s="9"/>
      <c r="F266" s="9"/>
      <c r="G266" s="9"/>
      <c r="H266" s="9"/>
      <c r="I266" s="9" t="n">
        <f aca="false">COUNTA(beslisproduct!C$2:C$2000)</f>
        <v>15</v>
      </c>
      <c r="J266" s="9" t="n">
        <f aca="false">IF(D266="ja",COUNTA(beslisproduct!$A$2:$A$2000)-I266,"")</f>
        <v>0</v>
      </c>
    </row>
    <row r="267" customFormat="false" ht="15" hidden="false" customHeight="false" outlineLevel="0" collapsed="false">
      <c r="A267" s="9" t="s">
        <v>46</v>
      </c>
      <c r="B267" s="9" t="s">
        <v>319</v>
      </c>
      <c r="C267" s="9" t="s">
        <v>271</v>
      </c>
      <c r="D267" s="9" t="s">
        <v>272</v>
      </c>
      <c r="E267" s="9"/>
      <c r="F267" s="9"/>
      <c r="G267" s="9"/>
      <c r="H267" s="9"/>
      <c r="I267" s="9" t="n">
        <f aca="false">COUNTA(beslisproduct!D$2:D$2000)</f>
        <v>0</v>
      </c>
      <c r="J267" s="9" t="str">
        <f aca="false">IF(D267="ja",COUNTA(beslisproduct!$A$2:$A$2000)-I267,"")</f>
        <v/>
      </c>
    </row>
    <row r="268" customFormat="false" ht="15" hidden="false" customHeight="false" outlineLevel="0" collapsed="false">
      <c r="A268" s="9" t="s">
        <v>46</v>
      </c>
      <c r="B268" s="9" t="s">
        <v>440</v>
      </c>
      <c r="C268" s="9" t="s">
        <v>283</v>
      </c>
      <c r="D268" s="9" t="s">
        <v>258</v>
      </c>
      <c r="E268" s="9"/>
      <c r="F268" s="9"/>
      <c r="G268" s="9" t="s">
        <v>433</v>
      </c>
      <c r="H268" s="9"/>
      <c r="I268" s="9" t="n">
        <f aca="false">COUNTA(beslisproduct!E$2:E$2000)</f>
        <v>15</v>
      </c>
      <c r="J268" s="9" t="n">
        <f aca="false">IF(D268="ja",COUNTA(beslisproduct!$A$2:$A$2000)-I268,"")</f>
        <v>0</v>
      </c>
    </row>
    <row r="269" customFormat="false" ht="15" hidden="false" customHeight="false" outlineLevel="0" collapsed="false">
      <c r="A269" s="9" t="s">
        <v>46</v>
      </c>
      <c r="B269" s="9" t="s">
        <v>441</v>
      </c>
      <c r="C269" s="9" t="s">
        <v>289</v>
      </c>
      <c r="D269" s="9" t="s">
        <v>258</v>
      </c>
      <c r="E269" s="9"/>
      <c r="F269" s="9"/>
      <c r="G269" s="9" t="s">
        <v>290</v>
      </c>
      <c r="H269" s="9"/>
      <c r="I269" s="9" t="n">
        <f aca="false">COUNTA(beslisproduct!F$2:F$2000)</f>
        <v>15</v>
      </c>
      <c r="J269" s="9" t="n">
        <f aca="false">IF(D269="ja",COUNTA(beslisproduct!$A$2:$A$2000)-I269,"")</f>
        <v>0</v>
      </c>
    </row>
    <row r="270" customFormat="false" ht="15" hidden="false" customHeight="false" outlineLevel="0" collapsed="false">
      <c r="A270" s="9" t="s">
        <v>46</v>
      </c>
      <c r="B270" s="9" t="s">
        <v>442</v>
      </c>
      <c r="C270" s="9" t="s">
        <v>323</v>
      </c>
      <c r="D270" s="9" t="s">
        <v>272</v>
      </c>
      <c r="E270" s="9" t="s">
        <v>324</v>
      </c>
      <c r="F270" s="9" t="s">
        <v>443</v>
      </c>
      <c r="G270" s="9"/>
      <c r="H270" s="9"/>
      <c r="I270" s="9" t="n">
        <f aca="false">COUNTA(beslisproduct!G$2:G$2000)</f>
        <v>4</v>
      </c>
      <c r="J270" s="9" t="str">
        <f aca="false">IF(D270="ja",COUNTA(beslisproduct!$A$2:$A$2000)-I270,"")</f>
        <v/>
      </c>
    </row>
    <row r="271" customFormat="false" ht="15" hidden="false" customHeight="false" outlineLevel="0" collapsed="false">
      <c r="A271" s="10" t="s">
        <v>46</v>
      </c>
      <c r="B271" s="10" t="s">
        <v>292</v>
      </c>
      <c r="C271" s="10" t="s">
        <v>293</v>
      </c>
      <c r="D271" s="10" t="s">
        <v>258</v>
      </c>
      <c r="E271" s="10"/>
      <c r="F271" s="10"/>
      <c r="G271" s="10"/>
      <c r="H271" s="10" t="s">
        <v>294</v>
      </c>
      <c r="I271" s="10" t="n">
        <f aca="false">COUNTA(beslisproduct!H$2:H$2000)</f>
        <v>15</v>
      </c>
      <c r="J271" s="10" t="n">
        <f aca="false">IF(D271="ja",COUNTA(beslisproduct!$A$2:$A$2000)-I271,"")</f>
        <v>0</v>
      </c>
    </row>
    <row r="272" customFormat="false" ht="15" hidden="false" customHeight="false" outlineLevel="0" collapsed="false">
      <c r="A272" s="10" t="s">
        <v>46</v>
      </c>
      <c r="B272" s="10" t="s">
        <v>295</v>
      </c>
      <c r="C272" s="10" t="s">
        <v>296</v>
      </c>
      <c r="D272" s="10" t="s">
        <v>258</v>
      </c>
      <c r="E272" s="10"/>
      <c r="F272" s="10"/>
      <c r="G272" s="10"/>
      <c r="H272" s="10" t="s">
        <v>297</v>
      </c>
      <c r="I272" s="10" t="n">
        <f aca="false">COUNTA(beslisproduct!I$2:I$2000)</f>
        <v>15</v>
      </c>
      <c r="J272" s="10" t="n">
        <f aca="false">IF(D272="ja",COUNTA(beslisproduct!$A$2:$A$2000)-I272,"")</f>
        <v>0</v>
      </c>
    </row>
    <row r="273" customFormat="false" ht="15" hidden="false" customHeight="false" outlineLevel="0" collapsed="false">
      <c r="A273" s="10" t="s">
        <v>46</v>
      </c>
      <c r="B273" s="10" t="s">
        <v>298</v>
      </c>
      <c r="C273" s="10" t="s">
        <v>293</v>
      </c>
      <c r="D273" s="10" t="s">
        <v>258</v>
      </c>
      <c r="E273" s="10"/>
      <c r="F273" s="10"/>
      <c r="G273" s="10"/>
      <c r="H273" s="10" t="s">
        <v>299</v>
      </c>
      <c r="I273" s="10" t="n">
        <f aca="false">COUNTA(beslisproduct!J$2:J$2000)</f>
        <v>15</v>
      </c>
      <c r="J273" s="10" t="n">
        <f aca="false">IF(D273="ja",COUNTA(beslisproduct!$A$2:$A$2000)-I273,"")</f>
        <v>0</v>
      </c>
    </row>
    <row r="274" customFormat="false" ht="15" hidden="false" customHeight="false" outlineLevel="0" collapsed="false">
      <c r="A274" s="10" t="s">
        <v>46</v>
      </c>
      <c r="B274" s="10" t="s">
        <v>300</v>
      </c>
      <c r="C274" s="10" t="s">
        <v>296</v>
      </c>
      <c r="D274" s="10" t="s">
        <v>258</v>
      </c>
      <c r="E274" s="10"/>
      <c r="F274" s="10"/>
      <c r="G274" s="10"/>
      <c r="H274" s="10" t="s">
        <v>301</v>
      </c>
      <c r="I274" s="10" t="n">
        <f aca="false">COUNTA(beslisproduct!K$2:K$2000)</f>
        <v>15</v>
      </c>
      <c r="J274" s="10" t="n">
        <f aca="false">IF(D274="ja",COUNTA(beslisproduct!$A$2:$A$2000)-I274,"")</f>
        <v>0</v>
      </c>
    </row>
    <row r="275" customFormat="false" ht="15" hidden="false" customHeight="false" outlineLevel="0" collapsed="false">
      <c r="A275" s="10" t="s">
        <v>46</v>
      </c>
      <c r="B275" s="10" t="s">
        <v>302</v>
      </c>
      <c r="C275" s="10" t="s">
        <v>279</v>
      </c>
      <c r="D275" s="10" t="s">
        <v>258</v>
      </c>
      <c r="E275" s="10"/>
      <c r="F275" s="10"/>
      <c r="G275" s="10" t="s">
        <v>303</v>
      </c>
      <c r="H275" s="10" t="s">
        <v>304</v>
      </c>
      <c r="I275" s="10" t="n">
        <f aca="false">COUNTA(beslisproduct!L$2:L$2000)</f>
        <v>15</v>
      </c>
      <c r="J275" s="10" t="n">
        <f aca="false">IF(D275="ja",COUNTA(beslisproduct!$A$2:$A$2000)-I275,"")</f>
        <v>0</v>
      </c>
    </row>
    <row r="276" customFormat="false" ht="15" hidden="false" customHeight="false" outlineLevel="0" collapsed="false">
      <c r="A276" s="10" t="s">
        <v>46</v>
      </c>
      <c r="B276" s="10" t="s">
        <v>305</v>
      </c>
      <c r="C276" s="10" t="s">
        <v>286</v>
      </c>
      <c r="D276" s="10" t="s">
        <v>258</v>
      </c>
      <c r="E276" s="10"/>
      <c r="F276" s="10"/>
      <c r="G276" s="10"/>
      <c r="H276" s="10" t="s">
        <v>306</v>
      </c>
      <c r="I276" s="10" t="n">
        <f aca="false">COUNTA(beslisproduct!M$2:M$2000)</f>
        <v>15</v>
      </c>
      <c r="J276" s="10" t="n">
        <f aca="false">IF(D276="ja",COUNTA(beslisproduct!$A$2:$A$2000)-I276,"")</f>
        <v>0</v>
      </c>
    </row>
    <row r="277" customFormat="false" ht="15" hidden="false" customHeight="false" outlineLevel="0" collapsed="false">
      <c r="A277" s="10" t="s">
        <v>46</v>
      </c>
      <c r="B277" s="10" t="s">
        <v>307</v>
      </c>
      <c r="C277" s="10" t="s">
        <v>308</v>
      </c>
      <c r="D277" s="10" t="s">
        <v>272</v>
      </c>
      <c r="E277" s="10"/>
      <c r="F277" s="10"/>
      <c r="G277" s="10"/>
      <c r="H277" s="10" t="s">
        <v>309</v>
      </c>
      <c r="I277" s="10" t="n">
        <f aca="false">COUNTA(beslisproduct!N$2:N$2000)</f>
        <v>0</v>
      </c>
      <c r="J277" s="10" t="str">
        <f aca="false">IF(D277="ja",COUNTA(beslisproduct!$A$2:$A$2000)-I277,"")</f>
        <v/>
      </c>
    </row>
    <row r="278" customFormat="false" ht="15" hidden="false" customHeight="false" outlineLevel="0" collapsed="false">
      <c r="A278" s="10" t="s">
        <v>46</v>
      </c>
      <c r="B278" s="10" t="s">
        <v>310</v>
      </c>
      <c r="C278" s="10" t="s">
        <v>308</v>
      </c>
      <c r="D278" s="10" t="s">
        <v>272</v>
      </c>
      <c r="E278" s="10"/>
      <c r="F278" s="10"/>
      <c r="G278" s="10"/>
      <c r="H278" s="10" t="s">
        <v>311</v>
      </c>
      <c r="I278" s="10" t="n">
        <f aca="false">COUNTA(beslisproduct!O$2:O$2000)</f>
        <v>0</v>
      </c>
      <c r="J278" s="10" t="str">
        <f aca="false">IF(D278="ja",COUNTA(beslisproduct!$A$2:$A$2000)-I278,"")</f>
        <v/>
      </c>
    </row>
    <row r="279" customFormat="false" ht="15" hidden="false" customHeight="false" outlineLevel="0" collapsed="false">
      <c r="A279" s="10" t="s">
        <v>46</v>
      </c>
      <c r="B279" s="10" t="s">
        <v>312</v>
      </c>
      <c r="C279" s="10" t="s">
        <v>271</v>
      </c>
      <c r="D279" s="10" t="s">
        <v>272</v>
      </c>
      <c r="E279" s="10"/>
      <c r="F279" s="10"/>
      <c r="G279" s="10"/>
      <c r="H279" s="10" t="s">
        <v>313</v>
      </c>
      <c r="I279" s="10" t="n">
        <f aca="false">COUNTA(beslisproduct!P$2:P$2000)</f>
        <v>15</v>
      </c>
      <c r="J279" s="10" t="str">
        <f aca="false">IF(D279="ja",COUNTA(beslisproduct!$A$2:$A$2000)-I279,"")</f>
        <v/>
      </c>
    </row>
    <row r="280" customFormat="false" ht="15" hidden="false" customHeight="false" outlineLevel="0" collapsed="false">
      <c r="A280" s="9" t="s">
        <v>47</v>
      </c>
      <c r="B280" s="9" t="s">
        <v>444</v>
      </c>
      <c r="C280" s="9" t="s">
        <v>257</v>
      </c>
      <c r="D280" s="9" t="s">
        <v>258</v>
      </c>
      <c r="E280" s="9" t="s">
        <v>259</v>
      </c>
      <c r="F280" s="9"/>
      <c r="G280" s="9"/>
      <c r="H280" s="9"/>
      <c r="I280" s="9" t="n">
        <f aca="false">COUNTA(handelingsperspectief!A$2:A$2000)</f>
        <v>10</v>
      </c>
      <c r="J280" s="9" t="n">
        <f aca="false">IF(D280="ja",COUNTA(handelingsperspectief!$A$2:$A$2000)-I280,"")</f>
        <v>0</v>
      </c>
    </row>
    <row r="281" customFormat="false" ht="15" hidden="false" customHeight="false" outlineLevel="0" collapsed="false">
      <c r="A281" s="9" t="s">
        <v>47</v>
      </c>
      <c r="B281" s="9" t="s">
        <v>315</v>
      </c>
      <c r="C281" s="9" t="s">
        <v>262</v>
      </c>
      <c r="D281" s="9" t="s">
        <v>258</v>
      </c>
      <c r="E281" s="9"/>
      <c r="F281" s="9"/>
      <c r="G281" s="9"/>
      <c r="H281" s="9"/>
      <c r="I281" s="9" t="n">
        <f aca="false">COUNTA(handelingsperspectief!B$2:B$2000)</f>
        <v>10</v>
      </c>
      <c r="J281" s="9" t="n">
        <f aca="false">IF(D281="ja",COUNTA(handelingsperspectief!$A$2:$A$2000)-I281,"")</f>
        <v>0</v>
      </c>
    </row>
    <row r="282" customFormat="false" ht="15" hidden="false" customHeight="false" outlineLevel="0" collapsed="false">
      <c r="A282" s="9" t="s">
        <v>47</v>
      </c>
      <c r="B282" s="9" t="s">
        <v>445</v>
      </c>
      <c r="C282" s="9" t="s">
        <v>265</v>
      </c>
      <c r="D282" s="9" t="s">
        <v>258</v>
      </c>
      <c r="E282" s="9"/>
      <c r="F282" s="9"/>
      <c r="G282" s="9"/>
      <c r="H282" s="9"/>
      <c r="I282" s="9" t="n">
        <f aca="false">COUNTA(handelingsperspectief!C$2:C$2000)</f>
        <v>10</v>
      </c>
      <c r="J282" s="9" t="n">
        <f aca="false">IF(D282="ja",COUNTA(handelingsperspectief!$A$2:$A$2000)-I282,"")</f>
        <v>0</v>
      </c>
    </row>
    <row r="283" customFormat="false" ht="15" hidden="false" customHeight="false" outlineLevel="0" collapsed="false">
      <c r="A283" s="9" t="s">
        <v>47</v>
      </c>
      <c r="B283" s="9" t="s">
        <v>446</v>
      </c>
      <c r="C283" s="9" t="s">
        <v>268</v>
      </c>
      <c r="D283" s="9" t="s">
        <v>258</v>
      </c>
      <c r="E283" s="9"/>
      <c r="F283" s="9"/>
      <c r="G283" s="9"/>
      <c r="H283" s="9"/>
      <c r="I283" s="9" t="n">
        <f aca="false">COUNTA(handelingsperspectief!D$2:D$2000)</f>
        <v>10</v>
      </c>
      <c r="J283" s="9" t="n">
        <f aca="false">IF(D283="ja",COUNTA(handelingsperspectief!$A$2:$A$2000)-I283,"")</f>
        <v>0</v>
      </c>
    </row>
    <row r="284" customFormat="false" ht="15" hidden="false" customHeight="false" outlineLevel="0" collapsed="false">
      <c r="A284" s="9" t="s">
        <v>47</v>
      </c>
      <c r="B284" s="9" t="s">
        <v>447</v>
      </c>
      <c r="C284" s="9" t="s">
        <v>271</v>
      </c>
      <c r="D284" s="9" t="s">
        <v>272</v>
      </c>
      <c r="E284" s="9"/>
      <c r="F284" s="9"/>
      <c r="G284" s="9"/>
      <c r="H284" s="9"/>
      <c r="I284" s="9" t="n">
        <f aca="false">COUNTA(handelingsperspectief!E$2:E$2000)</f>
        <v>0</v>
      </c>
      <c r="J284" s="9" t="str">
        <f aca="false">IF(D284="ja",COUNTA(handelingsperspectief!$A$2:$A$2000)-I284,"")</f>
        <v/>
      </c>
    </row>
    <row r="285" customFormat="false" ht="15" hidden="false" customHeight="false" outlineLevel="0" collapsed="false">
      <c r="A285" s="9" t="s">
        <v>47</v>
      </c>
      <c r="B285" s="9" t="s">
        <v>448</v>
      </c>
      <c r="C285" s="9" t="s">
        <v>271</v>
      </c>
      <c r="D285" s="9" t="s">
        <v>258</v>
      </c>
      <c r="E285" s="9"/>
      <c r="F285" s="9"/>
      <c r="G285" s="9"/>
      <c r="H285" s="9"/>
      <c r="I285" s="9" t="n">
        <f aca="false">COUNTA(handelingsperspectief!F$2:F$2000)</f>
        <v>10</v>
      </c>
      <c r="J285" s="9" t="n">
        <f aca="false">IF(D285="ja",COUNTA(handelingsperspectief!$A$2:$A$2000)-I285,"")</f>
        <v>0</v>
      </c>
    </row>
    <row r="286" customFormat="false" ht="15" hidden="false" customHeight="false" outlineLevel="0" collapsed="false">
      <c r="A286" s="9" t="s">
        <v>47</v>
      </c>
      <c r="B286" s="9" t="s">
        <v>449</v>
      </c>
      <c r="C286" s="9" t="s">
        <v>271</v>
      </c>
      <c r="D286" s="9" t="s">
        <v>272</v>
      </c>
      <c r="E286" s="9"/>
      <c r="F286" s="9"/>
      <c r="G286" s="9"/>
      <c r="H286" s="9"/>
      <c r="I286" s="9" t="n">
        <f aca="false">COUNTA(handelingsperspectief!G$2:G$2000)</f>
        <v>10</v>
      </c>
      <c r="J286" s="9" t="str">
        <f aca="false">IF(D286="ja",COUNTA(handelingsperspectief!$A$2:$A$2000)-I286,"")</f>
        <v/>
      </c>
    </row>
    <row r="287" customFormat="false" ht="15" hidden="false" customHeight="false" outlineLevel="0" collapsed="false">
      <c r="A287" s="9" t="s">
        <v>47</v>
      </c>
      <c r="B287" s="9" t="s">
        <v>450</v>
      </c>
      <c r="C287" s="9" t="s">
        <v>271</v>
      </c>
      <c r="D287" s="9" t="s">
        <v>272</v>
      </c>
      <c r="E287" s="9"/>
      <c r="F287" s="9"/>
      <c r="G287" s="9"/>
      <c r="H287" s="9"/>
      <c r="I287" s="9" t="n">
        <f aca="false">COUNTA(handelingsperspectief!H$2:H$2000)</f>
        <v>10</v>
      </c>
      <c r="J287" s="9" t="str">
        <f aca="false">IF(D287="ja",COUNTA(handelingsperspectief!$A$2:$A$2000)-I287,"")</f>
        <v/>
      </c>
    </row>
    <row r="288" customFormat="false" ht="15" hidden="false" customHeight="false" outlineLevel="0" collapsed="false">
      <c r="A288" s="9" t="s">
        <v>47</v>
      </c>
      <c r="B288" s="9" t="s">
        <v>285</v>
      </c>
      <c r="C288" s="9" t="s">
        <v>286</v>
      </c>
      <c r="D288" s="9" t="s">
        <v>258</v>
      </c>
      <c r="E288" s="9"/>
      <c r="F288" s="9"/>
      <c r="G288" s="9"/>
      <c r="H288" s="9"/>
      <c r="I288" s="9" t="n">
        <f aca="false">COUNTA(handelingsperspectief!I$2:I$2000)</f>
        <v>10</v>
      </c>
      <c r="J288" s="9" t="n">
        <f aca="false">IF(D288="ja",COUNTA(handelingsperspectief!$A$2:$A$2000)-I288,"")</f>
        <v>0</v>
      </c>
    </row>
    <row r="289" customFormat="false" ht="15" hidden="false" customHeight="false" outlineLevel="0" collapsed="false">
      <c r="A289" s="10" t="s">
        <v>47</v>
      </c>
      <c r="B289" s="10" t="s">
        <v>292</v>
      </c>
      <c r="C289" s="10" t="s">
        <v>293</v>
      </c>
      <c r="D289" s="10" t="s">
        <v>258</v>
      </c>
      <c r="E289" s="10"/>
      <c r="F289" s="10"/>
      <c r="G289" s="10"/>
      <c r="H289" s="10" t="s">
        <v>294</v>
      </c>
      <c r="I289" s="10" t="n">
        <f aca="false">COUNTA(handelingsperspectief!J$2:J$2000)</f>
        <v>10</v>
      </c>
      <c r="J289" s="10" t="n">
        <f aca="false">IF(D289="ja",COUNTA(handelingsperspectief!$A$2:$A$2000)-I289,"")</f>
        <v>0</v>
      </c>
    </row>
    <row r="290" customFormat="false" ht="15" hidden="false" customHeight="false" outlineLevel="0" collapsed="false">
      <c r="A290" s="10" t="s">
        <v>47</v>
      </c>
      <c r="B290" s="10" t="s">
        <v>295</v>
      </c>
      <c r="C290" s="10" t="s">
        <v>296</v>
      </c>
      <c r="D290" s="10" t="s">
        <v>258</v>
      </c>
      <c r="E290" s="10"/>
      <c r="F290" s="10"/>
      <c r="G290" s="10"/>
      <c r="H290" s="10" t="s">
        <v>297</v>
      </c>
      <c r="I290" s="10" t="n">
        <f aca="false">COUNTA(handelingsperspectief!K$2:K$2000)</f>
        <v>10</v>
      </c>
      <c r="J290" s="10" t="n">
        <f aca="false">IF(D290="ja",COUNTA(handelingsperspectief!$A$2:$A$2000)-I290,"")</f>
        <v>0</v>
      </c>
    </row>
    <row r="291" customFormat="false" ht="15" hidden="false" customHeight="false" outlineLevel="0" collapsed="false">
      <c r="A291" s="10" t="s">
        <v>47</v>
      </c>
      <c r="B291" s="10" t="s">
        <v>298</v>
      </c>
      <c r="C291" s="10" t="s">
        <v>293</v>
      </c>
      <c r="D291" s="10" t="s">
        <v>258</v>
      </c>
      <c r="E291" s="10"/>
      <c r="F291" s="10"/>
      <c r="G291" s="10"/>
      <c r="H291" s="10" t="s">
        <v>299</v>
      </c>
      <c r="I291" s="10" t="n">
        <f aca="false">COUNTA(handelingsperspectief!L$2:L$2000)</f>
        <v>10</v>
      </c>
      <c r="J291" s="10" t="n">
        <f aca="false">IF(D291="ja",COUNTA(handelingsperspectief!$A$2:$A$2000)-I291,"")</f>
        <v>0</v>
      </c>
    </row>
    <row r="292" customFormat="false" ht="15" hidden="false" customHeight="false" outlineLevel="0" collapsed="false">
      <c r="A292" s="10" t="s">
        <v>47</v>
      </c>
      <c r="B292" s="10" t="s">
        <v>300</v>
      </c>
      <c r="C292" s="10" t="s">
        <v>296</v>
      </c>
      <c r="D292" s="10" t="s">
        <v>258</v>
      </c>
      <c r="E292" s="10"/>
      <c r="F292" s="10"/>
      <c r="G292" s="10"/>
      <c r="H292" s="10" t="s">
        <v>301</v>
      </c>
      <c r="I292" s="10" t="n">
        <f aca="false">COUNTA(handelingsperspectief!M$2:M$2000)</f>
        <v>10</v>
      </c>
      <c r="J292" s="10" t="n">
        <f aca="false">IF(D292="ja",COUNTA(handelingsperspectief!$A$2:$A$2000)-I292,"")</f>
        <v>0</v>
      </c>
    </row>
    <row r="293" customFormat="false" ht="15" hidden="false" customHeight="false" outlineLevel="0" collapsed="false">
      <c r="A293" s="10" t="s">
        <v>47</v>
      </c>
      <c r="B293" s="10" t="s">
        <v>302</v>
      </c>
      <c r="C293" s="10" t="s">
        <v>279</v>
      </c>
      <c r="D293" s="10" t="s">
        <v>258</v>
      </c>
      <c r="E293" s="10"/>
      <c r="F293" s="10"/>
      <c r="G293" s="10" t="s">
        <v>303</v>
      </c>
      <c r="H293" s="10" t="s">
        <v>304</v>
      </c>
      <c r="I293" s="10" t="n">
        <f aca="false">COUNTA(handelingsperspectief!N$2:N$2000)</f>
        <v>10</v>
      </c>
      <c r="J293" s="10" t="n">
        <f aca="false">IF(D293="ja",COUNTA(handelingsperspectief!$A$2:$A$2000)-I293,"")</f>
        <v>0</v>
      </c>
    </row>
    <row r="294" customFormat="false" ht="15" hidden="false" customHeight="false" outlineLevel="0" collapsed="false">
      <c r="A294" s="10" t="s">
        <v>47</v>
      </c>
      <c r="B294" s="10" t="s">
        <v>305</v>
      </c>
      <c r="C294" s="10" t="s">
        <v>286</v>
      </c>
      <c r="D294" s="10" t="s">
        <v>258</v>
      </c>
      <c r="E294" s="10"/>
      <c r="F294" s="10"/>
      <c r="G294" s="10"/>
      <c r="H294" s="10" t="s">
        <v>306</v>
      </c>
      <c r="I294" s="10" t="n">
        <f aca="false">COUNTA(handelingsperspectief!O$2:O$2000)</f>
        <v>10</v>
      </c>
      <c r="J294" s="10" t="n">
        <f aca="false">IF(D294="ja",COUNTA(handelingsperspectief!$A$2:$A$2000)-I294,"")</f>
        <v>0</v>
      </c>
    </row>
    <row r="295" customFormat="false" ht="15" hidden="false" customHeight="false" outlineLevel="0" collapsed="false">
      <c r="A295" s="10" t="s">
        <v>47</v>
      </c>
      <c r="B295" s="10" t="s">
        <v>307</v>
      </c>
      <c r="C295" s="10" t="s">
        <v>308</v>
      </c>
      <c r="D295" s="10" t="s">
        <v>272</v>
      </c>
      <c r="E295" s="10"/>
      <c r="F295" s="10"/>
      <c r="G295" s="10"/>
      <c r="H295" s="10" t="s">
        <v>309</v>
      </c>
      <c r="I295" s="10" t="n">
        <f aca="false">COUNTA(handelingsperspectief!P$2:P$2000)</f>
        <v>0</v>
      </c>
      <c r="J295" s="10" t="str">
        <f aca="false">IF(D295="ja",COUNTA(handelingsperspectief!$A$2:$A$2000)-I295,"")</f>
        <v/>
      </c>
    </row>
    <row r="296" customFormat="false" ht="15" hidden="false" customHeight="false" outlineLevel="0" collapsed="false">
      <c r="A296" s="10" t="s">
        <v>47</v>
      </c>
      <c r="B296" s="10" t="s">
        <v>310</v>
      </c>
      <c r="C296" s="10" t="s">
        <v>308</v>
      </c>
      <c r="D296" s="10" t="s">
        <v>272</v>
      </c>
      <c r="E296" s="10"/>
      <c r="F296" s="10"/>
      <c r="G296" s="10"/>
      <c r="H296" s="10" t="s">
        <v>311</v>
      </c>
      <c r="I296" s="10" t="n">
        <f aca="false">COUNTA(handelingsperspectief!Q$2:Q$2000)</f>
        <v>0</v>
      </c>
      <c r="J296" s="10" t="str">
        <f aca="false">IF(D296="ja",COUNTA(handelingsperspectief!$A$2:$A$2000)-I296,"")</f>
        <v/>
      </c>
    </row>
    <row r="297" customFormat="false" ht="15" hidden="false" customHeight="false" outlineLevel="0" collapsed="false">
      <c r="A297" s="10" t="s">
        <v>47</v>
      </c>
      <c r="B297" s="10" t="s">
        <v>312</v>
      </c>
      <c r="C297" s="10" t="s">
        <v>271</v>
      </c>
      <c r="D297" s="10" t="s">
        <v>272</v>
      </c>
      <c r="E297" s="10"/>
      <c r="F297" s="10"/>
      <c r="G297" s="10"/>
      <c r="H297" s="10" t="s">
        <v>313</v>
      </c>
      <c r="I297" s="10" t="n">
        <f aca="false">COUNTA(handelingsperspectief!R$2:R$2000)</f>
        <v>10</v>
      </c>
      <c r="J297" s="10" t="str">
        <f aca="false">IF(D297="ja",COUNTA(handelingsperspectief!$A$2:$A$2000)-I297,"")</f>
        <v/>
      </c>
    </row>
    <row r="298" customFormat="false" ht="15" hidden="false" customHeight="false" outlineLevel="0" collapsed="false">
      <c r="A298" s="9" t="s">
        <v>48</v>
      </c>
      <c r="B298" s="9" t="s">
        <v>451</v>
      </c>
      <c r="C298" s="9" t="s">
        <v>257</v>
      </c>
      <c r="D298" s="9" t="s">
        <v>258</v>
      </c>
      <c r="E298" s="9" t="s">
        <v>259</v>
      </c>
      <c r="F298" s="9"/>
      <c r="G298" s="9"/>
      <c r="H298" s="9"/>
      <c r="I298" s="9" t="n">
        <f aca="false">COUNTA(knelpunt!A$2:A$2000)</f>
        <v>8</v>
      </c>
      <c r="J298" s="9" t="n">
        <f aca="false">IF(D298="ja",COUNTA(knelpunt!$A$2:$A$2000)-I298,"")</f>
        <v>0</v>
      </c>
    </row>
    <row r="299" customFormat="false" ht="15" hidden="false" customHeight="false" outlineLevel="0" collapsed="false">
      <c r="A299" s="9" t="s">
        <v>48</v>
      </c>
      <c r="B299" s="9" t="s">
        <v>315</v>
      </c>
      <c r="C299" s="9" t="s">
        <v>262</v>
      </c>
      <c r="D299" s="9" t="s">
        <v>258</v>
      </c>
      <c r="E299" s="9"/>
      <c r="F299" s="9"/>
      <c r="G299" s="9"/>
      <c r="H299" s="9"/>
      <c r="I299" s="9" t="n">
        <f aca="false">COUNTA(knelpunt!B$2:B$2000)</f>
        <v>8</v>
      </c>
      <c r="J299" s="9" t="n">
        <f aca="false">IF(D299="ja",COUNTA(knelpunt!$A$2:$A$2000)-I299,"")</f>
        <v>0</v>
      </c>
    </row>
    <row r="300" customFormat="false" ht="15" hidden="false" customHeight="false" outlineLevel="0" collapsed="false">
      <c r="A300" s="9" t="s">
        <v>48</v>
      </c>
      <c r="B300" s="9" t="s">
        <v>264</v>
      </c>
      <c r="C300" s="9" t="s">
        <v>265</v>
      </c>
      <c r="D300" s="9" t="s">
        <v>258</v>
      </c>
      <c r="E300" s="9"/>
      <c r="F300" s="9"/>
      <c r="G300" s="9"/>
      <c r="H300" s="9"/>
      <c r="I300" s="9" t="n">
        <f aca="false">COUNTA(knelpunt!C$2:C$2000)</f>
        <v>8</v>
      </c>
      <c r="J300" s="9" t="n">
        <f aca="false">IF(D300="ja",COUNTA(knelpunt!$A$2:$A$2000)-I300,"")</f>
        <v>0</v>
      </c>
    </row>
    <row r="301" customFormat="false" ht="15" hidden="false" customHeight="false" outlineLevel="0" collapsed="false">
      <c r="A301" s="9" t="s">
        <v>48</v>
      </c>
      <c r="B301" s="9" t="s">
        <v>319</v>
      </c>
      <c r="C301" s="9" t="s">
        <v>271</v>
      </c>
      <c r="D301" s="9" t="s">
        <v>258</v>
      </c>
      <c r="E301" s="9"/>
      <c r="F301" s="9"/>
      <c r="G301" s="9"/>
      <c r="H301" s="9"/>
      <c r="I301" s="9" t="n">
        <f aca="false">COUNTA(knelpunt!D$2:D$2000)</f>
        <v>8</v>
      </c>
      <c r="J301" s="9" t="n">
        <f aca="false">IF(D301="ja",COUNTA(knelpunt!$A$2:$A$2000)-I301,"")</f>
        <v>0</v>
      </c>
    </row>
    <row r="302" customFormat="false" ht="68.65" hidden="false" customHeight="false" outlineLevel="0" collapsed="false">
      <c r="A302" s="9" t="s">
        <v>48</v>
      </c>
      <c r="B302" s="9" t="s">
        <v>452</v>
      </c>
      <c r="C302" s="9" t="s">
        <v>453</v>
      </c>
      <c r="D302" s="9" t="s">
        <v>258</v>
      </c>
      <c r="E302" s="9"/>
      <c r="F302" s="9"/>
      <c r="G302" s="9" t="s">
        <v>454</v>
      </c>
      <c r="H302" s="9"/>
      <c r="I302" s="9" t="n">
        <f aca="false">COUNTA(knelpunt!E$2:E$2000)</f>
        <v>8</v>
      </c>
      <c r="J302" s="9" t="n">
        <f aca="false">IF(D302="ja",COUNTA(knelpunt!$A$2:$A$2000)-I302,"")</f>
        <v>0</v>
      </c>
    </row>
    <row r="303" customFormat="false" ht="15" hidden="false" customHeight="false" outlineLevel="0" collapsed="false">
      <c r="A303" s="9" t="s">
        <v>48</v>
      </c>
      <c r="B303" s="9" t="s">
        <v>455</v>
      </c>
      <c r="C303" s="9" t="s">
        <v>262</v>
      </c>
      <c r="D303" s="9" t="s">
        <v>272</v>
      </c>
      <c r="E303" s="9"/>
      <c r="F303" s="9"/>
      <c r="G303" s="9" t="s">
        <v>433</v>
      </c>
      <c r="H303" s="9"/>
      <c r="I303" s="9" t="n">
        <f aca="false">COUNTA(knelpunt!F$2:F$2000)</f>
        <v>8</v>
      </c>
      <c r="J303" s="9" t="str">
        <f aca="false">IF(D303="ja",COUNTA(knelpunt!$A$2:$A$2000)-I303,"")</f>
        <v/>
      </c>
    </row>
    <row r="304" customFormat="false" ht="15" hidden="false" customHeight="false" outlineLevel="0" collapsed="false">
      <c r="A304" s="9" t="s">
        <v>48</v>
      </c>
      <c r="B304" s="9" t="s">
        <v>456</v>
      </c>
      <c r="C304" s="9" t="s">
        <v>262</v>
      </c>
      <c r="D304" s="9" t="s">
        <v>272</v>
      </c>
      <c r="E304" s="9"/>
      <c r="F304" s="9"/>
      <c r="G304" s="9" t="s">
        <v>433</v>
      </c>
      <c r="H304" s="9"/>
      <c r="I304" s="9" t="n">
        <f aca="false">COUNTA(knelpunt!G$2:G$2000)</f>
        <v>8</v>
      </c>
      <c r="J304" s="9" t="str">
        <f aca="false">IF(D304="ja",COUNTA(knelpunt!$A$2:$A$2000)-I304,"")</f>
        <v/>
      </c>
    </row>
    <row r="305" customFormat="false" ht="15" hidden="false" customHeight="false" outlineLevel="0" collapsed="false">
      <c r="A305" s="9" t="s">
        <v>48</v>
      </c>
      <c r="B305" s="9" t="s">
        <v>457</v>
      </c>
      <c r="C305" s="9" t="s">
        <v>279</v>
      </c>
      <c r="D305" s="9" t="s">
        <v>258</v>
      </c>
      <c r="E305" s="9"/>
      <c r="F305" s="9"/>
      <c r="G305" s="9" t="s">
        <v>433</v>
      </c>
      <c r="H305" s="9"/>
      <c r="I305" s="9" t="n">
        <f aca="false">COUNTA(knelpunt!H$2:H$2000)</f>
        <v>8</v>
      </c>
      <c r="J305" s="9" t="n">
        <f aca="false">IF(D305="ja",COUNTA(knelpunt!$A$2:$A$2000)-I305,"")</f>
        <v>0</v>
      </c>
    </row>
    <row r="306" customFormat="false" ht="15" hidden="false" customHeight="false" outlineLevel="0" collapsed="false">
      <c r="A306" s="9" t="s">
        <v>48</v>
      </c>
      <c r="B306" s="9" t="s">
        <v>458</v>
      </c>
      <c r="C306" s="9" t="s">
        <v>289</v>
      </c>
      <c r="D306" s="9" t="s">
        <v>258</v>
      </c>
      <c r="E306" s="9"/>
      <c r="F306" s="9"/>
      <c r="G306" s="9" t="s">
        <v>290</v>
      </c>
      <c r="H306" s="9"/>
      <c r="I306" s="9" t="n">
        <f aca="false">COUNTA(knelpunt!I$2:I$2000)</f>
        <v>8</v>
      </c>
      <c r="J306" s="9" t="n">
        <f aca="false">IF(D306="ja",COUNTA(knelpunt!$A$2:$A$2000)-I306,"")</f>
        <v>0</v>
      </c>
    </row>
    <row r="307" customFormat="false" ht="15" hidden="false" customHeight="false" outlineLevel="0" collapsed="false">
      <c r="A307" s="10" t="s">
        <v>48</v>
      </c>
      <c r="B307" s="10" t="s">
        <v>292</v>
      </c>
      <c r="C307" s="10" t="s">
        <v>293</v>
      </c>
      <c r="D307" s="10" t="s">
        <v>258</v>
      </c>
      <c r="E307" s="10"/>
      <c r="F307" s="10"/>
      <c r="G307" s="10"/>
      <c r="H307" s="10" t="s">
        <v>294</v>
      </c>
      <c r="I307" s="10" t="n">
        <f aca="false">COUNTA(knelpunt!J$2:J$2000)</f>
        <v>8</v>
      </c>
      <c r="J307" s="10" t="n">
        <f aca="false">IF(D307="ja",COUNTA(knelpunt!$A$2:$A$2000)-I307,"")</f>
        <v>0</v>
      </c>
    </row>
    <row r="308" customFormat="false" ht="15" hidden="false" customHeight="false" outlineLevel="0" collapsed="false">
      <c r="A308" s="10" t="s">
        <v>48</v>
      </c>
      <c r="B308" s="10" t="s">
        <v>295</v>
      </c>
      <c r="C308" s="10" t="s">
        <v>296</v>
      </c>
      <c r="D308" s="10" t="s">
        <v>258</v>
      </c>
      <c r="E308" s="10"/>
      <c r="F308" s="10"/>
      <c r="G308" s="10"/>
      <c r="H308" s="10" t="s">
        <v>297</v>
      </c>
      <c r="I308" s="10" t="n">
        <f aca="false">COUNTA(knelpunt!K$2:K$2000)</f>
        <v>8</v>
      </c>
      <c r="J308" s="10" t="n">
        <f aca="false">IF(D308="ja",COUNTA(knelpunt!$A$2:$A$2000)-I308,"")</f>
        <v>0</v>
      </c>
    </row>
    <row r="309" customFormat="false" ht="15" hidden="false" customHeight="false" outlineLevel="0" collapsed="false">
      <c r="A309" s="10" t="s">
        <v>48</v>
      </c>
      <c r="B309" s="10" t="s">
        <v>298</v>
      </c>
      <c r="C309" s="10" t="s">
        <v>293</v>
      </c>
      <c r="D309" s="10" t="s">
        <v>258</v>
      </c>
      <c r="E309" s="10"/>
      <c r="F309" s="10"/>
      <c r="G309" s="10"/>
      <c r="H309" s="10" t="s">
        <v>299</v>
      </c>
      <c r="I309" s="10" t="n">
        <f aca="false">COUNTA(knelpunt!L$2:L$2000)</f>
        <v>8</v>
      </c>
      <c r="J309" s="10" t="n">
        <f aca="false">IF(D309="ja",COUNTA(knelpunt!$A$2:$A$2000)-I309,"")</f>
        <v>0</v>
      </c>
    </row>
    <row r="310" customFormat="false" ht="15" hidden="false" customHeight="false" outlineLevel="0" collapsed="false">
      <c r="A310" s="10" t="s">
        <v>48</v>
      </c>
      <c r="B310" s="10" t="s">
        <v>300</v>
      </c>
      <c r="C310" s="10" t="s">
        <v>296</v>
      </c>
      <c r="D310" s="10" t="s">
        <v>258</v>
      </c>
      <c r="E310" s="10"/>
      <c r="F310" s="10"/>
      <c r="G310" s="10"/>
      <c r="H310" s="10" t="s">
        <v>301</v>
      </c>
      <c r="I310" s="10" t="n">
        <f aca="false">COUNTA(knelpunt!M$2:M$2000)</f>
        <v>8</v>
      </c>
      <c r="J310" s="10" t="n">
        <f aca="false">IF(D310="ja",COUNTA(knelpunt!$A$2:$A$2000)-I310,"")</f>
        <v>0</v>
      </c>
    </row>
    <row r="311" customFormat="false" ht="15" hidden="false" customHeight="false" outlineLevel="0" collapsed="false">
      <c r="A311" s="10" t="s">
        <v>48</v>
      </c>
      <c r="B311" s="10" t="s">
        <v>302</v>
      </c>
      <c r="C311" s="10" t="s">
        <v>279</v>
      </c>
      <c r="D311" s="10" t="s">
        <v>258</v>
      </c>
      <c r="E311" s="10"/>
      <c r="F311" s="10"/>
      <c r="G311" s="10" t="s">
        <v>303</v>
      </c>
      <c r="H311" s="10" t="s">
        <v>304</v>
      </c>
      <c r="I311" s="10" t="n">
        <f aca="false">COUNTA(knelpunt!N$2:N$2000)</f>
        <v>8</v>
      </c>
      <c r="J311" s="10" t="n">
        <f aca="false">IF(D311="ja",COUNTA(knelpunt!$A$2:$A$2000)-I311,"")</f>
        <v>0</v>
      </c>
    </row>
    <row r="312" customFormat="false" ht="15" hidden="false" customHeight="false" outlineLevel="0" collapsed="false">
      <c r="A312" s="10" t="s">
        <v>48</v>
      </c>
      <c r="B312" s="10" t="s">
        <v>305</v>
      </c>
      <c r="C312" s="10" t="s">
        <v>286</v>
      </c>
      <c r="D312" s="10" t="s">
        <v>258</v>
      </c>
      <c r="E312" s="10"/>
      <c r="F312" s="10"/>
      <c r="G312" s="10"/>
      <c r="H312" s="10" t="s">
        <v>306</v>
      </c>
      <c r="I312" s="10" t="n">
        <f aca="false">COUNTA(knelpunt!O$2:O$2000)</f>
        <v>8</v>
      </c>
      <c r="J312" s="10" t="n">
        <f aca="false">IF(D312="ja",COUNTA(knelpunt!$A$2:$A$2000)-I312,"")</f>
        <v>0</v>
      </c>
    </row>
    <row r="313" customFormat="false" ht="15" hidden="false" customHeight="false" outlineLevel="0" collapsed="false">
      <c r="A313" s="10" t="s">
        <v>48</v>
      </c>
      <c r="B313" s="10" t="s">
        <v>307</v>
      </c>
      <c r="C313" s="10" t="s">
        <v>308</v>
      </c>
      <c r="D313" s="10" t="s">
        <v>272</v>
      </c>
      <c r="E313" s="10"/>
      <c r="F313" s="10"/>
      <c r="G313" s="10"/>
      <c r="H313" s="10" t="s">
        <v>309</v>
      </c>
      <c r="I313" s="10" t="n">
        <f aca="false">COUNTA(knelpunt!P$2:P$2000)</f>
        <v>0</v>
      </c>
      <c r="J313" s="10" t="str">
        <f aca="false">IF(D313="ja",COUNTA(knelpunt!$A$2:$A$2000)-I313,"")</f>
        <v/>
      </c>
    </row>
    <row r="314" customFormat="false" ht="15" hidden="false" customHeight="false" outlineLevel="0" collapsed="false">
      <c r="A314" s="10" t="s">
        <v>48</v>
      </c>
      <c r="B314" s="10" t="s">
        <v>310</v>
      </c>
      <c r="C314" s="10" t="s">
        <v>308</v>
      </c>
      <c r="D314" s="10" t="s">
        <v>272</v>
      </c>
      <c r="E314" s="10"/>
      <c r="F314" s="10"/>
      <c r="G314" s="10"/>
      <c r="H314" s="10" t="s">
        <v>311</v>
      </c>
      <c r="I314" s="10" t="n">
        <f aca="false">COUNTA(knelpunt!Q$2:Q$2000)</f>
        <v>0</v>
      </c>
      <c r="J314" s="10" t="str">
        <f aca="false">IF(D314="ja",COUNTA(knelpunt!$A$2:$A$2000)-I314,"")</f>
        <v/>
      </c>
    </row>
    <row r="315" customFormat="false" ht="15" hidden="false" customHeight="false" outlineLevel="0" collapsed="false">
      <c r="A315" s="10" t="s">
        <v>48</v>
      </c>
      <c r="B315" s="10" t="s">
        <v>312</v>
      </c>
      <c r="C315" s="10" t="s">
        <v>271</v>
      </c>
      <c r="D315" s="10" t="s">
        <v>272</v>
      </c>
      <c r="E315" s="10"/>
      <c r="F315" s="10"/>
      <c r="G315" s="10"/>
      <c r="H315" s="10" t="s">
        <v>313</v>
      </c>
      <c r="I315" s="10" t="n">
        <f aca="false">COUNTA(knelpunt!R$2:R$2000)</f>
        <v>8</v>
      </c>
      <c r="J315" s="10" t="str">
        <f aca="false">IF(D315="ja",COUNTA(knelpunt!$A$2:$A$2000)-I315,"")</f>
        <v/>
      </c>
    </row>
    <row r="316" customFormat="false" ht="15" hidden="false" customHeight="false" outlineLevel="0" collapsed="false">
      <c r="A316" s="9" t="s">
        <v>49</v>
      </c>
      <c r="B316" s="9" t="s">
        <v>459</v>
      </c>
      <c r="C316" s="9" t="s">
        <v>257</v>
      </c>
      <c r="D316" s="9" t="s">
        <v>258</v>
      </c>
      <c r="E316" s="9" t="s">
        <v>259</v>
      </c>
      <c r="F316" s="9"/>
      <c r="G316" s="9"/>
      <c r="H316" s="9"/>
      <c r="I316" s="9" t="n">
        <f aca="false">COUNTA(informatieoverdracht!A$2:A$2000)</f>
        <v>11</v>
      </c>
      <c r="J316" s="9" t="n">
        <f aca="false">IF(D316="ja",COUNTA(informatieoverdracht!$A$2:$A$2000)-I316,"")</f>
        <v>0</v>
      </c>
    </row>
    <row r="317" customFormat="false" ht="23.85" hidden="false" customHeight="false" outlineLevel="0" collapsed="false">
      <c r="A317" s="9" t="s">
        <v>49</v>
      </c>
      <c r="B317" s="9" t="s">
        <v>353</v>
      </c>
      <c r="C317" s="9" t="s">
        <v>323</v>
      </c>
      <c r="D317" s="9" t="s">
        <v>258</v>
      </c>
      <c r="E317" s="9" t="s">
        <v>324</v>
      </c>
      <c r="F317" s="9" t="s">
        <v>460</v>
      </c>
      <c r="G317" s="9"/>
      <c r="H317" s="9"/>
      <c r="I317" s="9" t="n">
        <f aca="false">COUNTA(informatieoverdracht!B$2:B$2000)</f>
        <v>11</v>
      </c>
      <c r="J317" s="9" t="n">
        <f aca="false">IF(D317="ja",COUNTA(informatieoverdracht!$A$2:$A$2000)-I317,"")</f>
        <v>0</v>
      </c>
    </row>
    <row r="318" customFormat="false" ht="15" hidden="false" customHeight="false" outlineLevel="0" collapsed="false">
      <c r="A318" s="9" t="s">
        <v>49</v>
      </c>
      <c r="B318" s="9" t="s">
        <v>461</v>
      </c>
      <c r="C318" s="9" t="s">
        <v>323</v>
      </c>
      <c r="D318" s="9" t="s">
        <v>258</v>
      </c>
      <c r="E318" s="9" t="s">
        <v>324</v>
      </c>
      <c r="F318" s="9" t="s">
        <v>407</v>
      </c>
      <c r="G318" s="9"/>
      <c r="H318" s="9"/>
      <c r="I318" s="9" t="n">
        <f aca="false">COUNTA(informatieoverdracht!C$2:C$2000)</f>
        <v>11</v>
      </c>
      <c r="J318" s="9" t="n">
        <f aca="false">IF(D318="ja",COUNTA(informatieoverdracht!$A$2:$A$2000)-I318,"")</f>
        <v>0</v>
      </c>
    </row>
    <row r="319" customFormat="false" ht="15" hidden="false" customHeight="false" outlineLevel="0" collapsed="false">
      <c r="A319" s="9" t="s">
        <v>49</v>
      </c>
      <c r="B319" s="9" t="s">
        <v>462</v>
      </c>
      <c r="C319" s="9" t="s">
        <v>323</v>
      </c>
      <c r="D319" s="9" t="s">
        <v>258</v>
      </c>
      <c r="E319" s="9" t="s">
        <v>324</v>
      </c>
      <c r="F319" s="9" t="s">
        <v>407</v>
      </c>
      <c r="G319" s="9"/>
      <c r="H319" s="9"/>
      <c r="I319" s="9" t="n">
        <f aca="false">COUNTA(informatieoverdracht!D$2:D$2000)</f>
        <v>11</v>
      </c>
      <c r="J319" s="9" t="n">
        <f aca="false">IF(D319="ja",COUNTA(informatieoverdracht!$A$2:$A$2000)-I319,"")</f>
        <v>0</v>
      </c>
    </row>
    <row r="320" customFormat="false" ht="23.85" hidden="false" customHeight="false" outlineLevel="0" collapsed="false">
      <c r="A320" s="9" t="s">
        <v>49</v>
      </c>
      <c r="B320" s="9" t="s">
        <v>427</v>
      </c>
      <c r="C320" s="9" t="s">
        <v>323</v>
      </c>
      <c r="D320" s="9" t="s">
        <v>258</v>
      </c>
      <c r="E320" s="9" t="s">
        <v>324</v>
      </c>
      <c r="F320" s="9" t="s">
        <v>463</v>
      </c>
      <c r="G320" s="9"/>
      <c r="H320" s="9"/>
      <c r="I320" s="9" t="n">
        <f aca="false">COUNTA(informatieoverdracht!E$2:E$2000)</f>
        <v>11</v>
      </c>
      <c r="J320" s="9" t="n">
        <f aca="false">IF(D320="ja",COUNTA(informatieoverdracht!$A$2:$A$2000)-I320,"")</f>
        <v>0</v>
      </c>
    </row>
    <row r="321" customFormat="false" ht="15" hidden="false" customHeight="false" outlineLevel="0" collapsed="false">
      <c r="A321" s="9" t="s">
        <v>49</v>
      </c>
      <c r="B321" s="9" t="s">
        <v>439</v>
      </c>
      <c r="C321" s="9" t="s">
        <v>323</v>
      </c>
      <c r="D321" s="9" t="s">
        <v>272</v>
      </c>
      <c r="E321" s="9" t="s">
        <v>324</v>
      </c>
      <c r="F321" s="9" t="s">
        <v>464</v>
      </c>
      <c r="G321" s="9"/>
      <c r="H321" s="9"/>
      <c r="I321" s="9" t="n">
        <f aca="false">COUNTA(informatieoverdracht!F$2:F$2000)</f>
        <v>9</v>
      </c>
      <c r="J321" s="9" t="str">
        <f aca="false">IF(D321="ja",COUNTA(informatieoverdracht!$A$2:$A$2000)-I321,"")</f>
        <v/>
      </c>
    </row>
    <row r="322" customFormat="false" ht="15" hidden="false" customHeight="false" outlineLevel="0" collapsed="false">
      <c r="A322" s="9" t="s">
        <v>49</v>
      </c>
      <c r="B322" s="9" t="s">
        <v>465</v>
      </c>
      <c r="C322" s="9" t="s">
        <v>283</v>
      </c>
      <c r="D322" s="9" t="s">
        <v>272</v>
      </c>
      <c r="E322" s="9"/>
      <c r="F322" s="9"/>
      <c r="G322" s="9"/>
      <c r="H322" s="9"/>
      <c r="I322" s="9" t="n">
        <f aca="false">COUNTA(informatieoverdracht!G$2:G$2000)</f>
        <v>11</v>
      </c>
      <c r="J322" s="9" t="str">
        <f aca="false">IF(D322="ja",COUNTA(informatieoverdracht!$A$2:$A$2000)-I322,"")</f>
        <v/>
      </c>
    </row>
    <row r="323" customFormat="false" ht="15" hidden="false" customHeight="false" outlineLevel="0" collapsed="false">
      <c r="A323" s="9" t="s">
        <v>49</v>
      </c>
      <c r="B323" s="9" t="s">
        <v>466</v>
      </c>
      <c r="C323" s="9" t="s">
        <v>283</v>
      </c>
      <c r="D323" s="9" t="s">
        <v>272</v>
      </c>
      <c r="E323" s="9"/>
      <c r="F323" s="9"/>
      <c r="G323" s="9"/>
      <c r="H323" s="9"/>
      <c r="I323" s="9" t="n">
        <f aca="false">COUNTA(informatieoverdracht!H$2:H$2000)</f>
        <v>11</v>
      </c>
      <c r="J323" s="9" t="str">
        <f aca="false">IF(D323="ja",COUNTA(informatieoverdracht!$A$2:$A$2000)-I323,"")</f>
        <v/>
      </c>
    </row>
    <row r="324" customFormat="false" ht="15" hidden="false" customHeight="false" outlineLevel="0" collapsed="false">
      <c r="A324" s="9" t="s">
        <v>49</v>
      </c>
      <c r="B324" s="9" t="s">
        <v>436</v>
      </c>
      <c r="C324" s="9" t="s">
        <v>271</v>
      </c>
      <c r="D324" s="9" t="s">
        <v>272</v>
      </c>
      <c r="E324" s="9"/>
      <c r="F324" s="9"/>
      <c r="G324" s="9"/>
      <c r="H324" s="9"/>
      <c r="I324" s="9" t="n">
        <f aca="false">COUNTA(informatieoverdracht!I$2:I$2000)</f>
        <v>11</v>
      </c>
      <c r="J324" s="9" t="str">
        <f aca="false">IF(D324="ja",COUNTA(informatieoverdracht!$A$2:$A$2000)-I324,"")</f>
        <v/>
      </c>
    </row>
    <row r="325" customFormat="false" ht="15" hidden="false" customHeight="false" outlineLevel="0" collapsed="false">
      <c r="A325" s="9" t="s">
        <v>49</v>
      </c>
      <c r="B325" s="9" t="s">
        <v>467</v>
      </c>
      <c r="C325" s="9" t="s">
        <v>271</v>
      </c>
      <c r="D325" s="9" t="s">
        <v>272</v>
      </c>
      <c r="E325" s="9"/>
      <c r="F325" s="9"/>
      <c r="G325" s="9"/>
      <c r="H325" s="9"/>
      <c r="I325" s="9" t="n">
        <f aca="false">COUNTA(informatieoverdracht!J$2:J$2000)</f>
        <v>11</v>
      </c>
      <c r="J325" s="9" t="str">
        <f aca="false">IF(D325="ja",COUNTA(informatieoverdracht!$A$2:$A$2000)-I325,"")</f>
        <v/>
      </c>
    </row>
    <row r="326" customFormat="false" ht="15" hidden="false" customHeight="false" outlineLevel="0" collapsed="false">
      <c r="A326" s="9" t="s">
        <v>49</v>
      </c>
      <c r="B326" s="9" t="s">
        <v>468</v>
      </c>
      <c r="C326" s="9" t="s">
        <v>289</v>
      </c>
      <c r="D326" s="9" t="s">
        <v>258</v>
      </c>
      <c r="E326" s="9"/>
      <c r="F326" s="9"/>
      <c r="G326" s="9" t="s">
        <v>290</v>
      </c>
      <c r="H326" s="9"/>
      <c r="I326" s="9" t="n">
        <f aca="false">COUNTA(informatieoverdracht!K$2:K$2000)</f>
        <v>11</v>
      </c>
      <c r="J326" s="9" t="n">
        <f aca="false">IF(D326="ja",COUNTA(informatieoverdracht!$A$2:$A$2000)-I326,"")</f>
        <v>0</v>
      </c>
    </row>
    <row r="327" customFormat="false" ht="15" hidden="false" customHeight="false" outlineLevel="0" collapsed="false">
      <c r="A327" s="10" t="s">
        <v>49</v>
      </c>
      <c r="B327" s="10" t="s">
        <v>292</v>
      </c>
      <c r="C327" s="10" t="s">
        <v>293</v>
      </c>
      <c r="D327" s="10" t="s">
        <v>258</v>
      </c>
      <c r="E327" s="10"/>
      <c r="F327" s="10"/>
      <c r="G327" s="10"/>
      <c r="H327" s="10" t="s">
        <v>294</v>
      </c>
      <c r="I327" s="10" t="n">
        <f aca="false">COUNTA(informatieoverdracht!L$2:L$2000)</f>
        <v>11</v>
      </c>
      <c r="J327" s="10" t="n">
        <f aca="false">IF(D327="ja",COUNTA(informatieoverdracht!$A$2:$A$2000)-I327,"")</f>
        <v>0</v>
      </c>
    </row>
    <row r="328" customFormat="false" ht="15" hidden="false" customHeight="false" outlineLevel="0" collapsed="false">
      <c r="A328" s="10" t="s">
        <v>49</v>
      </c>
      <c r="B328" s="10" t="s">
        <v>295</v>
      </c>
      <c r="C328" s="10" t="s">
        <v>296</v>
      </c>
      <c r="D328" s="10" t="s">
        <v>258</v>
      </c>
      <c r="E328" s="10"/>
      <c r="F328" s="10"/>
      <c r="G328" s="10"/>
      <c r="H328" s="10" t="s">
        <v>297</v>
      </c>
      <c r="I328" s="10" t="n">
        <f aca="false">COUNTA(informatieoverdracht!M$2:M$2000)</f>
        <v>11</v>
      </c>
      <c r="J328" s="10" t="n">
        <f aca="false">IF(D328="ja",COUNTA(informatieoverdracht!$A$2:$A$2000)-I328,"")</f>
        <v>0</v>
      </c>
    </row>
    <row r="329" customFormat="false" ht="15" hidden="false" customHeight="false" outlineLevel="0" collapsed="false">
      <c r="A329" s="10" t="s">
        <v>49</v>
      </c>
      <c r="B329" s="10" t="s">
        <v>298</v>
      </c>
      <c r="C329" s="10" t="s">
        <v>293</v>
      </c>
      <c r="D329" s="10" t="s">
        <v>258</v>
      </c>
      <c r="E329" s="10"/>
      <c r="F329" s="10"/>
      <c r="G329" s="10"/>
      <c r="H329" s="10" t="s">
        <v>299</v>
      </c>
      <c r="I329" s="10" t="n">
        <f aca="false">COUNTA(informatieoverdracht!N$2:N$2000)</f>
        <v>11</v>
      </c>
      <c r="J329" s="10" t="n">
        <f aca="false">IF(D329="ja",COUNTA(informatieoverdracht!$A$2:$A$2000)-I329,"")</f>
        <v>0</v>
      </c>
    </row>
    <row r="330" customFormat="false" ht="15" hidden="false" customHeight="false" outlineLevel="0" collapsed="false">
      <c r="A330" s="10" t="s">
        <v>49</v>
      </c>
      <c r="B330" s="10" t="s">
        <v>300</v>
      </c>
      <c r="C330" s="10" t="s">
        <v>296</v>
      </c>
      <c r="D330" s="10" t="s">
        <v>258</v>
      </c>
      <c r="E330" s="10"/>
      <c r="F330" s="10"/>
      <c r="G330" s="10"/>
      <c r="H330" s="10" t="s">
        <v>301</v>
      </c>
      <c r="I330" s="10" t="n">
        <f aca="false">COUNTA(informatieoverdracht!O$2:O$2000)</f>
        <v>11</v>
      </c>
      <c r="J330" s="10" t="n">
        <f aca="false">IF(D330="ja",COUNTA(informatieoverdracht!$A$2:$A$2000)-I330,"")</f>
        <v>0</v>
      </c>
    </row>
    <row r="331" customFormat="false" ht="15" hidden="false" customHeight="false" outlineLevel="0" collapsed="false">
      <c r="A331" s="10" t="s">
        <v>49</v>
      </c>
      <c r="B331" s="10" t="s">
        <v>302</v>
      </c>
      <c r="C331" s="10" t="s">
        <v>279</v>
      </c>
      <c r="D331" s="10" t="s">
        <v>258</v>
      </c>
      <c r="E331" s="10"/>
      <c r="F331" s="10"/>
      <c r="G331" s="10" t="s">
        <v>303</v>
      </c>
      <c r="H331" s="10" t="s">
        <v>304</v>
      </c>
      <c r="I331" s="10" t="n">
        <f aca="false">COUNTA(informatieoverdracht!P$2:P$2000)</f>
        <v>11</v>
      </c>
      <c r="J331" s="10" t="n">
        <f aca="false">IF(D331="ja",COUNTA(informatieoverdracht!$A$2:$A$2000)-I331,"")</f>
        <v>0</v>
      </c>
    </row>
    <row r="332" customFormat="false" ht="15" hidden="false" customHeight="false" outlineLevel="0" collapsed="false">
      <c r="A332" s="10" t="s">
        <v>49</v>
      </c>
      <c r="B332" s="10" t="s">
        <v>305</v>
      </c>
      <c r="C332" s="10" t="s">
        <v>286</v>
      </c>
      <c r="D332" s="10" t="s">
        <v>258</v>
      </c>
      <c r="E332" s="10"/>
      <c r="F332" s="10"/>
      <c r="G332" s="10"/>
      <c r="H332" s="10" t="s">
        <v>306</v>
      </c>
      <c r="I332" s="10" t="n">
        <f aca="false">COUNTA(informatieoverdracht!Q$2:Q$2000)</f>
        <v>11</v>
      </c>
      <c r="J332" s="10" t="n">
        <f aca="false">IF(D332="ja",COUNTA(informatieoverdracht!$A$2:$A$2000)-I332,"")</f>
        <v>0</v>
      </c>
    </row>
    <row r="333" customFormat="false" ht="15" hidden="false" customHeight="false" outlineLevel="0" collapsed="false">
      <c r="A333" s="10" t="s">
        <v>49</v>
      </c>
      <c r="B333" s="10" t="s">
        <v>307</v>
      </c>
      <c r="C333" s="10" t="s">
        <v>308</v>
      </c>
      <c r="D333" s="10" t="s">
        <v>272</v>
      </c>
      <c r="E333" s="10"/>
      <c r="F333" s="10"/>
      <c r="G333" s="10"/>
      <c r="H333" s="10" t="s">
        <v>309</v>
      </c>
      <c r="I333" s="10" t="n">
        <f aca="false">COUNTA(informatieoverdracht!R$2:R$2000)</f>
        <v>0</v>
      </c>
      <c r="J333" s="10" t="str">
        <f aca="false">IF(D333="ja",COUNTA(informatieoverdracht!$A$2:$A$2000)-I333,"")</f>
        <v/>
      </c>
    </row>
    <row r="334" customFormat="false" ht="15" hidden="false" customHeight="false" outlineLevel="0" collapsed="false">
      <c r="A334" s="10" t="s">
        <v>49</v>
      </c>
      <c r="B334" s="10" t="s">
        <v>310</v>
      </c>
      <c r="C334" s="10" t="s">
        <v>308</v>
      </c>
      <c r="D334" s="10" t="s">
        <v>272</v>
      </c>
      <c r="E334" s="10"/>
      <c r="F334" s="10"/>
      <c r="G334" s="10"/>
      <c r="H334" s="10" t="s">
        <v>311</v>
      </c>
      <c r="I334" s="10" t="n">
        <f aca="false">COUNTA(informatieoverdracht!S$2:S$2000)</f>
        <v>0</v>
      </c>
      <c r="J334" s="10" t="str">
        <f aca="false">IF(D334="ja",COUNTA(informatieoverdracht!$A$2:$A$2000)-I334,"")</f>
        <v/>
      </c>
    </row>
    <row r="335" customFormat="false" ht="15" hidden="false" customHeight="false" outlineLevel="0" collapsed="false">
      <c r="A335" s="10" t="s">
        <v>49</v>
      </c>
      <c r="B335" s="10" t="s">
        <v>312</v>
      </c>
      <c r="C335" s="10" t="s">
        <v>271</v>
      </c>
      <c r="D335" s="10" t="s">
        <v>272</v>
      </c>
      <c r="E335" s="10"/>
      <c r="F335" s="10"/>
      <c r="G335" s="10"/>
      <c r="H335" s="10" t="s">
        <v>313</v>
      </c>
      <c r="I335" s="10" t="n">
        <f aca="false">COUNTA(informatieoverdracht!T$2:T$2000)</f>
        <v>11</v>
      </c>
      <c r="J335" s="10" t="str">
        <f aca="false">IF(D335="ja",COUNTA(informatieoverdracht!$A$2:$A$2000)-I335,"")</f>
        <v/>
      </c>
    </row>
    <row r="336" customFormat="false" ht="15" hidden="false" customHeight="false" outlineLevel="0" collapsed="false">
      <c r="A336" s="9" t="s">
        <v>50</v>
      </c>
      <c r="B336" s="9" t="s">
        <v>469</v>
      </c>
      <c r="C336" s="9" t="s">
        <v>257</v>
      </c>
      <c r="D336" s="9" t="s">
        <v>258</v>
      </c>
      <c r="E336" s="9" t="s">
        <v>259</v>
      </c>
      <c r="F336" s="9"/>
      <c r="G336" s="9"/>
      <c r="H336" s="9" t="s">
        <v>260</v>
      </c>
      <c r="I336" s="9" t="n">
        <f aca="false">COUNTA(instrument!A$2:A$2000)</f>
        <v>77</v>
      </c>
      <c r="J336" s="9" t="n">
        <f aca="false">IF(D336="ja",COUNTA(instrument!$A$2:$A$2000)-I336,"")</f>
        <v>0</v>
      </c>
    </row>
    <row r="337" customFormat="false" ht="15" hidden="false" customHeight="false" outlineLevel="0" collapsed="false">
      <c r="A337" s="9" t="s">
        <v>50</v>
      </c>
      <c r="B337" s="9" t="s">
        <v>470</v>
      </c>
      <c r="C337" s="9" t="s">
        <v>262</v>
      </c>
      <c r="D337" s="9" t="s">
        <v>258</v>
      </c>
      <c r="E337" s="9"/>
      <c r="F337" s="9"/>
      <c r="G337" s="9"/>
      <c r="H337" s="9" t="s">
        <v>471</v>
      </c>
      <c r="I337" s="9" t="n">
        <f aca="false">COUNTA(instrument!B$2:B$2000)</f>
        <v>77</v>
      </c>
      <c r="J337" s="9" t="n">
        <f aca="false">IF(D337="ja",COUNTA(instrument!$A$2:$A$2000)-I337,"")</f>
        <v>0</v>
      </c>
    </row>
    <row r="338" customFormat="false" ht="15" hidden="false" customHeight="false" outlineLevel="0" collapsed="false">
      <c r="A338" s="9" t="s">
        <v>50</v>
      </c>
      <c r="B338" s="9" t="s">
        <v>472</v>
      </c>
      <c r="C338" s="9" t="s">
        <v>473</v>
      </c>
      <c r="D338" s="9" t="s">
        <v>258</v>
      </c>
      <c r="E338" s="9"/>
      <c r="F338" s="9"/>
      <c r="G338" s="9"/>
      <c r="H338" s="9" t="s">
        <v>474</v>
      </c>
      <c r="I338" s="9" t="n">
        <f aca="false">COUNTA(instrument!C$2:C$2000)</f>
        <v>77</v>
      </c>
      <c r="J338" s="9" t="n">
        <f aca="false">IF(D338="ja",COUNTA(instrument!$A$2:$A$2000)-I338,"")</f>
        <v>0</v>
      </c>
    </row>
    <row r="339" customFormat="false" ht="15" hidden="false" customHeight="false" outlineLevel="0" collapsed="false">
      <c r="A339" s="9" t="s">
        <v>50</v>
      </c>
      <c r="B339" s="9" t="s">
        <v>475</v>
      </c>
      <c r="C339" s="9" t="s">
        <v>389</v>
      </c>
      <c r="D339" s="9" t="s">
        <v>258</v>
      </c>
      <c r="E339" s="9"/>
      <c r="F339" s="9"/>
      <c r="G339" s="9"/>
      <c r="H339" s="9" t="s">
        <v>476</v>
      </c>
      <c r="I339" s="9" t="n">
        <f aca="false">COUNTA(instrument!D$2:D$2000)</f>
        <v>77</v>
      </c>
      <c r="J339" s="9" t="n">
        <f aca="false">IF(D339="ja",COUNTA(instrument!$A$2:$A$2000)-I339,"")</f>
        <v>0</v>
      </c>
    </row>
    <row r="340" customFormat="false" ht="15" hidden="false" customHeight="false" outlineLevel="0" collapsed="false">
      <c r="A340" s="9" t="s">
        <v>50</v>
      </c>
      <c r="B340" s="9" t="s">
        <v>267</v>
      </c>
      <c r="C340" s="9" t="s">
        <v>268</v>
      </c>
      <c r="D340" s="9" t="s">
        <v>258</v>
      </c>
      <c r="E340" s="9"/>
      <c r="F340" s="9"/>
      <c r="G340" s="9"/>
      <c r="H340" s="9" t="s">
        <v>477</v>
      </c>
      <c r="I340" s="9" t="n">
        <f aca="false">COUNTA(instrument!E$2:E$2000)</f>
        <v>77</v>
      </c>
      <c r="J340" s="9" t="n">
        <f aca="false">IF(D340="ja",COUNTA(instrument!$A$2:$A$2000)-I340,"")</f>
        <v>0</v>
      </c>
    </row>
    <row r="341" customFormat="false" ht="15" hidden="false" customHeight="false" outlineLevel="0" collapsed="false">
      <c r="A341" s="9" t="s">
        <v>50</v>
      </c>
      <c r="B341" s="9" t="s">
        <v>270</v>
      </c>
      <c r="C341" s="9" t="s">
        <v>271</v>
      </c>
      <c r="D341" s="9" t="s">
        <v>272</v>
      </c>
      <c r="E341" s="9"/>
      <c r="F341" s="9"/>
      <c r="G341" s="9"/>
      <c r="H341" s="9" t="s">
        <v>478</v>
      </c>
      <c r="I341" s="9" t="n">
        <f aca="false">COUNTA(instrument!F$2:F$2000)</f>
        <v>77</v>
      </c>
      <c r="J341" s="9" t="str">
        <f aca="false">IF(D341="ja",COUNTA(instrument!$A$2:$A$2000)-I341,"")</f>
        <v/>
      </c>
    </row>
    <row r="342" customFormat="false" ht="15" hidden="false" customHeight="false" outlineLevel="0" collapsed="false">
      <c r="A342" s="9" t="s">
        <v>50</v>
      </c>
      <c r="B342" s="9" t="s">
        <v>479</v>
      </c>
      <c r="C342" s="9" t="s">
        <v>323</v>
      </c>
      <c r="D342" s="9" t="s">
        <v>258</v>
      </c>
      <c r="E342" s="9" t="s">
        <v>324</v>
      </c>
      <c r="F342" s="9" t="s">
        <v>480</v>
      </c>
      <c r="G342" s="9"/>
      <c r="H342" s="9" t="s">
        <v>481</v>
      </c>
      <c r="I342" s="9" t="n">
        <f aca="false">COUNTA(instrument!G$2:G$2000)</f>
        <v>77</v>
      </c>
      <c r="J342" s="9" t="n">
        <f aca="false">IF(D342="ja",COUNTA(instrument!$A$2:$A$2000)-I342,"")</f>
        <v>0</v>
      </c>
    </row>
    <row r="343" customFormat="false" ht="15" hidden="false" customHeight="false" outlineLevel="0" collapsed="false">
      <c r="A343" s="9" t="s">
        <v>50</v>
      </c>
      <c r="B343" s="9" t="s">
        <v>482</v>
      </c>
      <c r="C343" s="9" t="s">
        <v>271</v>
      </c>
      <c r="D343" s="9" t="s">
        <v>272</v>
      </c>
      <c r="E343" s="9"/>
      <c r="F343" s="9"/>
      <c r="G343" s="9"/>
      <c r="H343" s="9" t="s">
        <v>483</v>
      </c>
      <c r="I343" s="9" t="n">
        <f aca="false">COUNTA(instrument!H$2:H$2000)</f>
        <v>77</v>
      </c>
      <c r="J343" s="9" t="str">
        <f aca="false">IF(D343="ja",COUNTA(instrument!$A$2:$A$2000)-I343,"")</f>
        <v/>
      </c>
    </row>
    <row r="344" customFormat="false" ht="15" hidden="false" customHeight="false" outlineLevel="0" collapsed="false">
      <c r="A344" s="9" t="s">
        <v>50</v>
      </c>
      <c r="B344" s="9" t="s">
        <v>484</v>
      </c>
      <c r="C344" s="9" t="s">
        <v>271</v>
      </c>
      <c r="D344" s="9" t="s">
        <v>272</v>
      </c>
      <c r="E344" s="9"/>
      <c r="F344" s="9"/>
      <c r="G344" s="9"/>
      <c r="H344" s="9" t="s">
        <v>485</v>
      </c>
      <c r="I344" s="9" t="n">
        <f aca="false">COUNTA(instrument!I$2:I$2000)</f>
        <v>77</v>
      </c>
      <c r="J344" s="9" t="str">
        <f aca="false">IF(D344="ja",COUNTA(instrument!$A$2:$A$2000)-I344,"")</f>
        <v/>
      </c>
    </row>
    <row r="345" customFormat="false" ht="15" hidden="false" customHeight="false" outlineLevel="0" collapsed="false">
      <c r="A345" s="9" t="s">
        <v>50</v>
      </c>
      <c r="B345" s="9" t="s">
        <v>486</v>
      </c>
      <c r="C345" s="9" t="s">
        <v>271</v>
      </c>
      <c r="D345" s="9" t="s">
        <v>272</v>
      </c>
      <c r="E345" s="9"/>
      <c r="F345" s="9"/>
      <c r="G345" s="9"/>
      <c r="H345" s="9" t="s">
        <v>487</v>
      </c>
      <c r="I345" s="9" t="n">
        <f aca="false">COUNTA(instrument!J$2:J$2000)</f>
        <v>77</v>
      </c>
      <c r="J345" s="9" t="str">
        <f aca="false">IF(D345="ja",COUNTA(instrument!$A$2:$A$2000)-I345,"")</f>
        <v/>
      </c>
    </row>
    <row r="346" customFormat="false" ht="15" hidden="false" customHeight="false" outlineLevel="0" collapsed="false">
      <c r="A346" s="9" t="s">
        <v>50</v>
      </c>
      <c r="B346" s="9" t="s">
        <v>488</v>
      </c>
      <c r="C346" s="9" t="s">
        <v>271</v>
      </c>
      <c r="D346" s="9" t="s">
        <v>272</v>
      </c>
      <c r="E346" s="9"/>
      <c r="F346" s="9"/>
      <c r="G346" s="9"/>
      <c r="H346" s="9" t="s">
        <v>489</v>
      </c>
      <c r="I346" s="9" t="n">
        <f aca="false">COUNTA(instrument!K$2:K$2000)</f>
        <v>77</v>
      </c>
      <c r="J346" s="9" t="str">
        <f aca="false">IF(D346="ja",COUNTA(instrument!$A$2:$A$2000)-I346,"")</f>
        <v/>
      </c>
    </row>
    <row r="347" customFormat="false" ht="15" hidden="false" customHeight="false" outlineLevel="0" collapsed="false">
      <c r="A347" s="9" t="s">
        <v>50</v>
      </c>
      <c r="B347" s="9" t="s">
        <v>490</v>
      </c>
      <c r="C347" s="9" t="s">
        <v>271</v>
      </c>
      <c r="D347" s="9" t="s">
        <v>272</v>
      </c>
      <c r="E347" s="9"/>
      <c r="F347" s="9"/>
      <c r="G347" s="9"/>
      <c r="H347" s="9" t="s">
        <v>491</v>
      </c>
      <c r="I347" s="9" t="n">
        <f aca="false">COUNTA(instrument!L$2:L$2000)</f>
        <v>77</v>
      </c>
      <c r="J347" s="9" t="str">
        <f aca="false">IF(D347="ja",COUNTA(instrument!$A$2:$A$2000)-I347,"")</f>
        <v/>
      </c>
    </row>
    <row r="348" customFormat="false" ht="15" hidden="false" customHeight="false" outlineLevel="0" collapsed="false">
      <c r="A348" s="9" t="s">
        <v>50</v>
      </c>
      <c r="B348" s="9" t="s">
        <v>492</v>
      </c>
      <c r="C348" s="9" t="s">
        <v>262</v>
      </c>
      <c r="D348" s="9" t="s">
        <v>258</v>
      </c>
      <c r="E348" s="9"/>
      <c r="F348" s="9"/>
      <c r="G348" s="9" t="s">
        <v>493</v>
      </c>
      <c r="H348" s="9" t="s">
        <v>494</v>
      </c>
      <c r="I348" s="9" t="n">
        <f aca="false">COUNTA(instrument!M$2:M$2000)</f>
        <v>77</v>
      </c>
      <c r="J348" s="9" t="n">
        <f aca="false">IF(D348="ja",COUNTA(instrument!$A$2:$A$2000)-I348,"")</f>
        <v>0</v>
      </c>
    </row>
    <row r="349" customFormat="false" ht="15" hidden="false" customHeight="false" outlineLevel="0" collapsed="false">
      <c r="A349" s="9" t="s">
        <v>50</v>
      </c>
      <c r="B349" s="9" t="s">
        <v>495</v>
      </c>
      <c r="C349" s="9" t="s">
        <v>262</v>
      </c>
      <c r="D349" s="9" t="s">
        <v>272</v>
      </c>
      <c r="E349" s="9"/>
      <c r="F349" s="9"/>
      <c r="G349" s="9" t="s">
        <v>496</v>
      </c>
      <c r="H349" s="9" t="s">
        <v>497</v>
      </c>
      <c r="I349" s="9" t="n">
        <f aca="false">COUNTA(instrument!N$2:N$2000)</f>
        <v>77</v>
      </c>
      <c r="J349" s="9" t="str">
        <f aca="false">IF(D349="ja",COUNTA(instrument!$A$2:$A$2000)-I349,"")</f>
        <v/>
      </c>
    </row>
    <row r="350" customFormat="false" ht="15" hidden="false" customHeight="false" outlineLevel="0" collapsed="false">
      <c r="A350" s="9" t="s">
        <v>50</v>
      </c>
      <c r="B350" s="9" t="s">
        <v>498</v>
      </c>
      <c r="C350" s="9" t="s">
        <v>279</v>
      </c>
      <c r="D350" s="9" t="s">
        <v>272</v>
      </c>
      <c r="E350" s="9"/>
      <c r="F350" s="9"/>
      <c r="G350" s="9" t="s">
        <v>499</v>
      </c>
      <c r="H350" s="9" t="s">
        <v>500</v>
      </c>
      <c r="I350" s="9" t="n">
        <f aca="false">COUNTA(instrument!O$2:O$2000)</f>
        <v>77</v>
      </c>
      <c r="J350" s="9" t="str">
        <f aca="false">IF(D350="ja",COUNTA(instrument!$A$2:$A$2000)-I350,"")</f>
        <v/>
      </c>
    </row>
    <row r="351" customFormat="false" ht="15" hidden="false" customHeight="false" outlineLevel="0" collapsed="false">
      <c r="A351" s="9" t="s">
        <v>50</v>
      </c>
      <c r="B351" s="9" t="s">
        <v>501</v>
      </c>
      <c r="C351" s="9" t="s">
        <v>323</v>
      </c>
      <c r="D351" s="9" t="s">
        <v>272</v>
      </c>
      <c r="E351" s="9" t="s">
        <v>324</v>
      </c>
      <c r="F351" s="9" t="s">
        <v>502</v>
      </c>
      <c r="G351" s="9"/>
      <c r="H351" s="9" t="s">
        <v>503</v>
      </c>
      <c r="I351" s="9" t="n">
        <f aca="false">COUNTA(instrument!P$2:P$2000)</f>
        <v>77</v>
      </c>
      <c r="J351" s="9" t="str">
        <f aca="false">IF(D351="ja",COUNTA(instrument!$A$2:$A$2000)-I351,"")</f>
        <v/>
      </c>
    </row>
    <row r="352" customFormat="false" ht="15" hidden="false" customHeight="false" outlineLevel="0" collapsed="false">
      <c r="A352" s="9" t="s">
        <v>50</v>
      </c>
      <c r="B352" s="9" t="s">
        <v>504</v>
      </c>
      <c r="C352" s="9" t="s">
        <v>271</v>
      </c>
      <c r="D352" s="9" t="s">
        <v>272</v>
      </c>
      <c r="E352" s="9"/>
      <c r="F352" s="9"/>
      <c r="G352" s="9"/>
      <c r="H352" s="9" t="s">
        <v>505</v>
      </c>
      <c r="I352" s="9" t="n">
        <f aca="false">COUNTA(instrument!Q$2:Q$2000)</f>
        <v>15</v>
      </c>
      <c r="J352" s="9" t="str">
        <f aca="false">IF(D352="ja",COUNTA(instrument!$A$2:$A$2000)-I352,"")</f>
        <v/>
      </c>
    </row>
    <row r="353" customFormat="false" ht="15" hidden="false" customHeight="false" outlineLevel="0" collapsed="false">
      <c r="A353" s="9" t="s">
        <v>50</v>
      </c>
      <c r="B353" s="9" t="s">
        <v>506</v>
      </c>
      <c r="C353" s="9" t="s">
        <v>323</v>
      </c>
      <c r="D353" s="9" t="s">
        <v>258</v>
      </c>
      <c r="E353" s="9" t="s">
        <v>324</v>
      </c>
      <c r="F353" s="9" t="s">
        <v>507</v>
      </c>
      <c r="G353" s="9"/>
      <c r="H353" s="9" t="s">
        <v>508</v>
      </c>
      <c r="I353" s="9" t="n">
        <f aca="false">COUNTA(instrument!R$2:R$2000)</f>
        <v>77</v>
      </c>
      <c r="J353" s="9" t="n">
        <f aca="false">IF(D353="ja",COUNTA(instrument!$A$2:$A$2000)-I353,"")</f>
        <v>0</v>
      </c>
    </row>
    <row r="354" customFormat="false" ht="15" hidden="false" customHeight="false" outlineLevel="0" collapsed="false">
      <c r="A354" s="9" t="s">
        <v>50</v>
      </c>
      <c r="B354" s="9" t="s">
        <v>509</v>
      </c>
      <c r="C354" s="9" t="s">
        <v>323</v>
      </c>
      <c r="D354" s="9" t="s">
        <v>258</v>
      </c>
      <c r="E354" s="9" t="s">
        <v>324</v>
      </c>
      <c r="F354" s="9" t="s">
        <v>510</v>
      </c>
      <c r="G354" s="9"/>
      <c r="H354" s="9" t="s">
        <v>511</v>
      </c>
      <c r="I354" s="9" t="n">
        <f aca="false">COUNTA(instrument!S$2:S$2000)</f>
        <v>77</v>
      </c>
      <c r="J354" s="9" t="n">
        <f aca="false">IF(D354="ja",COUNTA(instrument!$A$2:$A$2000)-I354,"")</f>
        <v>0</v>
      </c>
    </row>
    <row r="355" customFormat="false" ht="15" hidden="false" customHeight="false" outlineLevel="0" collapsed="false">
      <c r="A355" s="9" t="s">
        <v>50</v>
      </c>
      <c r="B355" s="9" t="s">
        <v>512</v>
      </c>
      <c r="C355" s="9" t="s">
        <v>262</v>
      </c>
      <c r="D355" s="9" t="s">
        <v>258</v>
      </c>
      <c r="E355" s="9"/>
      <c r="F355" s="9"/>
      <c r="G355" s="9" t="s">
        <v>513</v>
      </c>
      <c r="H355" s="9" t="s">
        <v>514</v>
      </c>
      <c r="I355" s="9" t="n">
        <f aca="false">COUNTA(instrument!T$2:T$2000)</f>
        <v>77</v>
      </c>
      <c r="J355" s="9" t="n">
        <f aca="false">IF(D355="ja",COUNTA(instrument!$A$2:$A$2000)-I355,"")</f>
        <v>0</v>
      </c>
    </row>
    <row r="356" customFormat="false" ht="15" hidden="false" customHeight="false" outlineLevel="0" collapsed="false">
      <c r="A356" s="9" t="s">
        <v>50</v>
      </c>
      <c r="B356" s="9" t="s">
        <v>515</v>
      </c>
      <c r="C356" s="9" t="s">
        <v>289</v>
      </c>
      <c r="D356" s="9" t="s">
        <v>258</v>
      </c>
      <c r="E356" s="9"/>
      <c r="F356" s="9"/>
      <c r="G356" s="9" t="s">
        <v>290</v>
      </c>
      <c r="H356" s="9" t="s">
        <v>516</v>
      </c>
      <c r="I356" s="9" t="n">
        <f aca="false">COUNTA(instrument!U$2:U$2000)</f>
        <v>77</v>
      </c>
      <c r="J356" s="9" t="n">
        <f aca="false">IF(D356="ja",COUNTA(instrument!$A$2:$A$2000)-I356,"")</f>
        <v>0</v>
      </c>
    </row>
    <row r="357" customFormat="false" ht="15" hidden="false" customHeight="false" outlineLevel="0" collapsed="false">
      <c r="A357" s="9" t="s">
        <v>50</v>
      </c>
      <c r="B357" s="9" t="s">
        <v>517</v>
      </c>
      <c r="C357" s="9" t="s">
        <v>271</v>
      </c>
      <c r="D357" s="9" t="s">
        <v>272</v>
      </c>
      <c r="E357" s="9"/>
      <c r="F357" s="9"/>
      <c r="G357" s="9"/>
      <c r="H357" s="9" t="s">
        <v>518</v>
      </c>
      <c r="I357" s="9" t="n">
        <f aca="false">COUNTA(instrument!V$2:V$2000)</f>
        <v>5</v>
      </c>
      <c r="J357" s="9" t="str">
        <f aca="false">IF(D357="ja",COUNTA(instrument!$A$2:$A$2000)-I357,"")</f>
        <v/>
      </c>
    </row>
    <row r="358" customFormat="false" ht="15" hidden="false" customHeight="false" outlineLevel="0" collapsed="false">
      <c r="A358" s="9" t="s">
        <v>50</v>
      </c>
      <c r="B358" s="9" t="s">
        <v>342</v>
      </c>
      <c r="C358" s="9" t="s">
        <v>323</v>
      </c>
      <c r="D358" s="9" t="s">
        <v>258</v>
      </c>
      <c r="E358" s="9" t="s">
        <v>324</v>
      </c>
      <c r="F358" s="9" t="s">
        <v>343</v>
      </c>
      <c r="G358" s="9"/>
      <c r="H358" s="9" t="s">
        <v>519</v>
      </c>
      <c r="I358" s="9" t="n">
        <f aca="false">COUNTA(instrument!W$2:W$2000)</f>
        <v>77</v>
      </c>
      <c r="J358" s="9" t="n">
        <f aca="false">IF(D358="ja",COUNTA(instrument!$A$2:$A$2000)-I358,"")</f>
        <v>0</v>
      </c>
    </row>
    <row r="359" customFormat="false" ht="15" hidden="false" customHeight="false" outlineLevel="0" collapsed="false">
      <c r="A359" s="10" t="s">
        <v>50</v>
      </c>
      <c r="B359" s="10" t="s">
        <v>292</v>
      </c>
      <c r="C359" s="10" t="s">
        <v>293</v>
      </c>
      <c r="D359" s="10" t="s">
        <v>258</v>
      </c>
      <c r="E359" s="10"/>
      <c r="F359" s="10"/>
      <c r="G359" s="10"/>
      <c r="H359" s="10" t="s">
        <v>294</v>
      </c>
      <c r="I359" s="10" t="n">
        <f aca="false">COUNTA(instrument!X$2:X$2000)</f>
        <v>77</v>
      </c>
      <c r="J359" s="10" t="n">
        <f aca="false">IF(D359="ja",COUNTA(instrument!$A$2:$A$2000)-I359,"")</f>
        <v>0</v>
      </c>
    </row>
    <row r="360" customFormat="false" ht="15" hidden="false" customHeight="false" outlineLevel="0" collapsed="false">
      <c r="A360" s="10" t="s">
        <v>50</v>
      </c>
      <c r="B360" s="10" t="s">
        <v>295</v>
      </c>
      <c r="C360" s="10" t="s">
        <v>296</v>
      </c>
      <c r="D360" s="10" t="s">
        <v>258</v>
      </c>
      <c r="E360" s="10"/>
      <c r="F360" s="10"/>
      <c r="G360" s="10"/>
      <c r="H360" s="10" t="s">
        <v>297</v>
      </c>
      <c r="I360" s="10" t="n">
        <f aca="false">COUNTA(instrument!Y$2:Y$2000)</f>
        <v>77</v>
      </c>
      <c r="J360" s="10" t="n">
        <f aca="false">IF(D360="ja",COUNTA(instrument!$A$2:$A$2000)-I360,"")</f>
        <v>0</v>
      </c>
    </row>
    <row r="361" customFormat="false" ht="15" hidden="false" customHeight="false" outlineLevel="0" collapsed="false">
      <c r="A361" s="10" t="s">
        <v>50</v>
      </c>
      <c r="B361" s="10" t="s">
        <v>298</v>
      </c>
      <c r="C361" s="10" t="s">
        <v>293</v>
      </c>
      <c r="D361" s="10" t="s">
        <v>258</v>
      </c>
      <c r="E361" s="10"/>
      <c r="F361" s="10"/>
      <c r="G361" s="10"/>
      <c r="H361" s="10" t="s">
        <v>299</v>
      </c>
      <c r="I361" s="10" t="n">
        <f aca="false">COUNTA(instrument!Z$2:Z$2000)</f>
        <v>77</v>
      </c>
      <c r="J361" s="10" t="n">
        <f aca="false">IF(D361="ja",COUNTA(instrument!$A$2:$A$2000)-I361,"")</f>
        <v>0</v>
      </c>
    </row>
    <row r="362" customFormat="false" ht="15" hidden="false" customHeight="false" outlineLevel="0" collapsed="false">
      <c r="A362" s="10" t="s">
        <v>50</v>
      </c>
      <c r="B362" s="10" t="s">
        <v>300</v>
      </c>
      <c r="C362" s="10" t="s">
        <v>296</v>
      </c>
      <c r="D362" s="10" t="s">
        <v>258</v>
      </c>
      <c r="E362" s="10"/>
      <c r="F362" s="10"/>
      <c r="G362" s="10"/>
      <c r="H362" s="10" t="s">
        <v>301</v>
      </c>
      <c r="I362" s="10" t="n">
        <f aca="false">COUNTA(instrument!AA$2:AA$2000)</f>
        <v>77</v>
      </c>
      <c r="J362" s="10" t="n">
        <f aca="false">IF(D362="ja",COUNTA(instrument!$A$2:$A$2000)-I362,"")</f>
        <v>0</v>
      </c>
    </row>
    <row r="363" customFormat="false" ht="15" hidden="false" customHeight="false" outlineLevel="0" collapsed="false">
      <c r="A363" s="10" t="s">
        <v>50</v>
      </c>
      <c r="B363" s="10" t="s">
        <v>302</v>
      </c>
      <c r="C363" s="10" t="s">
        <v>279</v>
      </c>
      <c r="D363" s="10" t="s">
        <v>258</v>
      </c>
      <c r="E363" s="10"/>
      <c r="F363" s="10"/>
      <c r="G363" s="10" t="s">
        <v>303</v>
      </c>
      <c r="H363" s="10" t="s">
        <v>304</v>
      </c>
      <c r="I363" s="10" t="n">
        <f aca="false">COUNTA(instrument!AB$2:AB$2000)</f>
        <v>77</v>
      </c>
      <c r="J363" s="10" t="n">
        <f aca="false">IF(D363="ja",COUNTA(instrument!$A$2:$A$2000)-I363,"")</f>
        <v>0</v>
      </c>
    </row>
    <row r="364" customFormat="false" ht="15" hidden="false" customHeight="false" outlineLevel="0" collapsed="false">
      <c r="A364" s="10" t="s">
        <v>50</v>
      </c>
      <c r="B364" s="10" t="s">
        <v>305</v>
      </c>
      <c r="C364" s="10" t="s">
        <v>286</v>
      </c>
      <c r="D364" s="10" t="s">
        <v>258</v>
      </c>
      <c r="E364" s="10"/>
      <c r="F364" s="10"/>
      <c r="G364" s="10"/>
      <c r="H364" s="10" t="s">
        <v>306</v>
      </c>
      <c r="I364" s="10" t="n">
        <f aca="false">COUNTA(instrument!AC$2:AC$2000)</f>
        <v>77</v>
      </c>
      <c r="J364" s="10" t="n">
        <f aca="false">IF(D364="ja",COUNTA(instrument!$A$2:$A$2000)-I364,"")</f>
        <v>0</v>
      </c>
    </row>
    <row r="365" customFormat="false" ht="15" hidden="false" customHeight="false" outlineLevel="0" collapsed="false">
      <c r="A365" s="10" t="s">
        <v>50</v>
      </c>
      <c r="B365" s="10" t="s">
        <v>307</v>
      </c>
      <c r="C365" s="10" t="s">
        <v>308</v>
      </c>
      <c r="D365" s="10" t="s">
        <v>272</v>
      </c>
      <c r="E365" s="10"/>
      <c r="F365" s="10"/>
      <c r="G365" s="10"/>
      <c r="H365" s="10" t="s">
        <v>309</v>
      </c>
      <c r="I365" s="10" t="n">
        <f aca="false">COUNTA(instrument!AD$2:AD$2000)</f>
        <v>0</v>
      </c>
      <c r="J365" s="10" t="str">
        <f aca="false">IF(D365="ja",COUNTA(instrument!$A$2:$A$2000)-I365,"")</f>
        <v/>
      </c>
    </row>
    <row r="366" customFormat="false" ht="15" hidden="false" customHeight="false" outlineLevel="0" collapsed="false">
      <c r="A366" s="10" t="s">
        <v>50</v>
      </c>
      <c r="B366" s="10" t="s">
        <v>310</v>
      </c>
      <c r="C366" s="10" t="s">
        <v>308</v>
      </c>
      <c r="D366" s="10" t="s">
        <v>272</v>
      </c>
      <c r="E366" s="10"/>
      <c r="F366" s="10"/>
      <c r="G366" s="10"/>
      <c r="H366" s="10" t="s">
        <v>311</v>
      </c>
      <c r="I366" s="10" t="n">
        <f aca="false">COUNTA(instrument!AE$2:AE$2000)</f>
        <v>0</v>
      </c>
      <c r="J366" s="10" t="str">
        <f aca="false">IF(D366="ja",COUNTA(instrument!$A$2:$A$2000)-I366,"")</f>
        <v/>
      </c>
    </row>
    <row r="367" customFormat="false" ht="15" hidden="false" customHeight="false" outlineLevel="0" collapsed="false">
      <c r="A367" s="10" t="s">
        <v>50</v>
      </c>
      <c r="B367" s="10" t="s">
        <v>312</v>
      </c>
      <c r="C367" s="10" t="s">
        <v>271</v>
      </c>
      <c r="D367" s="10" t="s">
        <v>272</v>
      </c>
      <c r="E367" s="10"/>
      <c r="F367" s="10"/>
      <c r="G367" s="10"/>
      <c r="H367" s="10" t="s">
        <v>313</v>
      </c>
      <c r="I367" s="10" t="n">
        <f aca="false">COUNTA(instrument!AF$2:AF$2000)</f>
        <v>77</v>
      </c>
      <c r="J367" s="10" t="str">
        <f aca="false">IF(D367="ja",COUNTA(instrument!$A$2:$A$2000)-I367,"")</f>
        <v/>
      </c>
    </row>
    <row r="368" customFormat="false" ht="15" hidden="false" customHeight="false" outlineLevel="0" collapsed="false">
      <c r="A368" s="9" t="s">
        <v>52</v>
      </c>
      <c r="B368" s="9" t="s">
        <v>520</v>
      </c>
      <c r="C368" s="9" t="s">
        <v>257</v>
      </c>
      <c r="D368" s="9" t="s">
        <v>258</v>
      </c>
      <c r="E368" s="9" t="s">
        <v>259</v>
      </c>
      <c r="F368" s="9"/>
      <c r="G368" s="9"/>
      <c r="H368" s="9"/>
      <c r="I368" s="9" t="n">
        <f aca="false">COUNTA(instrumenttype!A$2:A$2000)</f>
        <v>30</v>
      </c>
      <c r="J368" s="9" t="n">
        <f aca="false">IF(D368="ja",COUNTA(instrumenttype!$A$2:$A$2000)-I368,"")</f>
        <v>0</v>
      </c>
    </row>
    <row r="369" customFormat="false" ht="15" hidden="false" customHeight="false" outlineLevel="0" collapsed="false">
      <c r="A369" s="9" t="s">
        <v>52</v>
      </c>
      <c r="B369" s="9" t="s">
        <v>315</v>
      </c>
      <c r="C369" s="9" t="s">
        <v>262</v>
      </c>
      <c r="D369" s="9" t="s">
        <v>258</v>
      </c>
      <c r="E369" s="9"/>
      <c r="F369" s="9"/>
      <c r="G369" s="9"/>
      <c r="H369" s="9"/>
      <c r="I369" s="9" t="n">
        <f aca="false">COUNTA(instrumenttype!B$2:B$2000)</f>
        <v>30</v>
      </c>
      <c r="J369" s="9" t="n">
        <f aca="false">IF(D369="ja",COUNTA(instrumenttype!$A$2:$A$2000)-I369,"")</f>
        <v>0</v>
      </c>
    </row>
    <row r="370" customFormat="false" ht="15" hidden="false" customHeight="false" outlineLevel="0" collapsed="false">
      <c r="A370" s="9" t="s">
        <v>52</v>
      </c>
      <c r="B370" s="9" t="s">
        <v>264</v>
      </c>
      <c r="C370" s="9" t="s">
        <v>389</v>
      </c>
      <c r="D370" s="9" t="s">
        <v>258</v>
      </c>
      <c r="E370" s="9"/>
      <c r="F370" s="9"/>
      <c r="G370" s="9"/>
      <c r="H370" s="9"/>
      <c r="I370" s="9" t="n">
        <f aca="false">COUNTA(instrumenttype!C$2:C$2000)</f>
        <v>30</v>
      </c>
      <c r="J370" s="9" t="n">
        <f aca="false">IF(D370="ja",COUNTA(instrumenttype!$A$2:$A$2000)-I370,"")</f>
        <v>0</v>
      </c>
    </row>
    <row r="371" customFormat="false" ht="15" hidden="false" customHeight="false" outlineLevel="0" collapsed="false">
      <c r="A371" s="9" t="s">
        <v>52</v>
      </c>
      <c r="B371" s="9" t="s">
        <v>521</v>
      </c>
      <c r="C371" s="9" t="s">
        <v>283</v>
      </c>
      <c r="D371" s="9" t="s">
        <v>258</v>
      </c>
      <c r="E371" s="9"/>
      <c r="F371" s="9"/>
      <c r="G371" s="9"/>
      <c r="H371" s="9"/>
      <c r="I371" s="9" t="n">
        <f aca="false">COUNTA(instrumenttype!D$2:D$2000)</f>
        <v>30</v>
      </c>
      <c r="J371" s="9" t="n">
        <f aca="false">IF(D371="ja",COUNTA(instrumenttype!$A$2:$A$2000)-I371,"")</f>
        <v>0</v>
      </c>
    </row>
    <row r="372" customFormat="false" ht="15" hidden="false" customHeight="false" outlineLevel="0" collapsed="false">
      <c r="A372" s="9" t="s">
        <v>52</v>
      </c>
      <c r="B372" s="9" t="s">
        <v>319</v>
      </c>
      <c r="C372" s="9" t="s">
        <v>271</v>
      </c>
      <c r="D372" s="9" t="s">
        <v>272</v>
      </c>
      <c r="E372" s="9"/>
      <c r="F372" s="9"/>
      <c r="G372" s="9"/>
      <c r="H372" s="9"/>
      <c r="I372" s="9" t="n">
        <f aca="false">COUNTA(instrumenttype!E$2:E$2000)</f>
        <v>0</v>
      </c>
      <c r="J372" s="9" t="str">
        <f aca="false">IF(D372="ja",COUNTA(instrumenttype!$A$2:$A$2000)-I372,"")</f>
        <v/>
      </c>
    </row>
    <row r="373" customFormat="false" ht="15" hidden="false" customHeight="false" outlineLevel="0" collapsed="false">
      <c r="A373" s="9" t="s">
        <v>52</v>
      </c>
      <c r="B373" s="9" t="s">
        <v>285</v>
      </c>
      <c r="C373" s="9" t="s">
        <v>286</v>
      </c>
      <c r="D373" s="9" t="s">
        <v>258</v>
      </c>
      <c r="E373" s="9"/>
      <c r="F373" s="9"/>
      <c r="G373" s="9"/>
      <c r="H373" s="9"/>
      <c r="I373" s="9" t="n">
        <f aca="false">COUNTA(instrumenttype!F$2:F$2000)</f>
        <v>30</v>
      </c>
      <c r="J373" s="9" t="n">
        <f aca="false">IF(D373="ja",COUNTA(instrumenttype!$A$2:$A$2000)-I373,"")</f>
        <v>0</v>
      </c>
    </row>
    <row r="374" customFormat="false" ht="15" hidden="false" customHeight="false" outlineLevel="0" collapsed="false">
      <c r="A374" s="10" t="s">
        <v>52</v>
      </c>
      <c r="B374" s="10" t="s">
        <v>292</v>
      </c>
      <c r="C374" s="10" t="s">
        <v>293</v>
      </c>
      <c r="D374" s="10" t="s">
        <v>258</v>
      </c>
      <c r="E374" s="10"/>
      <c r="F374" s="10"/>
      <c r="G374" s="10"/>
      <c r="H374" s="10" t="s">
        <v>294</v>
      </c>
      <c r="I374" s="10" t="n">
        <f aca="false">COUNTA(instrumenttype!G$2:G$2000)</f>
        <v>30</v>
      </c>
      <c r="J374" s="10" t="n">
        <f aca="false">IF(D374="ja",COUNTA(instrumenttype!$A$2:$A$2000)-I374,"")</f>
        <v>0</v>
      </c>
    </row>
    <row r="375" customFormat="false" ht="15" hidden="false" customHeight="false" outlineLevel="0" collapsed="false">
      <c r="A375" s="10" t="s">
        <v>52</v>
      </c>
      <c r="B375" s="10" t="s">
        <v>295</v>
      </c>
      <c r="C375" s="10" t="s">
        <v>296</v>
      </c>
      <c r="D375" s="10" t="s">
        <v>258</v>
      </c>
      <c r="E375" s="10"/>
      <c r="F375" s="10"/>
      <c r="G375" s="10"/>
      <c r="H375" s="10" t="s">
        <v>297</v>
      </c>
      <c r="I375" s="10" t="n">
        <f aca="false">COUNTA(instrumenttype!H$2:H$2000)</f>
        <v>30</v>
      </c>
      <c r="J375" s="10" t="n">
        <f aca="false">IF(D375="ja",COUNTA(instrumenttype!$A$2:$A$2000)-I375,"")</f>
        <v>0</v>
      </c>
    </row>
    <row r="376" customFormat="false" ht="15" hidden="false" customHeight="false" outlineLevel="0" collapsed="false">
      <c r="A376" s="10" t="s">
        <v>52</v>
      </c>
      <c r="B376" s="10" t="s">
        <v>298</v>
      </c>
      <c r="C376" s="10" t="s">
        <v>293</v>
      </c>
      <c r="D376" s="10" t="s">
        <v>258</v>
      </c>
      <c r="E376" s="10"/>
      <c r="F376" s="10"/>
      <c r="G376" s="10"/>
      <c r="H376" s="10" t="s">
        <v>299</v>
      </c>
      <c r="I376" s="10" t="n">
        <f aca="false">COUNTA(instrumenttype!I$2:I$2000)</f>
        <v>30</v>
      </c>
      <c r="J376" s="10" t="n">
        <f aca="false">IF(D376="ja",COUNTA(instrumenttype!$A$2:$A$2000)-I376,"")</f>
        <v>0</v>
      </c>
    </row>
    <row r="377" customFormat="false" ht="15" hidden="false" customHeight="false" outlineLevel="0" collapsed="false">
      <c r="A377" s="10" t="s">
        <v>52</v>
      </c>
      <c r="B377" s="10" t="s">
        <v>300</v>
      </c>
      <c r="C377" s="10" t="s">
        <v>296</v>
      </c>
      <c r="D377" s="10" t="s">
        <v>258</v>
      </c>
      <c r="E377" s="10"/>
      <c r="F377" s="10"/>
      <c r="G377" s="10"/>
      <c r="H377" s="10" t="s">
        <v>301</v>
      </c>
      <c r="I377" s="10" t="n">
        <f aca="false">COUNTA(instrumenttype!J$2:J$2000)</f>
        <v>30</v>
      </c>
      <c r="J377" s="10" t="n">
        <f aca="false">IF(D377="ja",COUNTA(instrumenttype!$A$2:$A$2000)-I377,"")</f>
        <v>0</v>
      </c>
    </row>
    <row r="378" customFormat="false" ht="15" hidden="false" customHeight="false" outlineLevel="0" collapsed="false">
      <c r="A378" s="10" t="s">
        <v>52</v>
      </c>
      <c r="B378" s="10" t="s">
        <v>302</v>
      </c>
      <c r="C378" s="10" t="s">
        <v>279</v>
      </c>
      <c r="D378" s="10" t="s">
        <v>258</v>
      </c>
      <c r="E378" s="10"/>
      <c r="F378" s="10"/>
      <c r="G378" s="10" t="s">
        <v>303</v>
      </c>
      <c r="H378" s="10" t="s">
        <v>304</v>
      </c>
      <c r="I378" s="10" t="n">
        <f aca="false">COUNTA(instrumenttype!K$2:K$2000)</f>
        <v>30</v>
      </c>
      <c r="J378" s="10" t="n">
        <f aca="false">IF(D378="ja",COUNTA(instrumenttype!$A$2:$A$2000)-I378,"")</f>
        <v>0</v>
      </c>
    </row>
    <row r="379" customFormat="false" ht="15" hidden="false" customHeight="false" outlineLevel="0" collapsed="false">
      <c r="A379" s="10" t="s">
        <v>52</v>
      </c>
      <c r="B379" s="10" t="s">
        <v>305</v>
      </c>
      <c r="C379" s="10" t="s">
        <v>286</v>
      </c>
      <c r="D379" s="10" t="s">
        <v>258</v>
      </c>
      <c r="E379" s="10"/>
      <c r="F379" s="10"/>
      <c r="G379" s="10"/>
      <c r="H379" s="10" t="s">
        <v>306</v>
      </c>
      <c r="I379" s="10" t="n">
        <f aca="false">COUNTA(instrumenttype!L$2:L$2000)</f>
        <v>30</v>
      </c>
      <c r="J379" s="10" t="n">
        <f aca="false">IF(D379="ja",COUNTA(instrumenttype!$A$2:$A$2000)-I379,"")</f>
        <v>0</v>
      </c>
    </row>
    <row r="380" customFormat="false" ht="15" hidden="false" customHeight="false" outlineLevel="0" collapsed="false">
      <c r="A380" s="10" t="s">
        <v>52</v>
      </c>
      <c r="B380" s="10" t="s">
        <v>307</v>
      </c>
      <c r="C380" s="10" t="s">
        <v>308</v>
      </c>
      <c r="D380" s="10" t="s">
        <v>272</v>
      </c>
      <c r="E380" s="10"/>
      <c r="F380" s="10"/>
      <c r="G380" s="10"/>
      <c r="H380" s="10" t="s">
        <v>309</v>
      </c>
      <c r="I380" s="10" t="n">
        <f aca="false">COUNTA(instrumenttype!M$2:M$2000)</f>
        <v>0</v>
      </c>
      <c r="J380" s="10" t="str">
        <f aca="false">IF(D380="ja",COUNTA(instrumenttype!$A$2:$A$2000)-I380,"")</f>
        <v/>
      </c>
    </row>
    <row r="381" customFormat="false" ht="15" hidden="false" customHeight="false" outlineLevel="0" collapsed="false">
      <c r="A381" s="10" t="s">
        <v>52</v>
      </c>
      <c r="B381" s="10" t="s">
        <v>310</v>
      </c>
      <c r="C381" s="10" t="s">
        <v>308</v>
      </c>
      <c r="D381" s="10" t="s">
        <v>272</v>
      </c>
      <c r="E381" s="10"/>
      <c r="F381" s="10"/>
      <c r="G381" s="10"/>
      <c r="H381" s="10" t="s">
        <v>311</v>
      </c>
      <c r="I381" s="10" t="n">
        <f aca="false">COUNTA(instrumenttype!N$2:N$2000)</f>
        <v>0</v>
      </c>
      <c r="J381" s="10" t="str">
        <f aca="false">IF(D381="ja",COUNTA(instrumenttype!$A$2:$A$2000)-I381,"")</f>
        <v/>
      </c>
    </row>
    <row r="382" customFormat="false" ht="15" hidden="false" customHeight="false" outlineLevel="0" collapsed="false">
      <c r="A382" s="10" t="s">
        <v>52</v>
      </c>
      <c r="B382" s="10" t="s">
        <v>312</v>
      </c>
      <c r="C382" s="10" t="s">
        <v>271</v>
      </c>
      <c r="D382" s="10" t="s">
        <v>272</v>
      </c>
      <c r="E382" s="10"/>
      <c r="F382" s="10"/>
      <c r="G382" s="10"/>
      <c r="H382" s="10" t="s">
        <v>313</v>
      </c>
      <c r="I382" s="10" t="n">
        <f aca="false">COUNTA(instrumenttype!O$2:O$2000)</f>
        <v>0</v>
      </c>
      <c r="J382" s="10" t="str">
        <f aca="false">IF(D382="ja",COUNTA(instrumenttype!$A$2:$A$2000)-I382,"")</f>
        <v/>
      </c>
    </row>
    <row r="383" customFormat="false" ht="15" hidden="false" customHeight="false" outlineLevel="0" collapsed="false">
      <c r="A383" s="9" t="s">
        <v>53</v>
      </c>
      <c r="B383" s="9" t="s">
        <v>501</v>
      </c>
      <c r="C383" s="9" t="s">
        <v>257</v>
      </c>
      <c r="D383" s="9" t="s">
        <v>258</v>
      </c>
      <c r="E383" s="9" t="s">
        <v>259</v>
      </c>
      <c r="F383" s="9"/>
      <c r="G383" s="9"/>
      <c r="H383" s="9"/>
      <c r="I383" s="9" t="n">
        <f aca="false">COUNTA(digitale_vorm!A$2:A$2000)</f>
        <v>14</v>
      </c>
      <c r="J383" s="9" t="n">
        <f aca="false">IF(D383="ja",COUNTA(digitale_vorm!$A$2:$A$2000)-I383,"")</f>
        <v>0</v>
      </c>
    </row>
    <row r="384" customFormat="false" ht="15" hidden="false" customHeight="false" outlineLevel="0" collapsed="false">
      <c r="A384" s="9" t="s">
        <v>53</v>
      </c>
      <c r="B384" s="9" t="s">
        <v>315</v>
      </c>
      <c r="C384" s="9" t="s">
        <v>262</v>
      </c>
      <c r="D384" s="9" t="s">
        <v>258</v>
      </c>
      <c r="E384" s="9"/>
      <c r="F384" s="9"/>
      <c r="G384" s="9"/>
      <c r="H384" s="9"/>
      <c r="I384" s="9" t="n">
        <f aca="false">COUNTA(digitale_vorm!B$2:B$2000)</f>
        <v>14</v>
      </c>
      <c r="J384" s="9" t="n">
        <f aca="false">IF(D384="ja",COUNTA(digitale_vorm!$A$2:$A$2000)-I384,"")</f>
        <v>0</v>
      </c>
    </row>
    <row r="385" customFormat="false" ht="15" hidden="false" customHeight="false" outlineLevel="0" collapsed="false">
      <c r="A385" s="9" t="s">
        <v>53</v>
      </c>
      <c r="B385" s="9" t="s">
        <v>264</v>
      </c>
      <c r="C385" s="9" t="s">
        <v>283</v>
      </c>
      <c r="D385" s="9" t="s">
        <v>258</v>
      </c>
      <c r="E385" s="9"/>
      <c r="F385" s="9"/>
      <c r="G385" s="9"/>
      <c r="H385" s="9"/>
      <c r="I385" s="9" t="n">
        <f aca="false">COUNTA(digitale_vorm!C$2:C$2000)</f>
        <v>14</v>
      </c>
      <c r="J385" s="9" t="n">
        <f aca="false">IF(D385="ja",COUNTA(digitale_vorm!$A$2:$A$2000)-I385,"")</f>
        <v>0</v>
      </c>
    </row>
    <row r="386" customFormat="false" ht="15" hidden="false" customHeight="false" outlineLevel="0" collapsed="false">
      <c r="A386" s="9" t="s">
        <v>53</v>
      </c>
      <c r="B386" s="9" t="s">
        <v>319</v>
      </c>
      <c r="C386" s="9" t="s">
        <v>271</v>
      </c>
      <c r="D386" s="9" t="s">
        <v>272</v>
      </c>
      <c r="E386" s="9"/>
      <c r="F386" s="9"/>
      <c r="G386" s="9"/>
      <c r="H386" s="9"/>
      <c r="I386" s="9" t="n">
        <f aca="false">COUNTA(digitale_vorm!D$2:D$2000)</f>
        <v>0</v>
      </c>
      <c r="J386" s="9" t="str">
        <f aca="false">IF(D386="ja",COUNTA(digitale_vorm!$A$2:$A$2000)-I386,"")</f>
        <v/>
      </c>
    </row>
    <row r="387" customFormat="false" ht="15" hidden="false" customHeight="false" outlineLevel="0" collapsed="false">
      <c r="A387" s="10" t="s">
        <v>53</v>
      </c>
      <c r="B387" s="10" t="s">
        <v>292</v>
      </c>
      <c r="C387" s="10" t="s">
        <v>293</v>
      </c>
      <c r="D387" s="10" t="s">
        <v>258</v>
      </c>
      <c r="E387" s="10"/>
      <c r="F387" s="10"/>
      <c r="G387" s="10"/>
      <c r="H387" s="10" t="s">
        <v>294</v>
      </c>
      <c r="I387" s="10" t="n">
        <f aca="false">COUNTA(digitale_vorm!E$2:E$2000)</f>
        <v>14</v>
      </c>
      <c r="J387" s="10" t="n">
        <f aca="false">IF(D387="ja",COUNTA(digitale_vorm!$A$2:$A$2000)-I387,"")</f>
        <v>0</v>
      </c>
    </row>
    <row r="388" customFormat="false" ht="15" hidden="false" customHeight="false" outlineLevel="0" collapsed="false">
      <c r="A388" s="10" t="s">
        <v>53</v>
      </c>
      <c r="B388" s="10" t="s">
        <v>295</v>
      </c>
      <c r="C388" s="10" t="s">
        <v>296</v>
      </c>
      <c r="D388" s="10" t="s">
        <v>258</v>
      </c>
      <c r="E388" s="10"/>
      <c r="F388" s="10"/>
      <c r="G388" s="10"/>
      <c r="H388" s="10" t="s">
        <v>297</v>
      </c>
      <c r="I388" s="10" t="n">
        <f aca="false">COUNTA(digitale_vorm!F$2:F$2000)</f>
        <v>14</v>
      </c>
      <c r="J388" s="10" t="n">
        <f aca="false">IF(D388="ja",COUNTA(digitale_vorm!$A$2:$A$2000)-I388,"")</f>
        <v>0</v>
      </c>
    </row>
    <row r="389" customFormat="false" ht="15" hidden="false" customHeight="false" outlineLevel="0" collapsed="false">
      <c r="A389" s="10" t="s">
        <v>53</v>
      </c>
      <c r="B389" s="10" t="s">
        <v>298</v>
      </c>
      <c r="C389" s="10" t="s">
        <v>293</v>
      </c>
      <c r="D389" s="10" t="s">
        <v>258</v>
      </c>
      <c r="E389" s="10"/>
      <c r="F389" s="10"/>
      <c r="G389" s="10"/>
      <c r="H389" s="10" t="s">
        <v>299</v>
      </c>
      <c r="I389" s="10" t="n">
        <f aca="false">COUNTA(digitale_vorm!G$2:G$2000)</f>
        <v>14</v>
      </c>
      <c r="J389" s="10" t="n">
        <f aca="false">IF(D389="ja",COUNTA(digitale_vorm!$A$2:$A$2000)-I389,"")</f>
        <v>0</v>
      </c>
    </row>
    <row r="390" customFormat="false" ht="15" hidden="false" customHeight="false" outlineLevel="0" collapsed="false">
      <c r="A390" s="10" t="s">
        <v>53</v>
      </c>
      <c r="B390" s="10" t="s">
        <v>300</v>
      </c>
      <c r="C390" s="10" t="s">
        <v>296</v>
      </c>
      <c r="D390" s="10" t="s">
        <v>258</v>
      </c>
      <c r="E390" s="10"/>
      <c r="F390" s="10"/>
      <c r="G390" s="10"/>
      <c r="H390" s="10" t="s">
        <v>301</v>
      </c>
      <c r="I390" s="10" t="n">
        <f aca="false">COUNTA(digitale_vorm!H$2:H$2000)</f>
        <v>14</v>
      </c>
      <c r="J390" s="10" t="n">
        <f aca="false">IF(D390="ja",COUNTA(digitale_vorm!$A$2:$A$2000)-I390,"")</f>
        <v>0</v>
      </c>
    </row>
    <row r="391" customFormat="false" ht="15" hidden="false" customHeight="false" outlineLevel="0" collapsed="false">
      <c r="A391" s="10" t="s">
        <v>53</v>
      </c>
      <c r="B391" s="10" t="s">
        <v>302</v>
      </c>
      <c r="C391" s="10" t="s">
        <v>279</v>
      </c>
      <c r="D391" s="10" t="s">
        <v>258</v>
      </c>
      <c r="E391" s="10"/>
      <c r="F391" s="10"/>
      <c r="G391" s="10" t="s">
        <v>303</v>
      </c>
      <c r="H391" s="10" t="s">
        <v>304</v>
      </c>
      <c r="I391" s="10" t="n">
        <f aca="false">COUNTA(digitale_vorm!I$2:I$2000)</f>
        <v>14</v>
      </c>
      <c r="J391" s="10" t="n">
        <f aca="false">IF(D391="ja",COUNTA(digitale_vorm!$A$2:$A$2000)-I391,"")</f>
        <v>0</v>
      </c>
    </row>
    <row r="392" customFormat="false" ht="15" hidden="false" customHeight="false" outlineLevel="0" collapsed="false">
      <c r="A392" s="10" t="s">
        <v>53</v>
      </c>
      <c r="B392" s="10" t="s">
        <v>305</v>
      </c>
      <c r="C392" s="10" t="s">
        <v>286</v>
      </c>
      <c r="D392" s="10" t="s">
        <v>258</v>
      </c>
      <c r="E392" s="10"/>
      <c r="F392" s="10"/>
      <c r="G392" s="10"/>
      <c r="H392" s="10" t="s">
        <v>306</v>
      </c>
      <c r="I392" s="10" t="n">
        <f aca="false">COUNTA(digitale_vorm!J$2:J$2000)</f>
        <v>14</v>
      </c>
      <c r="J392" s="10" t="n">
        <f aca="false">IF(D392="ja",COUNTA(digitale_vorm!$A$2:$A$2000)-I392,"")</f>
        <v>0</v>
      </c>
    </row>
    <row r="393" customFormat="false" ht="15" hidden="false" customHeight="false" outlineLevel="0" collapsed="false">
      <c r="A393" s="10" t="s">
        <v>53</v>
      </c>
      <c r="B393" s="10" t="s">
        <v>307</v>
      </c>
      <c r="C393" s="10" t="s">
        <v>308</v>
      </c>
      <c r="D393" s="10" t="s">
        <v>272</v>
      </c>
      <c r="E393" s="10"/>
      <c r="F393" s="10"/>
      <c r="G393" s="10"/>
      <c r="H393" s="10" t="s">
        <v>309</v>
      </c>
      <c r="I393" s="10" t="n">
        <f aca="false">COUNTA(digitale_vorm!K$2:K$2000)</f>
        <v>0</v>
      </c>
      <c r="J393" s="10" t="str">
        <f aca="false">IF(D393="ja",COUNTA(digitale_vorm!$A$2:$A$2000)-I393,"")</f>
        <v/>
      </c>
    </row>
    <row r="394" customFormat="false" ht="15" hidden="false" customHeight="false" outlineLevel="0" collapsed="false">
      <c r="A394" s="10" t="s">
        <v>53</v>
      </c>
      <c r="B394" s="10" t="s">
        <v>310</v>
      </c>
      <c r="C394" s="10" t="s">
        <v>308</v>
      </c>
      <c r="D394" s="10" t="s">
        <v>272</v>
      </c>
      <c r="E394" s="10"/>
      <c r="F394" s="10"/>
      <c r="G394" s="10"/>
      <c r="H394" s="10" t="s">
        <v>311</v>
      </c>
      <c r="I394" s="10" t="n">
        <f aca="false">COUNTA(digitale_vorm!L$2:L$2000)</f>
        <v>0</v>
      </c>
      <c r="J394" s="10" t="str">
        <f aca="false">IF(D394="ja",COUNTA(digitale_vorm!$A$2:$A$2000)-I394,"")</f>
        <v/>
      </c>
    </row>
    <row r="395" customFormat="false" ht="15" hidden="false" customHeight="false" outlineLevel="0" collapsed="false">
      <c r="A395" s="10" t="s">
        <v>53</v>
      </c>
      <c r="B395" s="10" t="s">
        <v>312</v>
      </c>
      <c r="C395" s="10" t="s">
        <v>271</v>
      </c>
      <c r="D395" s="10" t="s">
        <v>272</v>
      </c>
      <c r="E395" s="10"/>
      <c r="F395" s="10"/>
      <c r="G395" s="10"/>
      <c r="H395" s="10" t="s">
        <v>313</v>
      </c>
      <c r="I395" s="10" t="n">
        <f aca="false">COUNTA(digitale_vorm!M$2:M$2000)</f>
        <v>0</v>
      </c>
      <c r="J395" s="10" t="str">
        <f aca="false">IF(D395="ja",COUNTA(digitale_vorm!$A$2:$A$2000)-I395,"")</f>
        <v/>
      </c>
    </row>
    <row r="396" customFormat="false" ht="15" hidden="false" customHeight="false" outlineLevel="0" collapsed="false">
      <c r="A396" s="9" t="s">
        <v>54</v>
      </c>
      <c r="B396" s="9" t="s">
        <v>522</v>
      </c>
      <c r="C396" s="9" t="s">
        <v>257</v>
      </c>
      <c r="D396" s="9" t="s">
        <v>258</v>
      </c>
      <c r="E396" s="9" t="s">
        <v>259</v>
      </c>
      <c r="F396" s="9"/>
      <c r="G396" s="9"/>
      <c r="H396" s="9"/>
      <c r="I396" s="9" t="n">
        <f aca="false">COUNTA(organisatie!A$2:A$2000)</f>
        <v>56</v>
      </c>
      <c r="J396" s="9" t="n">
        <f aca="false">IF(D396="ja",COUNTA(organisatie!$A$2:$A$2000)-I396,"")</f>
        <v>0</v>
      </c>
    </row>
    <row r="397" customFormat="false" ht="15" hidden="false" customHeight="false" outlineLevel="0" collapsed="false">
      <c r="A397" s="9" t="s">
        <v>54</v>
      </c>
      <c r="B397" s="9" t="s">
        <v>264</v>
      </c>
      <c r="C397" s="9" t="s">
        <v>523</v>
      </c>
      <c r="D397" s="9" t="s">
        <v>258</v>
      </c>
      <c r="E397" s="9"/>
      <c r="F397" s="9"/>
      <c r="G397" s="9"/>
      <c r="H397" s="9"/>
      <c r="I397" s="9" t="n">
        <f aca="false">COUNTA(organisatie!B$2:B$2000)</f>
        <v>56</v>
      </c>
      <c r="J397" s="9" t="n">
        <f aca="false">IF(D397="ja",COUNTA(organisatie!$A$2:$A$2000)-I397,"")</f>
        <v>0</v>
      </c>
    </row>
    <row r="398" customFormat="false" ht="15" hidden="false" customHeight="false" outlineLevel="0" collapsed="false">
      <c r="A398" s="9" t="s">
        <v>54</v>
      </c>
      <c r="B398" s="9" t="s">
        <v>524</v>
      </c>
      <c r="C398" s="9" t="s">
        <v>453</v>
      </c>
      <c r="D398" s="9" t="s">
        <v>272</v>
      </c>
      <c r="E398" s="9"/>
      <c r="F398" s="9"/>
      <c r="G398" s="9"/>
      <c r="H398" s="9"/>
      <c r="I398" s="9" t="n">
        <f aca="false">COUNTA(organisatie!C$2:C$2000)</f>
        <v>1</v>
      </c>
      <c r="J398" s="9" t="str">
        <f aca="false">IF(D398="ja",COUNTA(organisatie!$A$2:$A$2000)-I398,"")</f>
        <v/>
      </c>
    </row>
    <row r="399" customFormat="false" ht="15" hidden="false" customHeight="false" outlineLevel="0" collapsed="false">
      <c r="A399" s="9" t="s">
        <v>54</v>
      </c>
      <c r="B399" s="9" t="s">
        <v>525</v>
      </c>
      <c r="C399" s="9" t="s">
        <v>323</v>
      </c>
      <c r="D399" s="9" t="s">
        <v>258</v>
      </c>
      <c r="E399" s="9" t="s">
        <v>324</v>
      </c>
      <c r="F399" s="9" t="s">
        <v>526</v>
      </c>
      <c r="G399" s="9"/>
      <c r="H399" s="9"/>
      <c r="I399" s="9" t="n">
        <f aca="false">COUNTA(organisatie!D$2:D$2000)</f>
        <v>56</v>
      </c>
      <c r="J399" s="9" t="n">
        <f aca="false">IF(D399="ja",COUNTA(organisatie!$A$2:$A$2000)-I399,"")</f>
        <v>0</v>
      </c>
    </row>
    <row r="400" customFormat="false" ht="15" hidden="false" customHeight="false" outlineLevel="0" collapsed="false">
      <c r="A400" s="9" t="s">
        <v>54</v>
      </c>
      <c r="B400" s="9" t="s">
        <v>527</v>
      </c>
      <c r="C400" s="9" t="s">
        <v>271</v>
      </c>
      <c r="D400" s="9" t="s">
        <v>272</v>
      </c>
      <c r="E400" s="9"/>
      <c r="F400" s="9"/>
      <c r="G400" s="9"/>
      <c r="H400" s="9"/>
      <c r="I400" s="9" t="n">
        <f aca="false">COUNTA(organisatie!E$2:E$2000)</f>
        <v>0</v>
      </c>
      <c r="J400" s="9" t="str">
        <f aca="false">IF(D400="ja",COUNTA(organisatie!$A$2:$A$2000)-I400,"")</f>
        <v/>
      </c>
    </row>
    <row r="401" customFormat="false" ht="15" hidden="false" customHeight="false" outlineLevel="0" collapsed="false">
      <c r="A401" s="9" t="s">
        <v>54</v>
      </c>
      <c r="B401" s="9" t="s">
        <v>528</v>
      </c>
      <c r="C401" s="9" t="s">
        <v>271</v>
      </c>
      <c r="D401" s="9" t="s">
        <v>272</v>
      </c>
      <c r="E401" s="9"/>
      <c r="F401" s="9"/>
      <c r="G401" s="9"/>
      <c r="H401" s="9"/>
      <c r="I401" s="9" t="n">
        <f aca="false">COUNTA(organisatie!F$2:F$2000)</f>
        <v>0</v>
      </c>
      <c r="J401" s="9" t="str">
        <f aca="false">IF(D401="ja",COUNTA(organisatie!$A$2:$A$2000)-I401,"")</f>
        <v/>
      </c>
    </row>
    <row r="402" customFormat="false" ht="15" hidden="false" customHeight="false" outlineLevel="0" collapsed="false">
      <c r="A402" s="9" t="s">
        <v>54</v>
      </c>
      <c r="B402" s="9" t="s">
        <v>529</v>
      </c>
      <c r="C402" s="9" t="s">
        <v>296</v>
      </c>
      <c r="D402" s="9" t="s">
        <v>272</v>
      </c>
      <c r="E402" s="9"/>
      <c r="F402" s="9"/>
      <c r="G402" s="9"/>
      <c r="H402" s="9"/>
      <c r="I402" s="9" t="n">
        <f aca="false">COUNTA(organisatie!G$2:G$2000)</f>
        <v>0</v>
      </c>
      <c r="J402" s="9" t="str">
        <f aca="false">IF(D402="ja",COUNTA(organisatie!$A$2:$A$2000)-I402,"")</f>
        <v/>
      </c>
    </row>
    <row r="403" customFormat="false" ht="15" hidden="false" customHeight="false" outlineLevel="0" collapsed="false">
      <c r="A403" s="9" t="s">
        <v>54</v>
      </c>
      <c r="B403" s="9" t="s">
        <v>530</v>
      </c>
      <c r="C403" s="9" t="s">
        <v>283</v>
      </c>
      <c r="D403" s="9" t="s">
        <v>272</v>
      </c>
      <c r="E403" s="9"/>
      <c r="F403" s="9"/>
      <c r="G403" s="9"/>
      <c r="H403" s="9"/>
      <c r="I403" s="9" t="n">
        <f aca="false">COUNTA(organisatie!H$2:H$2000)</f>
        <v>55</v>
      </c>
      <c r="J403" s="9" t="str">
        <f aca="false">IF(D403="ja",COUNTA(organisatie!$A$2:$A$2000)-I403,"")</f>
        <v/>
      </c>
    </row>
    <row r="404" customFormat="false" ht="15" hidden="false" customHeight="false" outlineLevel="0" collapsed="false">
      <c r="A404" s="9" t="s">
        <v>54</v>
      </c>
      <c r="B404" s="9" t="s">
        <v>319</v>
      </c>
      <c r="C404" s="9" t="s">
        <v>271</v>
      </c>
      <c r="D404" s="9" t="s">
        <v>272</v>
      </c>
      <c r="E404" s="9"/>
      <c r="F404" s="9"/>
      <c r="G404" s="9"/>
      <c r="H404" s="9"/>
      <c r="I404" s="9" t="n">
        <f aca="false">COUNTA(organisatie!I$2:I$2000)</f>
        <v>1</v>
      </c>
      <c r="J404" s="9" t="str">
        <f aca="false">IF(D404="ja",COUNTA(organisatie!$A$2:$A$2000)-I404,"")</f>
        <v/>
      </c>
    </row>
    <row r="405" customFormat="false" ht="15" hidden="false" customHeight="false" outlineLevel="0" collapsed="false">
      <c r="A405" s="10" t="s">
        <v>54</v>
      </c>
      <c r="B405" s="10" t="s">
        <v>292</v>
      </c>
      <c r="C405" s="10" t="s">
        <v>293</v>
      </c>
      <c r="D405" s="10" t="s">
        <v>258</v>
      </c>
      <c r="E405" s="10"/>
      <c r="F405" s="10"/>
      <c r="G405" s="10"/>
      <c r="H405" s="10" t="s">
        <v>294</v>
      </c>
      <c r="I405" s="10" t="n">
        <f aca="false">COUNTA(organisatie!J$2:J$2000)</f>
        <v>56</v>
      </c>
      <c r="J405" s="10" t="n">
        <f aca="false">IF(D405="ja",COUNTA(organisatie!$A$2:$A$2000)-I405,"")</f>
        <v>0</v>
      </c>
    </row>
    <row r="406" customFormat="false" ht="15" hidden="false" customHeight="false" outlineLevel="0" collapsed="false">
      <c r="A406" s="10" t="s">
        <v>54</v>
      </c>
      <c r="B406" s="10" t="s">
        <v>295</v>
      </c>
      <c r="C406" s="10" t="s">
        <v>296</v>
      </c>
      <c r="D406" s="10" t="s">
        <v>258</v>
      </c>
      <c r="E406" s="10"/>
      <c r="F406" s="10"/>
      <c r="G406" s="10"/>
      <c r="H406" s="10" t="s">
        <v>297</v>
      </c>
      <c r="I406" s="10" t="n">
        <f aca="false">COUNTA(organisatie!K$2:K$2000)</f>
        <v>56</v>
      </c>
      <c r="J406" s="10" t="n">
        <f aca="false">IF(D406="ja",COUNTA(organisatie!$A$2:$A$2000)-I406,"")</f>
        <v>0</v>
      </c>
    </row>
    <row r="407" customFormat="false" ht="15" hidden="false" customHeight="false" outlineLevel="0" collapsed="false">
      <c r="A407" s="10" t="s">
        <v>54</v>
      </c>
      <c r="B407" s="10" t="s">
        <v>298</v>
      </c>
      <c r="C407" s="10" t="s">
        <v>293</v>
      </c>
      <c r="D407" s="10" t="s">
        <v>258</v>
      </c>
      <c r="E407" s="10"/>
      <c r="F407" s="10"/>
      <c r="G407" s="10"/>
      <c r="H407" s="10" t="s">
        <v>299</v>
      </c>
      <c r="I407" s="10" t="n">
        <f aca="false">COUNTA(organisatie!L$2:L$2000)</f>
        <v>56</v>
      </c>
      <c r="J407" s="10" t="n">
        <f aca="false">IF(D407="ja",COUNTA(organisatie!$A$2:$A$2000)-I407,"")</f>
        <v>0</v>
      </c>
    </row>
    <row r="408" customFormat="false" ht="15" hidden="false" customHeight="false" outlineLevel="0" collapsed="false">
      <c r="A408" s="10" t="s">
        <v>54</v>
      </c>
      <c r="B408" s="10" t="s">
        <v>300</v>
      </c>
      <c r="C408" s="10" t="s">
        <v>296</v>
      </c>
      <c r="D408" s="10" t="s">
        <v>258</v>
      </c>
      <c r="E408" s="10"/>
      <c r="F408" s="10"/>
      <c r="G408" s="10"/>
      <c r="H408" s="10" t="s">
        <v>301</v>
      </c>
      <c r="I408" s="10" t="n">
        <f aca="false">COUNTA(organisatie!M$2:M$2000)</f>
        <v>56</v>
      </c>
      <c r="J408" s="10" t="n">
        <f aca="false">IF(D408="ja",COUNTA(organisatie!$A$2:$A$2000)-I408,"")</f>
        <v>0</v>
      </c>
    </row>
    <row r="409" customFormat="false" ht="15" hidden="false" customHeight="false" outlineLevel="0" collapsed="false">
      <c r="A409" s="10" t="s">
        <v>54</v>
      </c>
      <c r="B409" s="10" t="s">
        <v>302</v>
      </c>
      <c r="C409" s="10" t="s">
        <v>279</v>
      </c>
      <c r="D409" s="10" t="s">
        <v>258</v>
      </c>
      <c r="E409" s="10"/>
      <c r="F409" s="10"/>
      <c r="G409" s="10" t="s">
        <v>303</v>
      </c>
      <c r="H409" s="10" t="s">
        <v>304</v>
      </c>
      <c r="I409" s="10" t="n">
        <f aca="false">COUNTA(organisatie!N$2:N$2000)</f>
        <v>56</v>
      </c>
      <c r="J409" s="10" t="n">
        <f aca="false">IF(D409="ja",COUNTA(organisatie!$A$2:$A$2000)-I409,"")</f>
        <v>0</v>
      </c>
    </row>
    <row r="410" customFormat="false" ht="15" hidden="false" customHeight="false" outlineLevel="0" collapsed="false">
      <c r="A410" s="10" t="s">
        <v>54</v>
      </c>
      <c r="B410" s="10" t="s">
        <v>305</v>
      </c>
      <c r="C410" s="10" t="s">
        <v>286</v>
      </c>
      <c r="D410" s="10" t="s">
        <v>258</v>
      </c>
      <c r="E410" s="10"/>
      <c r="F410" s="10"/>
      <c r="G410" s="10"/>
      <c r="H410" s="10" t="s">
        <v>306</v>
      </c>
      <c r="I410" s="10" t="n">
        <f aca="false">COUNTA(organisatie!O$2:O$2000)</f>
        <v>56</v>
      </c>
      <c r="J410" s="10" t="n">
        <f aca="false">IF(D410="ja",COUNTA(organisatie!$A$2:$A$2000)-I410,"")</f>
        <v>0</v>
      </c>
    </row>
    <row r="411" customFormat="false" ht="15" hidden="false" customHeight="false" outlineLevel="0" collapsed="false">
      <c r="A411" s="10" t="s">
        <v>54</v>
      </c>
      <c r="B411" s="10" t="s">
        <v>307</v>
      </c>
      <c r="C411" s="10" t="s">
        <v>308</v>
      </c>
      <c r="D411" s="10" t="s">
        <v>272</v>
      </c>
      <c r="E411" s="10"/>
      <c r="F411" s="10"/>
      <c r="G411" s="10"/>
      <c r="H411" s="10" t="s">
        <v>309</v>
      </c>
      <c r="I411" s="10" t="n">
        <f aca="false">COUNTA(organisatie!P$2:P$2000)</f>
        <v>0</v>
      </c>
      <c r="J411" s="10" t="str">
        <f aca="false">IF(D411="ja",COUNTA(organisatie!$A$2:$A$2000)-I411,"")</f>
        <v/>
      </c>
    </row>
    <row r="412" customFormat="false" ht="15" hidden="false" customHeight="false" outlineLevel="0" collapsed="false">
      <c r="A412" s="10" t="s">
        <v>54</v>
      </c>
      <c r="B412" s="10" t="s">
        <v>310</v>
      </c>
      <c r="C412" s="10" t="s">
        <v>308</v>
      </c>
      <c r="D412" s="10" t="s">
        <v>272</v>
      </c>
      <c r="E412" s="10"/>
      <c r="F412" s="10"/>
      <c r="G412" s="10"/>
      <c r="H412" s="10" t="s">
        <v>311</v>
      </c>
      <c r="I412" s="10" t="n">
        <f aca="false">COUNTA(organisatie!Q$2:Q$2000)</f>
        <v>0</v>
      </c>
      <c r="J412" s="10" t="str">
        <f aca="false">IF(D412="ja",COUNTA(organisatie!$A$2:$A$2000)-I412,"")</f>
        <v/>
      </c>
    </row>
    <row r="413" customFormat="false" ht="15" hidden="false" customHeight="false" outlineLevel="0" collapsed="false">
      <c r="A413" s="10" t="s">
        <v>54</v>
      </c>
      <c r="B413" s="10" t="s">
        <v>312</v>
      </c>
      <c r="C413" s="10" t="s">
        <v>271</v>
      </c>
      <c r="D413" s="10" t="s">
        <v>272</v>
      </c>
      <c r="E413" s="10"/>
      <c r="F413" s="10"/>
      <c r="G413" s="10"/>
      <c r="H413" s="10" t="s">
        <v>313</v>
      </c>
      <c r="I413" s="10" t="n">
        <f aca="false">COUNTA(organisatie!R$2:R$2000)</f>
        <v>56</v>
      </c>
      <c r="J413" s="10" t="str">
        <f aca="false">IF(D413="ja",COUNTA(organisatie!$A$2:$A$2000)-I413,"")</f>
        <v/>
      </c>
    </row>
    <row r="414" customFormat="false" ht="15" hidden="false" customHeight="false" outlineLevel="0" collapsed="false">
      <c r="A414" s="9" t="s">
        <v>55</v>
      </c>
      <c r="B414" s="9" t="s">
        <v>525</v>
      </c>
      <c r="C414" s="9" t="s">
        <v>257</v>
      </c>
      <c r="D414" s="9" t="s">
        <v>258</v>
      </c>
      <c r="E414" s="9" t="s">
        <v>259</v>
      </c>
      <c r="F414" s="9"/>
      <c r="G414" s="9"/>
      <c r="H414" s="9" t="s">
        <v>260</v>
      </c>
      <c r="I414" s="9" t="n">
        <f aca="false">COUNTA(organisatietype!A$2:A$2000)</f>
        <v>15</v>
      </c>
      <c r="J414" s="9" t="n">
        <f aca="false">IF(D414="ja",COUNTA(organisatietype!$A$2:$A$2000)-I414,"")</f>
        <v>0</v>
      </c>
    </row>
    <row r="415" customFormat="false" ht="15" hidden="false" customHeight="false" outlineLevel="0" collapsed="false">
      <c r="A415" s="9" t="s">
        <v>55</v>
      </c>
      <c r="B415" s="9" t="s">
        <v>315</v>
      </c>
      <c r="C415" s="9" t="s">
        <v>279</v>
      </c>
      <c r="D415" s="9" t="s">
        <v>258</v>
      </c>
      <c r="E415" s="9"/>
      <c r="F415" s="9"/>
      <c r="G415" s="9"/>
      <c r="H415" s="9"/>
      <c r="I415" s="9" t="n">
        <f aca="false">COUNTA(organisatietype!B$2:B$2000)</f>
        <v>15</v>
      </c>
      <c r="J415" s="9" t="n">
        <f aca="false">IF(D415="ja",COUNTA(organisatietype!$A$2:$A$2000)-I415,"")</f>
        <v>0</v>
      </c>
    </row>
    <row r="416" customFormat="false" ht="15" hidden="false" customHeight="false" outlineLevel="0" collapsed="false">
      <c r="A416" s="9" t="s">
        <v>55</v>
      </c>
      <c r="B416" s="9" t="s">
        <v>264</v>
      </c>
      <c r="C416" s="9" t="s">
        <v>283</v>
      </c>
      <c r="D416" s="9" t="s">
        <v>258</v>
      </c>
      <c r="E416" s="9"/>
      <c r="F416" s="9"/>
      <c r="G416" s="9"/>
      <c r="H416" s="9"/>
      <c r="I416" s="9" t="n">
        <f aca="false">COUNTA(organisatietype!C$2:C$2000)</f>
        <v>15</v>
      </c>
      <c r="J416" s="9" t="n">
        <f aca="false">IF(D416="ja",COUNTA(organisatietype!$A$2:$A$2000)-I416,"")</f>
        <v>0</v>
      </c>
    </row>
    <row r="417" customFormat="false" ht="15" hidden="false" customHeight="false" outlineLevel="0" collapsed="false">
      <c r="A417" s="9" t="s">
        <v>55</v>
      </c>
      <c r="B417" s="9" t="s">
        <v>319</v>
      </c>
      <c r="C417" s="9" t="s">
        <v>271</v>
      </c>
      <c r="D417" s="9" t="s">
        <v>272</v>
      </c>
      <c r="E417" s="9"/>
      <c r="F417" s="9"/>
      <c r="G417" s="9"/>
      <c r="H417" s="9"/>
      <c r="I417" s="9" t="n">
        <f aca="false">COUNTA(organisatietype!D$2:D$2000)</f>
        <v>0</v>
      </c>
      <c r="J417" s="9" t="str">
        <f aca="false">IF(D417="ja",COUNTA(organisatietype!$A$2:$A$2000)-I417,"")</f>
        <v/>
      </c>
    </row>
    <row r="418" customFormat="false" ht="15" hidden="false" customHeight="false" outlineLevel="0" collapsed="false">
      <c r="A418" s="9" t="s">
        <v>55</v>
      </c>
      <c r="B418" s="9" t="s">
        <v>285</v>
      </c>
      <c r="C418" s="9" t="s">
        <v>286</v>
      </c>
      <c r="D418" s="9" t="s">
        <v>258</v>
      </c>
      <c r="E418" s="9"/>
      <c r="F418" s="9"/>
      <c r="G418" s="9"/>
      <c r="H418" s="9"/>
      <c r="I418" s="9" t="n">
        <f aca="false">COUNTA(organisatietype!E$2:E$2000)</f>
        <v>15</v>
      </c>
      <c r="J418" s="9" t="n">
        <f aca="false">IF(D418="ja",COUNTA(organisatietype!$A$2:$A$2000)-I418,"")</f>
        <v>0</v>
      </c>
    </row>
    <row r="419" customFormat="false" ht="15" hidden="false" customHeight="false" outlineLevel="0" collapsed="false">
      <c r="A419" s="10" t="s">
        <v>55</v>
      </c>
      <c r="B419" s="10" t="s">
        <v>292</v>
      </c>
      <c r="C419" s="10" t="s">
        <v>293</v>
      </c>
      <c r="D419" s="10" t="s">
        <v>258</v>
      </c>
      <c r="E419" s="10"/>
      <c r="F419" s="10"/>
      <c r="G419" s="10"/>
      <c r="H419" s="10" t="s">
        <v>294</v>
      </c>
      <c r="I419" s="10" t="n">
        <f aca="false">COUNTA(organisatietype!F$2:F$2000)</f>
        <v>15</v>
      </c>
      <c r="J419" s="10" t="n">
        <f aca="false">IF(D419="ja",COUNTA(organisatietype!$A$2:$A$2000)-I419,"")</f>
        <v>0</v>
      </c>
    </row>
    <row r="420" customFormat="false" ht="15" hidden="false" customHeight="false" outlineLevel="0" collapsed="false">
      <c r="A420" s="10" t="s">
        <v>55</v>
      </c>
      <c r="B420" s="10" t="s">
        <v>295</v>
      </c>
      <c r="C420" s="10" t="s">
        <v>296</v>
      </c>
      <c r="D420" s="10" t="s">
        <v>258</v>
      </c>
      <c r="E420" s="10"/>
      <c r="F420" s="10"/>
      <c r="G420" s="10"/>
      <c r="H420" s="10" t="s">
        <v>297</v>
      </c>
      <c r="I420" s="10" t="n">
        <f aca="false">COUNTA(organisatietype!G$2:G$2000)</f>
        <v>15</v>
      </c>
      <c r="J420" s="10" t="n">
        <f aca="false">IF(D420="ja",COUNTA(organisatietype!$A$2:$A$2000)-I420,"")</f>
        <v>0</v>
      </c>
    </row>
    <row r="421" customFormat="false" ht="15" hidden="false" customHeight="false" outlineLevel="0" collapsed="false">
      <c r="A421" s="10" t="s">
        <v>55</v>
      </c>
      <c r="B421" s="10" t="s">
        <v>298</v>
      </c>
      <c r="C421" s="10" t="s">
        <v>293</v>
      </c>
      <c r="D421" s="10" t="s">
        <v>258</v>
      </c>
      <c r="E421" s="10"/>
      <c r="F421" s="10"/>
      <c r="G421" s="10"/>
      <c r="H421" s="10" t="s">
        <v>299</v>
      </c>
      <c r="I421" s="10" t="n">
        <f aca="false">COUNTA(organisatietype!H$2:H$2000)</f>
        <v>15</v>
      </c>
      <c r="J421" s="10" t="n">
        <f aca="false">IF(D421="ja",COUNTA(organisatietype!$A$2:$A$2000)-I421,"")</f>
        <v>0</v>
      </c>
    </row>
    <row r="422" customFormat="false" ht="15" hidden="false" customHeight="false" outlineLevel="0" collapsed="false">
      <c r="A422" s="10" t="s">
        <v>55</v>
      </c>
      <c r="B422" s="10" t="s">
        <v>300</v>
      </c>
      <c r="C422" s="10" t="s">
        <v>296</v>
      </c>
      <c r="D422" s="10" t="s">
        <v>258</v>
      </c>
      <c r="E422" s="10"/>
      <c r="F422" s="10"/>
      <c r="G422" s="10"/>
      <c r="H422" s="10" t="s">
        <v>301</v>
      </c>
      <c r="I422" s="10" t="n">
        <f aca="false">COUNTA(organisatietype!I$2:I$2000)</f>
        <v>15</v>
      </c>
      <c r="J422" s="10" t="n">
        <f aca="false">IF(D422="ja",COUNTA(organisatietype!$A$2:$A$2000)-I422,"")</f>
        <v>0</v>
      </c>
    </row>
    <row r="423" customFormat="false" ht="15" hidden="false" customHeight="false" outlineLevel="0" collapsed="false">
      <c r="A423" s="10" t="s">
        <v>55</v>
      </c>
      <c r="B423" s="10" t="s">
        <v>302</v>
      </c>
      <c r="C423" s="10" t="s">
        <v>279</v>
      </c>
      <c r="D423" s="10" t="s">
        <v>258</v>
      </c>
      <c r="E423" s="10"/>
      <c r="F423" s="10"/>
      <c r="G423" s="10" t="s">
        <v>303</v>
      </c>
      <c r="H423" s="10" t="s">
        <v>304</v>
      </c>
      <c r="I423" s="10" t="n">
        <f aca="false">COUNTA(organisatietype!J$2:J$2000)</f>
        <v>15</v>
      </c>
      <c r="J423" s="10" t="n">
        <f aca="false">IF(D423="ja",COUNTA(organisatietype!$A$2:$A$2000)-I423,"")</f>
        <v>0</v>
      </c>
    </row>
    <row r="424" customFormat="false" ht="15" hidden="false" customHeight="false" outlineLevel="0" collapsed="false">
      <c r="A424" s="10" t="s">
        <v>55</v>
      </c>
      <c r="B424" s="10" t="s">
        <v>305</v>
      </c>
      <c r="C424" s="10" t="s">
        <v>286</v>
      </c>
      <c r="D424" s="10" t="s">
        <v>258</v>
      </c>
      <c r="E424" s="10"/>
      <c r="F424" s="10"/>
      <c r="G424" s="10"/>
      <c r="H424" s="10" t="s">
        <v>306</v>
      </c>
      <c r="I424" s="10" t="n">
        <f aca="false">COUNTA(organisatietype!K$2:K$2000)</f>
        <v>15</v>
      </c>
      <c r="J424" s="10" t="n">
        <f aca="false">IF(D424="ja",COUNTA(organisatietype!$A$2:$A$2000)-I424,"")</f>
        <v>0</v>
      </c>
    </row>
    <row r="425" customFormat="false" ht="15" hidden="false" customHeight="false" outlineLevel="0" collapsed="false">
      <c r="A425" s="10" t="s">
        <v>55</v>
      </c>
      <c r="B425" s="10" t="s">
        <v>307</v>
      </c>
      <c r="C425" s="10" t="s">
        <v>308</v>
      </c>
      <c r="D425" s="10" t="s">
        <v>272</v>
      </c>
      <c r="E425" s="10"/>
      <c r="F425" s="10"/>
      <c r="G425" s="10"/>
      <c r="H425" s="10" t="s">
        <v>309</v>
      </c>
      <c r="I425" s="10" t="n">
        <f aca="false">COUNTA(organisatietype!L$2:L$2000)</f>
        <v>0</v>
      </c>
      <c r="J425" s="10" t="str">
        <f aca="false">IF(D425="ja",COUNTA(organisatietype!$A$2:$A$2000)-I425,"")</f>
        <v/>
      </c>
    </row>
    <row r="426" customFormat="false" ht="15" hidden="false" customHeight="false" outlineLevel="0" collapsed="false">
      <c r="A426" s="10" t="s">
        <v>55</v>
      </c>
      <c r="B426" s="10" t="s">
        <v>310</v>
      </c>
      <c r="C426" s="10" t="s">
        <v>308</v>
      </c>
      <c r="D426" s="10" t="s">
        <v>272</v>
      </c>
      <c r="E426" s="10"/>
      <c r="F426" s="10"/>
      <c r="G426" s="10"/>
      <c r="H426" s="10" t="s">
        <v>311</v>
      </c>
      <c r="I426" s="10" t="n">
        <f aca="false">COUNTA(organisatietype!M$2:M$2000)</f>
        <v>0</v>
      </c>
      <c r="J426" s="10" t="str">
        <f aca="false">IF(D426="ja",COUNTA(organisatietype!$A$2:$A$2000)-I426,"")</f>
        <v/>
      </c>
    </row>
    <row r="427" customFormat="false" ht="15" hidden="false" customHeight="false" outlineLevel="0" collapsed="false">
      <c r="A427" s="10" t="s">
        <v>55</v>
      </c>
      <c r="B427" s="10" t="s">
        <v>312</v>
      </c>
      <c r="C427" s="10" t="s">
        <v>271</v>
      </c>
      <c r="D427" s="10" t="s">
        <v>272</v>
      </c>
      <c r="E427" s="10"/>
      <c r="F427" s="10"/>
      <c r="G427" s="10"/>
      <c r="H427" s="10" t="s">
        <v>313</v>
      </c>
      <c r="I427" s="10" t="n">
        <f aca="false">COUNTA(organisatietype!N$2:N$2000)</f>
        <v>0</v>
      </c>
      <c r="J427" s="10" t="str">
        <f aca="false">IF(D427="ja",COUNTA(organisatietype!$A$2:$A$2000)-I427,"")</f>
        <v/>
      </c>
    </row>
    <row r="428" customFormat="false" ht="15" hidden="false" customHeight="false" outlineLevel="0" collapsed="false">
      <c r="A428" s="9" t="s">
        <v>56</v>
      </c>
      <c r="B428" s="9" t="s">
        <v>531</v>
      </c>
      <c r="C428" s="9" t="s">
        <v>257</v>
      </c>
      <c r="D428" s="9" t="s">
        <v>258</v>
      </c>
      <c r="E428" s="9" t="s">
        <v>259</v>
      </c>
      <c r="F428" s="9"/>
      <c r="G428" s="9"/>
      <c r="H428" s="9"/>
      <c r="I428" s="9" t="n">
        <f aca="false">COUNTA(instrument_organisatie!A$2:A$2000)</f>
        <v>77</v>
      </c>
      <c r="J428" s="9" t="n">
        <f aca="false">IF(D428="ja",COUNTA(instrument_organisatie!$A$2:$A$2000)-I428,"")</f>
        <v>0</v>
      </c>
    </row>
    <row r="429" customFormat="false" ht="15" hidden="false" customHeight="false" outlineLevel="0" collapsed="false">
      <c r="A429" s="9" t="s">
        <v>56</v>
      </c>
      <c r="B429" s="9" t="s">
        <v>469</v>
      </c>
      <c r="C429" s="9" t="s">
        <v>323</v>
      </c>
      <c r="D429" s="9" t="s">
        <v>258</v>
      </c>
      <c r="E429" s="9" t="s">
        <v>324</v>
      </c>
      <c r="F429" s="9" t="s">
        <v>443</v>
      </c>
      <c r="G429" s="9"/>
      <c r="H429" s="9"/>
      <c r="I429" s="9" t="n">
        <f aca="false">COUNTA(instrument_organisatie!B$2:B$2000)</f>
        <v>77</v>
      </c>
      <c r="J429" s="9" t="n">
        <f aca="false">IF(D429="ja",COUNTA(instrument_organisatie!$A$2:$A$2000)-I429,"")</f>
        <v>0</v>
      </c>
    </row>
    <row r="430" customFormat="false" ht="15" hidden="false" customHeight="false" outlineLevel="0" collapsed="false">
      <c r="A430" s="9" t="s">
        <v>56</v>
      </c>
      <c r="B430" s="9" t="s">
        <v>522</v>
      </c>
      <c r="C430" s="9" t="s">
        <v>323</v>
      </c>
      <c r="D430" s="9" t="s">
        <v>258</v>
      </c>
      <c r="E430" s="9" t="s">
        <v>324</v>
      </c>
      <c r="F430" s="9" t="s">
        <v>532</v>
      </c>
      <c r="G430" s="9"/>
      <c r="H430" s="9"/>
      <c r="I430" s="9" t="n">
        <f aca="false">COUNTA(instrument_organisatie!C$2:C$2000)</f>
        <v>77</v>
      </c>
      <c r="J430" s="9" t="n">
        <f aca="false">IF(D430="ja",COUNTA(instrument_organisatie!$A$2:$A$2000)-I430,"")</f>
        <v>0</v>
      </c>
    </row>
    <row r="431" customFormat="false" ht="35.05" hidden="false" customHeight="false" outlineLevel="0" collapsed="false">
      <c r="A431" s="9" t="s">
        <v>56</v>
      </c>
      <c r="B431" s="9" t="s">
        <v>533</v>
      </c>
      <c r="C431" s="9" t="s">
        <v>453</v>
      </c>
      <c r="D431" s="9" t="s">
        <v>258</v>
      </c>
      <c r="E431" s="9"/>
      <c r="F431" s="9"/>
      <c r="G431" s="9" t="s">
        <v>534</v>
      </c>
      <c r="H431" s="9"/>
      <c r="I431" s="9" t="n">
        <f aca="false">COUNTA(instrument_organisatie!D$2:D$2000)</f>
        <v>77</v>
      </c>
      <c r="J431" s="9" t="n">
        <f aca="false">IF(D431="ja",COUNTA(instrument_organisatie!$A$2:$A$2000)-I431,"")</f>
        <v>0</v>
      </c>
    </row>
    <row r="432" customFormat="false" ht="15" hidden="false" customHeight="false" outlineLevel="0" collapsed="false">
      <c r="A432" s="9" t="s">
        <v>56</v>
      </c>
      <c r="B432" s="9" t="s">
        <v>535</v>
      </c>
      <c r="C432" s="9" t="s">
        <v>265</v>
      </c>
      <c r="D432" s="9" t="s">
        <v>272</v>
      </c>
      <c r="E432" s="9"/>
      <c r="F432" s="9"/>
      <c r="G432" s="9"/>
      <c r="H432" s="9"/>
      <c r="I432" s="9" t="n">
        <f aca="false">COUNTA(instrument_organisatie!E$2:E$2000)</f>
        <v>0</v>
      </c>
      <c r="J432" s="9" t="str">
        <f aca="false">IF(D432="ja",COUNTA(instrument_organisatie!$A$2:$A$2000)-I432,"")</f>
        <v/>
      </c>
    </row>
    <row r="433" customFormat="false" ht="15" hidden="false" customHeight="false" outlineLevel="0" collapsed="false">
      <c r="A433" s="9" t="s">
        <v>56</v>
      </c>
      <c r="B433" s="9" t="s">
        <v>536</v>
      </c>
      <c r="C433" s="9" t="s">
        <v>296</v>
      </c>
      <c r="D433" s="9" t="s">
        <v>272</v>
      </c>
      <c r="E433" s="9"/>
      <c r="F433" s="9"/>
      <c r="G433" s="9"/>
      <c r="H433" s="9"/>
      <c r="I433" s="9" t="n">
        <f aca="false">COUNTA(instrument_organisatie!F$2:F$2000)</f>
        <v>0</v>
      </c>
      <c r="J433" s="9" t="str">
        <f aca="false">IF(D433="ja",COUNTA(instrument_organisatie!$A$2:$A$2000)-I433,"")</f>
        <v/>
      </c>
    </row>
    <row r="434" customFormat="false" ht="15" hidden="false" customHeight="false" outlineLevel="0" collapsed="false">
      <c r="A434" s="9" t="s">
        <v>56</v>
      </c>
      <c r="B434" s="9" t="s">
        <v>410</v>
      </c>
      <c r="C434" s="9" t="s">
        <v>271</v>
      </c>
      <c r="D434" s="9" t="s">
        <v>272</v>
      </c>
      <c r="E434" s="9"/>
      <c r="F434" s="9"/>
      <c r="G434" s="9"/>
      <c r="H434" s="9"/>
      <c r="I434" s="9" t="n">
        <f aca="false">COUNTA(instrument_organisatie!G$2:G$2000)</f>
        <v>0</v>
      </c>
      <c r="J434" s="9" t="str">
        <f aca="false">IF(D434="ja",COUNTA(instrument_organisatie!$A$2:$A$2000)-I434,"")</f>
        <v/>
      </c>
    </row>
    <row r="435" customFormat="false" ht="15" hidden="false" customHeight="false" outlineLevel="0" collapsed="false">
      <c r="A435" s="10" t="s">
        <v>56</v>
      </c>
      <c r="B435" s="10" t="s">
        <v>292</v>
      </c>
      <c r="C435" s="10" t="s">
        <v>293</v>
      </c>
      <c r="D435" s="10" t="s">
        <v>258</v>
      </c>
      <c r="E435" s="10"/>
      <c r="F435" s="10"/>
      <c r="G435" s="10"/>
      <c r="H435" s="10" t="s">
        <v>294</v>
      </c>
      <c r="I435" s="10" t="n">
        <f aca="false">COUNTA(instrument_organisatie!H$2:H$2000)</f>
        <v>77</v>
      </c>
      <c r="J435" s="10" t="n">
        <f aca="false">IF(D435="ja",COUNTA(instrument_organisatie!$A$2:$A$2000)-I435,"")</f>
        <v>0</v>
      </c>
    </row>
    <row r="436" customFormat="false" ht="15" hidden="false" customHeight="false" outlineLevel="0" collapsed="false">
      <c r="A436" s="10" t="s">
        <v>56</v>
      </c>
      <c r="B436" s="10" t="s">
        <v>295</v>
      </c>
      <c r="C436" s="10" t="s">
        <v>296</v>
      </c>
      <c r="D436" s="10" t="s">
        <v>258</v>
      </c>
      <c r="E436" s="10"/>
      <c r="F436" s="10"/>
      <c r="G436" s="10"/>
      <c r="H436" s="10" t="s">
        <v>297</v>
      </c>
      <c r="I436" s="10" t="n">
        <f aca="false">COUNTA(instrument_organisatie!I$2:I$2000)</f>
        <v>77</v>
      </c>
      <c r="J436" s="10" t="n">
        <f aca="false">IF(D436="ja",COUNTA(instrument_organisatie!$A$2:$A$2000)-I436,"")</f>
        <v>0</v>
      </c>
    </row>
    <row r="437" customFormat="false" ht="15" hidden="false" customHeight="false" outlineLevel="0" collapsed="false">
      <c r="A437" s="10" t="s">
        <v>56</v>
      </c>
      <c r="B437" s="10" t="s">
        <v>298</v>
      </c>
      <c r="C437" s="10" t="s">
        <v>293</v>
      </c>
      <c r="D437" s="10" t="s">
        <v>258</v>
      </c>
      <c r="E437" s="10"/>
      <c r="F437" s="10"/>
      <c r="G437" s="10"/>
      <c r="H437" s="10" t="s">
        <v>299</v>
      </c>
      <c r="I437" s="10" t="n">
        <f aca="false">COUNTA(instrument_organisatie!J$2:J$2000)</f>
        <v>77</v>
      </c>
      <c r="J437" s="10" t="n">
        <f aca="false">IF(D437="ja",COUNTA(instrument_organisatie!$A$2:$A$2000)-I437,"")</f>
        <v>0</v>
      </c>
    </row>
    <row r="438" customFormat="false" ht="15" hidden="false" customHeight="false" outlineLevel="0" collapsed="false">
      <c r="A438" s="10" t="s">
        <v>56</v>
      </c>
      <c r="B438" s="10" t="s">
        <v>300</v>
      </c>
      <c r="C438" s="10" t="s">
        <v>296</v>
      </c>
      <c r="D438" s="10" t="s">
        <v>258</v>
      </c>
      <c r="E438" s="10"/>
      <c r="F438" s="10"/>
      <c r="G438" s="10"/>
      <c r="H438" s="10" t="s">
        <v>301</v>
      </c>
      <c r="I438" s="10" t="n">
        <f aca="false">COUNTA(instrument_organisatie!K$2:K$2000)</f>
        <v>77</v>
      </c>
      <c r="J438" s="10" t="n">
        <f aca="false">IF(D438="ja",COUNTA(instrument_organisatie!$A$2:$A$2000)-I438,"")</f>
        <v>0</v>
      </c>
    </row>
    <row r="439" customFormat="false" ht="15" hidden="false" customHeight="false" outlineLevel="0" collapsed="false">
      <c r="A439" s="10" t="s">
        <v>56</v>
      </c>
      <c r="B439" s="10" t="s">
        <v>302</v>
      </c>
      <c r="C439" s="10" t="s">
        <v>279</v>
      </c>
      <c r="D439" s="10" t="s">
        <v>258</v>
      </c>
      <c r="E439" s="10"/>
      <c r="F439" s="10"/>
      <c r="G439" s="10" t="s">
        <v>303</v>
      </c>
      <c r="H439" s="10" t="s">
        <v>304</v>
      </c>
      <c r="I439" s="10" t="n">
        <f aca="false">COUNTA(instrument_organisatie!L$2:L$2000)</f>
        <v>77</v>
      </c>
      <c r="J439" s="10" t="n">
        <f aca="false">IF(D439="ja",COUNTA(instrument_organisatie!$A$2:$A$2000)-I439,"")</f>
        <v>0</v>
      </c>
    </row>
    <row r="440" customFormat="false" ht="15" hidden="false" customHeight="false" outlineLevel="0" collapsed="false">
      <c r="A440" s="10" t="s">
        <v>56</v>
      </c>
      <c r="B440" s="10" t="s">
        <v>305</v>
      </c>
      <c r="C440" s="10" t="s">
        <v>286</v>
      </c>
      <c r="D440" s="10" t="s">
        <v>258</v>
      </c>
      <c r="E440" s="10"/>
      <c r="F440" s="10"/>
      <c r="G440" s="10"/>
      <c r="H440" s="10" t="s">
        <v>306</v>
      </c>
      <c r="I440" s="10" t="n">
        <f aca="false">COUNTA(instrument_organisatie!M$2:M$2000)</f>
        <v>77</v>
      </c>
      <c r="J440" s="10" t="n">
        <f aca="false">IF(D440="ja",COUNTA(instrument_organisatie!$A$2:$A$2000)-I440,"")</f>
        <v>0</v>
      </c>
    </row>
    <row r="441" customFormat="false" ht="15" hidden="false" customHeight="false" outlineLevel="0" collapsed="false">
      <c r="A441" s="10" t="s">
        <v>56</v>
      </c>
      <c r="B441" s="10" t="s">
        <v>307</v>
      </c>
      <c r="C441" s="10" t="s">
        <v>308</v>
      </c>
      <c r="D441" s="10" t="s">
        <v>272</v>
      </c>
      <c r="E441" s="10"/>
      <c r="F441" s="10"/>
      <c r="G441" s="10"/>
      <c r="H441" s="10" t="s">
        <v>309</v>
      </c>
      <c r="I441" s="10" t="n">
        <f aca="false">COUNTA(instrument_organisatie!N$2:N$2000)</f>
        <v>0</v>
      </c>
      <c r="J441" s="10" t="str">
        <f aca="false">IF(D441="ja",COUNTA(instrument_organisatie!$A$2:$A$2000)-I441,"")</f>
        <v/>
      </c>
    </row>
    <row r="442" customFormat="false" ht="15" hidden="false" customHeight="false" outlineLevel="0" collapsed="false">
      <c r="A442" s="10" t="s">
        <v>56</v>
      </c>
      <c r="B442" s="10" t="s">
        <v>310</v>
      </c>
      <c r="C442" s="10" t="s">
        <v>308</v>
      </c>
      <c r="D442" s="10" t="s">
        <v>272</v>
      </c>
      <c r="E442" s="10"/>
      <c r="F442" s="10"/>
      <c r="G442" s="10"/>
      <c r="H442" s="10" t="s">
        <v>311</v>
      </c>
      <c r="I442" s="10" t="n">
        <f aca="false">COUNTA(instrument_organisatie!O$2:O$2000)</f>
        <v>0</v>
      </c>
      <c r="J442" s="10" t="str">
        <f aca="false">IF(D442="ja",COUNTA(instrument_organisatie!$A$2:$A$2000)-I442,"")</f>
        <v/>
      </c>
    </row>
    <row r="443" customFormat="false" ht="15" hidden="false" customHeight="false" outlineLevel="0" collapsed="false">
      <c r="A443" s="10" t="s">
        <v>56</v>
      </c>
      <c r="B443" s="10" t="s">
        <v>312</v>
      </c>
      <c r="C443" s="10" t="s">
        <v>271</v>
      </c>
      <c r="D443" s="10" t="s">
        <v>272</v>
      </c>
      <c r="E443" s="10"/>
      <c r="F443" s="10"/>
      <c r="G443" s="10"/>
      <c r="H443" s="10" t="s">
        <v>313</v>
      </c>
      <c r="I443" s="10" t="n">
        <f aca="false">COUNTA(instrument_organisatie!P$2:P$2000)</f>
        <v>77</v>
      </c>
      <c r="J443" s="10" t="str">
        <f aca="false">IF(D443="ja",COUNTA(instrument_organisatie!$A$2:$A$2000)-I443,"")</f>
        <v/>
      </c>
    </row>
    <row r="444" customFormat="false" ht="15" hidden="false" customHeight="false" outlineLevel="0" collapsed="false">
      <c r="A444" s="9" t="s">
        <v>57</v>
      </c>
      <c r="B444" s="9" t="s">
        <v>537</v>
      </c>
      <c r="C444" s="9" t="s">
        <v>257</v>
      </c>
      <c r="D444" s="9" t="s">
        <v>258</v>
      </c>
      <c r="E444" s="9" t="s">
        <v>259</v>
      </c>
      <c r="F444" s="9"/>
      <c r="G444" s="9"/>
      <c r="H444" s="9"/>
      <c r="I444" s="9" t="n">
        <f aca="false">COUNTA(bron!A$2:A$2000)</f>
        <v>76</v>
      </c>
      <c r="J444" s="9" t="n">
        <f aca="false">IF(D444="ja",COUNTA(bron!$A$2:$A$2000)-I444,"")</f>
        <v>0</v>
      </c>
    </row>
    <row r="445" customFormat="false" ht="15" hidden="false" customHeight="false" outlineLevel="0" collapsed="false">
      <c r="A445" s="9" t="s">
        <v>57</v>
      </c>
      <c r="B445" s="9" t="s">
        <v>445</v>
      </c>
      <c r="C445" s="9" t="s">
        <v>268</v>
      </c>
      <c r="D445" s="9" t="s">
        <v>258</v>
      </c>
      <c r="E445" s="9"/>
      <c r="F445" s="9"/>
      <c r="G445" s="9"/>
      <c r="H445" s="9"/>
      <c r="I445" s="9" t="n">
        <f aca="false">COUNTA(bron!B$2:B$2000)</f>
        <v>76</v>
      </c>
      <c r="J445" s="9" t="n">
        <f aca="false">IF(D445="ja",COUNTA(bron!$A$2:$A$2000)-I445,"")</f>
        <v>0</v>
      </c>
    </row>
    <row r="446" customFormat="false" ht="15" hidden="false" customHeight="false" outlineLevel="0" collapsed="false">
      <c r="A446" s="9" t="s">
        <v>57</v>
      </c>
      <c r="B446" s="9" t="s">
        <v>538</v>
      </c>
      <c r="C446" s="9" t="s">
        <v>323</v>
      </c>
      <c r="D446" s="9" t="s">
        <v>258</v>
      </c>
      <c r="E446" s="9" t="s">
        <v>324</v>
      </c>
      <c r="F446" s="9" t="s">
        <v>539</v>
      </c>
      <c r="G446" s="9"/>
      <c r="H446" s="9"/>
      <c r="I446" s="9" t="n">
        <f aca="false">COUNTA(bron!C$2:C$2000)</f>
        <v>76</v>
      </c>
      <c r="J446" s="9" t="n">
        <f aca="false">IF(D446="ja",COUNTA(bron!$A$2:$A$2000)-I446,"")</f>
        <v>0</v>
      </c>
    </row>
    <row r="447" customFormat="false" ht="15" hidden="false" customHeight="false" outlineLevel="0" collapsed="false">
      <c r="A447" s="9" t="s">
        <v>57</v>
      </c>
      <c r="B447" s="9" t="s">
        <v>522</v>
      </c>
      <c r="C447" s="9" t="s">
        <v>323</v>
      </c>
      <c r="D447" s="9" t="s">
        <v>272</v>
      </c>
      <c r="E447" s="9" t="s">
        <v>324</v>
      </c>
      <c r="F447" s="9" t="s">
        <v>532</v>
      </c>
      <c r="G447" s="9"/>
      <c r="H447" s="9"/>
      <c r="I447" s="9" t="n">
        <f aca="false">COUNTA(bron!D$2:D$2000)</f>
        <v>0</v>
      </c>
      <c r="J447" s="9" t="str">
        <f aca="false">IF(D447="ja",COUNTA(bron!$A$2:$A$2000)-I447,"")</f>
        <v/>
      </c>
    </row>
    <row r="448" customFormat="false" ht="15" hidden="false" customHeight="false" outlineLevel="0" collapsed="false">
      <c r="A448" s="9" t="s">
        <v>57</v>
      </c>
      <c r="B448" s="9" t="s">
        <v>540</v>
      </c>
      <c r="C448" s="9" t="s">
        <v>271</v>
      </c>
      <c r="D448" s="9" t="s">
        <v>272</v>
      </c>
      <c r="E448" s="9"/>
      <c r="F448" s="9"/>
      <c r="G448" s="9"/>
      <c r="H448" s="9"/>
      <c r="I448" s="9" t="n">
        <f aca="false">COUNTA(bron!E$2:E$2000)</f>
        <v>15</v>
      </c>
      <c r="J448" s="9" t="str">
        <f aca="false">IF(D448="ja",COUNTA(bron!$A$2:$A$2000)-I448,"")</f>
        <v/>
      </c>
    </row>
    <row r="449" customFormat="false" ht="15" hidden="false" customHeight="false" outlineLevel="0" collapsed="false">
      <c r="A449" s="9" t="s">
        <v>57</v>
      </c>
      <c r="B449" s="9" t="s">
        <v>541</v>
      </c>
      <c r="C449" s="9" t="s">
        <v>296</v>
      </c>
      <c r="D449" s="9" t="s">
        <v>272</v>
      </c>
      <c r="E449" s="9"/>
      <c r="F449" s="9"/>
      <c r="G449" s="9"/>
      <c r="H449" s="9"/>
      <c r="I449" s="9" t="n">
        <f aca="false">COUNTA(bron!F$2:F$2000)</f>
        <v>0</v>
      </c>
      <c r="J449" s="9" t="str">
        <f aca="false">IF(D449="ja",COUNTA(bron!$A$2:$A$2000)-I449,"")</f>
        <v/>
      </c>
    </row>
    <row r="450" customFormat="false" ht="15" hidden="false" customHeight="false" outlineLevel="0" collapsed="false">
      <c r="A450" s="9" t="s">
        <v>57</v>
      </c>
      <c r="B450" s="9" t="s">
        <v>542</v>
      </c>
      <c r="C450" s="9" t="s">
        <v>308</v>
      </c>
      <c r="D450" s="9" t="s">
        <v>272</v>
      </c>
      <c r="E450" s="9"/>
      <c r="F450" s="9"/>
      <c r="G450" s="9"/>
      <c r="H450" s="9"/>
      <c r="I450" s="9" t="n">
        <f aca="false">COUNTA(bron!G$2:G$2000)</f>
        <v>0</v>
      </c>
      <c r="J450" s="9" t="str">
        <f aca="false">IF(D450="ja",COUNTA(bron!$A$2:$A$2000)-I450,"")</f>
        <v/>
      </c>
    </row>
    <row r="451" customFormat="false" ht="15" hidden="false" customHeight="false" outlineLevel="0" collapsed="false">
      <c r="A451" s="9" t="s">
        <v>57</v>
      </c>
      <c r="B451" s="9" t="s">
        <v>543</v>
      </c>
      <c r="C451" s="9" t="s">
        <v>308</v>
      </c>
      <c r="D451" s="9" t="s">
        <v>272</v>
      </c>
      <c r="E451" s="9"/>
      <c r="F451" s="9"/>
      <c r="G451" s="9"/>
      <c r="H451" s="9"/>
      <c r="I451" s="9" t="n">
        <f aca="false">COUNTA(bron!H$2:H$2000)</f>
        <v>0</v>
      </c>
      <c r="J451" s="9" t="str">
        <f aca="false">IF(D451="ja",COUNTA(bron!$A$2:$A$2000)-I451,"")</f>
        <v/>
      </c>
    </row>
    <row r="452" customFormat="false" ht="15" hidden="false" customHeight="false" outlineLevel="0" collapsed="false">
      <c r="A452" s="9" t="s">
        <v>57</v>
      </c>
      <c r="B452" s="9" t="s">
        <v>544</v>
      </c>
      <c r="C452" s="9" t="s">
        <v>308</v>
      </c>
      <c r="D452" s="9" t="s">
        <v>258</v>
      </c>
      <c r="E452" s="9"/>
      <c r="F452" s="9"/>
      <c r="G452" s="9"/>
      <c r="H452" s="9"/>
      <c r="I452" s="9" t="n">
        <f aca="false">COUNTA(bron!I$2:I$2000)</f>
        <v>76</v>
      </c>
      <c r="J452" s="9" t="n">
        <f aca="false">IF(D452="ja",COUNTA(bron!$A$2:$A$2000)-I452,"")</f>
        <v>0</v>
      </c>
    </row>
    <row r="453" customFormat="false" ht="15" hidden="false" customHeight="false" outlineLevel="0" collapsed="false">
      <c r="A453" s="9" t="s">
        <v>57</v>
      </c>
      <c r="B453" s="9" t="s">
        <v>545</v>
      </c>
      <c r="C453" s="9" t="s">
        <v>316</v>
      </c>
      <c r="D453" s="9" t="s">
        <v>272</v>
      </c>
      <c r="E453" s="9"/>
      <c r="F453" s="9"/>
      <c r="G453" s="9"/>
      <c r="H453" s="9"/>
      <c r="I453" s="9" t="n">
        <f aca="false">COUNTA(bron!J$2:J$2000)</f>
        <v>76</v>
      </c>
      <c r="J453" s="9" t="str">
        <f aca="false">IF(D453="ja",COUNTA(bron!$A$2:$A$2000)-I453,"")</f>
        <v/>
      </c>
    </row>
    <row r="454" customFormat="false" ht="15" hidden="false" customHeight="false" outlineLevel="0" collapsed="false">
      <c r="A454" s="9" t="s">
        <v>57</v>
      </c>
      <c r="B454" s="9" t="s">
        <v>546</v>
      </c>
      <c r="C454" s="9" t="s">
        <v>289</v>
      </c>
      <c r="D454" s="9" t="s">
        <v>258</v>
      </c>
      <c r="E454" s="9"/>
      <c r="F454" s="9"/>
      <c r="G454" s="9" t="s">
        <v>290</v>
      </c>
      <c r="H454" s="9"/>
      <c r="I454" s="9" t="n">
        <f aca="false">COUNTA(bron!K$2:K$2000)</f>
        <v>76</v>
      </c>
      <c r="J454" s="9" t="n">
        <f aca="false">IF(D454="ja",COUNTA(bron!$A$2:$A$2000)-I454,"")</f>
        <v>0</v>
      </c>
    </row>
    <row r="455" customFormat="false" ht="15" hidden="false" customHeight="false" outlineLevel="0" collapsed="false">
      <c r="A455" s="9" t="s">
        <v>57</v>
      </c>
      <c r="B455" s="9" t="s">
        <v>547</v>
      </c>
      <c r="C455" s="9" t="s">
        <v>289</v>
      </c>
      <c r="D455" s="9" t="s">
        <v>258</v>
      </c>
      <c r="E455" s="9"/>
      <c r="F455" s="9"/>
      <c r="G455" s="9" t="s">
        <v>290</v>
      </c>
      <c r="H455" s="9"/>
      <c r="I455" s="9" t="n">
        <f aca="false">COUNTA(bron!L$2:L$2000)</f>
        <v>76</v>
      </c>
      <c r="J455" s="9" t="n">
        <f aca="false">IF(D455="ja",COUNTA(bron!$A$2:$A$2000)-I455,"")</f>
        <v>0</v>
      </c>
    </row>
    <row r="456" customFormat="false" ht="15" hidden="false" customHeight="false" outlineLevel="0" collapsed="false">
      <c r="A456" s="9" t="s">
        <v>57</v>
      </c>
      <c r="B456" s="9" t="s">
        <v>548</v>
      </c>
      <c r="C456" s="9" t="s">
        <v>279</v>
      </c>
      <c r="D456" s="9" t="s">
        <v>258</v>
      </c>
      <c r="E456" s="9"/>
      <c r="F456" s="9"/>
      <c r="G456" s="9" t="s">
        <v>433</v>
      </c>
      <c r="H456" s="9"/>
      <c r="I456" s="9" t="n">
        <f aca="false">COUNTA(bron!M$2:M$2000)</f>
        <v>76</v>
      </c>
      <c r="J456" s="9" t="n">
        <f aca="false">IF(D456="ja",COUNTA(bron!$A$2:$A$2000)-I456,"")</f>
        <v>0</v>
      </c>
    </row>
    <row r="457" customFormat="false" ht="15" hidden="false" customHeight="false" outlineLevel="0" collapsed="false">
      <c r="A457" s="9" t="s">
        <v>57</v>
      </c>
      <c r="B457" s="9" t="s">
        <v>549</v>
      </c>
      <c r="C457" s="9" t="s">
        <v>271</v>
      </c>
      <c r="D457" s="9" t="s">
        <v>272</v>
      </c>
      <c r="E457" s="9"/>
      <c r="F457" s="9"/>
      <c r="G457" s="9"/>
      <c r="H457" s="9"/>
      <c r="I457" s="9" t="n">
        <f aca="false">COUNTA(bron!N$2:N$2000)</f>
        <v>0</v>
      </c>
      <c r="J457" s="9" t="str">
        <f aca="false">IF(D457="ja",COUNTA(bron!$A$2:$A$2000)-I457,"")</f>
        <v/>
      </c>
    </row>
    <row r="458" customFormat="false" ht="15" hidden="false" customHeight="false" outlineLevel="0" collapsed="false">
      <c r="A458" s="9" t="s">
        <v>57</v>
      </c>
      <c r="B458" s="9" t="s">
        <v>446</v>
      </c>
      <c r="C458" s="9" t="s">
        <v>271</v>
      </c>
      <c r="D458" s="9" t="s">
        <v>272</v>
      </c>
      <c r="E458" s="9"/>
      <c r="F458" s="9"/>
      <c r="G458" s="9"/>
      <c r="H458" s="9"/>
      <c r="I458" s="9" t="n">
        <f aca="false">COUNTA(bron!O$2:O$2000)</f>
        <v>0</v>
      </c>
      <c r="J458" s="9" t="str">
        <f aca="false">IF(D458="ja",COUNTA(bron!$A$2:$A$2000)-I458,"")</f>
        <v/>
      </c>
    </row>
    <row r="459" customFormat="false" ht="15" hidden="false" customHeight="false" outlineLevel="0" collapsed="false">
      <c r="A459" s="10" t="s">
        <v>57</v>
      </c>
      <c r="B459" s="10" t="s">
        <v>292</v>
      </c>
      <c r="C459" s="10" t="s">
        <v>293</v>
      </c>
      <c r="D459" s="10" t="s">
        <v>258</v>
      </c>
      <c r="E459" s="10"/>
      <c r="F459" s="10"/>
      <c r="G459" s="10"/>
      <c r="H459" s="10" t="s">
        <v>294</v>
      </c>
      <c r="I459" s="10" t="n">
        <f aca="false">COUNTA(bron!P$2:P$2000)</f>
        <v>76</v>
      </c>
      <c r="J459" s="10" t="n">
        <f aca="false">IF(D459="ja",COUNTA(bron!$A$2:$A$2000)-I459,"")</f>
        <v>0</v>
      </c>
    </row>
    <row r="460" customFormat="false" ht="15" hidden="false" customHeight="false" outlineLevel="0" collapsed="false">
      <c r="A460" s="10" t="s">
        <v>57</v>
      </c>
      <c r="B460" s="10" t="s">
        <v>295</v>
      </c>
      <c r="C460" s="10" t="s">
        <v>296</v>
      </c>
      <c r="D460" s="10" t="s">
        <v>258</v>
      </c>
      <c r="E460" s="10"/>
      <c r="F460" s="10"/>
      <c r="G460" s="10"/>
      <c r="H460" s="10" t="s">
        <v>297</v>
      </c>
      <c r="I460" s="10" t="n">
        <f aca="false">COUNTA(bron!Q$2:Q$2000)</f>
        <v>76</v>
      </c>
      <c r="J460" s="10" t="n">
        <f aca="false">IF(D460="ja",COUNTA(bron!$A$2:$A$2000)-I460,"")</f>
        <v>0</v>
      </c>
    </row>
    <row r="461" customFormat="false" ht="15" hidden="false" customHeight="false" outlineLevel="0" collapsed="false">
      <c r="A461" s="10" t="s">
        <v>57</v>
      </c>
      <c r="B461" s="10" t="s">
        <v>298</v>
      </c>
      <c r="C461" s="10" t="s">
        <v>293</v>
      </c>
      <c r="D461" s="10" t="s">
        <v>258</v>
      </c>
      <c r="E461" s="10"/>
      <c r="F461" s="10"/>
      <c r="G461" s="10"/>
      <c r="H461" s="10" t="s">
        <v>299</v>
      </c>
      <c r="I461" s="10" t="n">
        <f aca="false">COUNTA(bron!R$2:R$2000)</f>
        <v>76</v>
      </c>
      <c r="J461" s="10" t="n">
        <f aca="false">IF(D461="ja",COUNTA(bron!$A$2:$A$2000)-I461,"")</f>
        <v>0</v>
      </c>
    </row>
    <row r="462" customFormat="false" ht="15" hidden="false" customHeight="false" outlineLevel="0" collapsed="false">
      <c r="A462" s="10" t="s">
        <v>57</v>
      </c>
      <c r="B462" s="10" t="s">
        <v>300</v>
      </c>
      <c r="C462" s="10" t="s">
        <v>296</v>
      </c>
      <c r="D462" s="10" t="s">
        <v>258</v>
      </c>
      <c r="E462" s="10"/>
      <c r="F462" s="10"/>
      <c r="G462" s="10"/>
      <c r="H462" s="10" t="s">
        <v>301</v>
      </c>
      <c r="I462" s="10" t="n">
        <f aca="false">COUNTA(bron!S$2:S$2000)</f>
        <v>76</v>
      </c>
      <c r="J462" s="10" t="n">
        <f aca="false">IF(D462="ja",COUNTA(bron!$A$2:$A$2000)-I462,"")</f>
        <v>0</v>
      </c>
    </row>
    <row r="463" customFormat="false" ht="15" hidden="false" customHeight="false" outlineLevel="0" collapsed="false">
      <c r="A463" s="10" t="s">
        <v>57</v>
      </c>
      <c r="B463" s="10" t="s">
        <v>302</v>
      </c>
      <c r="C463" s="10" t="s">
        <v>279</v>
      </c>
      <c r="D463" s="10" t="s">
        <v>258</v>
      </c>
      <c r="E463" s="10"/>
      <c r="F463" s="10"/>
      <c r="G463" s="10" t="s">
        <v>303</v>
      </c>
      <c r="H463" s="10" t="s">
        <v>304</v>
      </c>
      <c r="I463" s="10" t="n">
        <f aca="false">COUNTA(bron!T$2:T$2000)</f>
        <v>76</v>
      </c>
      <c r="J463" s="10" t="n">
        <f aca="false">IF(D463="ja",COUNTA(bron!$A$2:$A$2000)-I463,"")</f>
        <v>0</v>
      </c>
    </row>
    <row r="464" customFormat="false" ht="15" hidden="false" customHeight="false" outlineLevel="0" collapsed="false">
      <c r="A464" s="10" t="s">
        <v>57</v>
      </c>
      <c r="B464" s="10" t="s">
        <v>305</v>
      </c>
      <c r="C464" s="10" t="s">
        <v>286</v>
      </c>
      <c r="D464" s="10" t="s">
        <v>258</v>
      </c>
      <c r="E464" s="10"/>
      <c r="F464" s="10"/>
      <c r="G464" s="10"/>
      <c r="H464" s="10" t="s">
        <v>306</v>
      </c>
      <c r="I464" s="10" t="n">
        <f aca="false">COUNTA(bron!U$2:U$2000)</f>
        <v>76</v>
      </c>
      <c r="J464" s="10" t="n">
        <f aca="false">IF(D464="ja",COUNTA(bron!$A$2:$A$2000)-I464,"")</f>
        <v>0</v>
      </c>
    </row>
    <row r="465" customFormat="false" ht="15" hidden="false" customHeight="false" outlineLevel="0" collapsed="false">
      <c r="A465" s="10" t="s">
        <v>57</v>
      </c>
      <c r="B465" s="10" t="s">
        <v>307</v>
      </c>
      <c r="C465" s="10" t="s">
        <v>308</v>
      </c>
      <c r="D465" s="10" t="s">
        <v>272</v>
      </c>
      <c r="E465" s="10"/>
      <c r="F465" s="10"/>
      <c r="G465" s="10"/>
      <c r="H465" s="10" t="s">
        <v>309</v>
      </c>
      <c r="I465" s="10" t="n">
        <f aca="false">COUNTA(bron!V$2:V$2000)</f>
        <v>0</v>
      </c>
      <c r="J465" s="10" t="str">
        <f aca="false">IF(D465="ja",COUNTA(bron!$A$2:$A$2000)-I465,"")</f>
        <v/>
      </c>
    </row>
    <row r="466" customFormat="false" ht="15" hidden="false" customHeight="false" outlineLevel="0" collapsed="false">
      <c r="A466" s="10" t="s">
        <v>57</v>
      </c>
      <c r="B466" s="10" t="s">
        <v>310</v>
      </c>
      <c r="C466" s="10" t="s">
        <v>308</v>
      </c>
      <c r="D466" s="10" t="s">
        <v>272</v>
      </c>
      <c r="E466" s="10"/>
      <c r="F466" s="10"/>
      <c r="G466" s="10"/>
      <c r="H466" s="10" t="s">
        <v>311</v>
      </c>
      <c r="I466" s="10" t="n">
        <f aca="false">COUNTA(bron!W$2:W$2000)</f>
        <v>0</v>
      </c>
      <c r="J466" s="10" t="str">
        <f aca="false">IF(D466="ja",COUNTA(bron!$A$2:$A$2000)-I466,"")</f>
        <v/>
      </c>
    </row>
    <row r="467" customFormat="false" ht="15" hidden="false" customHeight="false" outlineLevel="0" collapsed="false">
      <c r="A467" s="10" t="s">
        <v>57</v>
      </c>
      <c r="B467" s="10" t="s">
        <v>312</v>
      </c>
      <c r="C467" s="10" t="s">
        <v>271</v>
      </c>
      <c r="D467" s="10" t="s">
        <v>272</v>
      </c>
      <c r="E467" s="10"/>
      <c r="F467" s="10"/>
      <c r="G467" s="10"/>
      <c r="H467" s="10" t="s">
        <v>313</v>
      </c>
      <c r="I467" s="10" t="n">
        <f aca="false">COUNTA(bron!X$2:X$2000)</f>
        <v>76</v>
      </c>
      <c r="J467" s="10" t="str">
        <f aca="false">IF(D467="ja",COUNTA(bron!$A$2:$A$2000)-I467,"")</f>
        <v/>
      </c>
    </row>
    <row r="468" customFormat="false" ht="15" hidden="false" customHeight="false" outlineLevel="0" collapsed="false">
      <c r="A468" s="9" t="s">
        <v>58</v>
      </c>
      <c r="B468" s="9" t="s">
        <v>538</v>
      </c>
      <c r="C468" s="9" t="s">
        <v>257</v>
      </c>
      <c r="D468" s="9" t="s">
        <v>258</v>
      </c>
      <c r="E468" s="9" t="s">
        <v>259</v>
      </c>
      <c r="F468" s="9"/>
      <c r="G468" s="9"/>
      <c r="H468" s="9" t="s">
        <v>260</v>
      </c>
      <c r="I468" s="9" t="n">
        <f aca="false">COUNTA(brontype!A$2:A$2000)</f>
        <v>14</v>
      </c>
      <c r="J468" s="9" t="n">
        <f aca="false">IF(D468="ja",COUNTA(brontype!$A$2:$A$2000)-I468,"")</f>
        <v>0</v>
      </c>
    </row>
    <row r="469" customFormat="false" ht="15" hidden="false" customHeight="false" outlineLevel="0" collapsed="false">
      <c r="A469" s="9" t="s">
        <v>58</v>
      </c>
      <c r="B469" s="9" t="s">
        <v>315</v>
      </c>
      <c r="C469" s="9" t="s">
        <v>279</v>
      </c>
      <c r="D469" s="9" t="s">
        <v>258</v>
      </c>
      <c r="E469" s="9"/>
      <c r="F469" s="9"/>
      <c r="G469" s="9"/>
      <c r="H469" s="9"/>
      <c r="I469" s="9" t="n">
        <f aca="false">COUNTA(brontype!B$2:B$2000)</f>
        <v>14</v>
      </c>
      <c r="J469" s="9" t="n">
        <f aca="false">IF(D469="ja",COUNTA(brontype!$A$2:$A$2000)-I469,"")</f>
        <v>0</v>
      </c>
    </row>
    <row r="470" customFormat="false" ht="15" hidden="false" customHeight="false" outlineLevel="0" collapsed="false">
      <c r="A470" s="9" t="s">
        <v>58</v>
      </c>
      <c r="B470" s="9" t="s">
        <v>264</v>
      </c>
      <c r="C470" s="9" t="s">
        <v>283</v>
      </c>
      <c r="D470" s="9" t="s">
        <v>258</v>
      </c>
      <c r="E470" s="9"/>
      <c r="F470" s="9"/>
      <c r="G470" s="9"/>
      <c r="H470" s="9"/>
      <c r="I470" s="9" t="n">
        <f aca="false">COUNTA(brontype!C$2:C$2000)</f>
        <v>14</v>
      </c>
      <c r="J470" s="9" t="n">
        <f aca="false">IF(D470="ja",COUNTA(brontype!$A$2:$A$2000)-I470,"")</f>
        <v>0</v>
      </c>
    </row>
    <row r="471" customFormat="false" ht="15" hidden="false" customHeight="false" outlineLevel="0" collapsed="false">
      <c r="A471" s="9" t="s">
        <v>58</v>
      </c>
      <c r="B471" s="9" t="s">
        <v>319</v>
      </c>
      <c r="C471" s="9" t="s">
        <v>271</v>
      </c>
      <c r="D471" s="9" t="s">
        <v>272</v>
      </c>
      <c r="E471" s="9"/>
      <c r="F471" s="9"/>
      <c r="G471" s="9"/>
      <c r="H471" s="9"/>
      <c r="I471" s="9" t="n">
        <f aca="false">COUNTA(brontype!D$2:D$2000)</f>
        <v>0</v>
      </c>
      <c r="J471" s="9" t="str">
        <f aca="false">IF(D471="ja",COUNTA(brontype!$A$2:$A$2000)-I471,"")</f>
        <v/>
      </c>
    </row>
    <row r="472" customFormat="false" ht="15" hidden="false" customHeight="false" outlineLevel="0" collapsed="false">
      <c r="A472" s="9" t="s">
        <v>58</v>
      </c>
      <c r="B472" s="9" t="s">
        <v>285</v>
      </c>
      <c r="C472" s="9" t="s">
        <v>286</v>
      </c>
      <c r="D472" s="9" t="s">
        <v>258</v>
      </c>
      <c r="E472" s="9"/>
      <c r="F472" s="9"/>
      <c r="G472" s="9"/>
      <c r="H472" s="9"/>
      <c r="I472" s="9" t="n">
        <f aca="false">COUNTA(brontype!E$2:E$2000)</f>
        <v>14</v>
      </c>
      <c r="J472" s="9" t="n">
        <f aca="false">IF(D472="ja",COUNTA(brontype!$A$2:$A$2000)-I472,"")</f>
        <v>0</v>
      </c>
    </row>
    <row r="473" customFormat="false" ht="15" hidden="false" customHeight="false" outlineLevel="0" collapsed="false">
      <c r="A473" s="10" t="s">
        <v>58</v>
      </c>
      <c r="B473" s="10" t="s">
        <v>292</v>
      </c>
      <c r="C473" s="10" t="s">
        <v>293</v>
      </c>
      <c r="D473" s="10" t="s">
        <v>258</v>
      </c>
      <c r="E473" s="10"/>
      <c r="F473" s="10"/>
      <c r="G473" s="10"/>
      <c r="H473" s="10" t="s">
        <v>294</v>
      </c>
      <c r="I473" s="10" t="n">
        <f aca="false">COUNTA(brontype!F$2:F$2000)</f>
        <v>14</v>
      </c>
      <c r="J473" s="10" t="n">
        <f aca="false">IF(D473="ja",COUNTA(brontype!$A$2:$A$2000)-I473,"")</f>
        <v>0</v>
      </c>
    </row>
    <row r="474" customFormat="false" ht="15" hidden="false" customHeight="false" outlineLevel="0" collapsed="false">
      <c r="A474" s="10" t="s">
        <v>58</v>
      </c>
      <c r="B474" s="10" t="s">
        <v>295</v>
      </c>
      <c r="C474" s="10" t="s">
        <v>296</v>
      </c>
      <c r="D474" s="10" t="s">
        <v>258</v>
      </c>
      <c r="E474" s="10"/>
      <c r="F474" s="10"/>
      <c r="G474" s="10"/>
      <c r="H474" s="10" t="s">
        <v>297</v>
      </c>
      <c r="I474" s="10" t="n">
        <f aca="false">COUNTA(brontype!G$2:G$2000)</f>
        <v>14</v>
      </c>
      <c r="J474" s="10" t="n">
        <f aca="false">IF(D474="ja",COUNTA(brontype!$A$2:$A$2000)-I474,"")</f>
        <v>0</v>
      </c>
    </row>
    <row r="475" customFormat="false" ht="15" hidden="false" customHeight="false" outlineLevel="0" collapsed="false">
      <c r="A475" s="10" t="s">
        <v>58</v>
      </c>
      <c r="B475" s="10" t="s">
        <v>298</v>
      </c>
      <c r="C475" s="10" t="s">
        <v>293</v>
      </c>
      <c r="D475" s="10" t="s">
        <v>258</v>
      </c>
      <c r="E475" s="10"/>
      <c r="F475" s="10"/>
      <c r="G475" s="10"/>
      <c r="H475" s="10" t="s">
        <v>299</v>
      </c>
      <c r="I475" s="10" t="n">
        <f aca="false">COUNTA(brontype!H$2:H$2000)</f>
        <v>14</v>
      </c>
      <c r="J475" s="10" t="n">
        <f aca="false">IF(D475="ja",COUNTA(brontype!$A$2:$A$2000)-I475,"")</f>
        <v>0</v>
      </c>
    </row>
    <row r="476" customFormat="false" ht="15" hidden="false" customHeight="false" outlineLevel="0" collapsed="false">
      <c r="A476" s="10" t="s">
        <v>58</v>
      </c>
      <c r="B476" s="10" t="s">
        <v>300</v>
      </c>
      <c r="C476" s="10" t="s">
        <v>296</v>
      </c>
      <c r="D476" s="10" t="s">
        <v>258</v>
      </c>
      <c r="E476" s="10"/>
      <c r="F476" s="10"/>
      <c r="G476" s="10"/>
      <c r="H476" s="10" t="s">
        <v>301</v>
      </c>
      <c r="I476" s="10" t="n">
        <f aca="false">COUNTA(brontype!I$2:I$2000)</f>
        <v>14</v>
      </c>
      <c r="J476" s="10" t="n">
        <f aca="false">IF(D476="ja",COUNTA(brontype!$A$2:$A$2000)-I476,"")</f>
        <v>0</v>
      </c>
    </row>
    <row r="477" customFormat="false" ht="15" hidden="false" customHeight="false" outlineLevel="0" collapsed="false">
      <c r="A477" s="10" t="s">
        <v>58</v>
      </c>
      <c r="B477" s="10" t="s">
        <v>302</v>
      </c>
      <c r="C477" s="10" t="s">
        <v>279</v>
      </c>
      <c r="D477" s="10" t="s">
        <v>258</v>
      </c>
      <c r="E477" s="10"/>
      <c r="F477" s="10"/>
      <c r="G477" s="10" t="s">
        <v>303</v>
      </c>
      <c r="H477" s="10" t="s">
        <v>304</v>
      </c>
      <c r="I477" s="10" t="n">
        <f aca="false">COUNTA(brontype!J$2:J$2000)</f>
        <v>14</v>
      </c>
      <c r="J477" s="10" t="n">
        <f aca="false">IF(D477="ja",COUNTA(brontype!$A$2:$A$2000)-I477,"")</f>
        <v>0</v>
      </c>
    </row>
    <row r="478" customFormat="false" ht="15" hidden="false" customHeight="false" outlineLevel="0" collapsed="false">
      <c r="A478" s="10" t="s">
        <v>58</v>
      </c>
      <c r="B478" s="10" t="s">
        <v>305</v>
      </c>
      <c r="C478" s="10" t="s">
        <v>286</v>
      </c>
      <c r="D478" s="10" t="s">
        <v>258</v>
      </c>
      <c r="E478" s="10"/>
      <c r="F478" s="10"/>
      <c r="G478" s="10"/>
      <c r="H478" s="10" t="s">
        <v>306</v>
      </c>
      <c r="I478" s="10" t="n">
        <f aca="false">COUNTA(brontype!K$2:K$2000)</f>
        <v>14</v>
      </c>
      <c r="J478" s="10" t="n">
        <f aca="false">IF(D478="ja",COUNTA(brontype!$A$2:$A$2000)-I478,"")</f>
        <v>0</v>
      </c>
    </row>
    <row r="479" customFormat="false" ht="15" hidden="false" customHeight="false" outlineLevel="0" collapsed="false">
      <c r="A479" s="10" t="s">
        <v>58</v>
      </c>
      <c r="B479" s="10" t="s">
        <v>307</v>
      </c>
      <c r="C479" s="10" t="s">
        <v>308</v>
      </c>
      <c r="D479" s="10" t="s">
        <v>272</v>
      </c>
      <c r="E479" s="10"/>
      <c r="F479" s="10"/>
      <c r="G479" s="10"/>
      <c r="H479" s="10" t="s">
        <v>309</v>
      </c>
      <c r="I479" s="10" t="n">
        <f aca="false">COUNTA(brontype!L$2:L$2000)</f>
        <v>0</v>
      </c>
      <c r="J479" s="10" t="str">
        <f aca="false">IF(D479="ja",COUNTA(brontype!$A$2:$A$2000)-I479,"")</f>
        <v/>
      </c>
    </row>
    <row r="480" customFormat="false" ht="15" hidden="false" customHeight="false" outlineLevel="0" collapsed="false">
      <c r="A480" s="10" t="s">
        <v>58</v>
      </c>
      <c r="B480" s="10" t="s">
        <v>310</v>
      </c>
      <c r="C480" s="10" t="s">
        <v>308</v>
      </c>
      <c r="D480" s="10" t="s">
        <v>272</v>
      </c>
      <c r="E480" s="10"/>
      <c r="F480" s="10"/>
      <c r="G480" s="10"/>
      <c r="H480" s="10" t="s">
        <v>311</v>
      </c>
      <c r="I480" s="10" t="n">
        <f aca="false">COUNTA(brontype!M$2:M$2000)</f>
        <v>0</v>
      </c>
      <c r="J480" s="10" t="str">
        <f aca="false">IF(D480="ja",COUNTA(brontype!$A$2:$A$2000)-I480,"")</f>
        <v/>
      </c>
    </row>
    <row r="481" customFormat="false" ht="15" hidden="false" customHeight="false" outlineLevel="0" collapsed="false">
      <c r="A481" s="10" t="s">
        <v>58</v>
      </c>
      <c r="B481" s="10" t="s">
        <v>312</v>
      </c>
      <c r="C481" s="10" t="s">
        <v>271</v>
      </c>
      <c r="D481" s="10" t="s">
        <v>272</v>
      </c>
      <c r="E481" s="10"/>
      <c r="F481" s="10"/>
      <c r="G481" s="10"/>
      <c r="H481" s="10" t="s">
        <v>313</v>
      </c>
      <c r="I481" s="10" t="n">
        <f aca="false">COUNTA(brontype!N$2:N$2000)</f>
        <v>0</v>
      </c>
      <c r="J481" s="10" t="str">
        <f aca="false">IF(D481="ja",COUNTA(brontype!$A$2:$A$2000)-I481,"")</f>
        <v/>
      </c>
    </row>
    <row r="482" customFormat="false" ht="15" hidden="false" customHeight="false" outlineLevel="0" collapsed="false">
      <c r="A482" s="9" t="s">
        <v>59</v>
      </c>
      <c r="B482" s="9" t="s">
        <v>550</v>
      </c>
      <c r="C482" s="9" t="s">
        <v>257</v>
      </c>
      <c r="D482" s="9" t="s">
        <v>258</v>
      </c>
      <c r="E482" s="9" t="s">
        <v>259</v>
      </c>
      <c r="F482" s="9"/>
      <c r="G482" s="9"/>
      <c r="H482" s="9"/>
      <c r="I482" s="9" t="n">
        <f aca="false">COUNTA(instrument_bron!A$2:A$2000)</f>
        <v>77</v>
      </c>
      <c r="J482" s="9" t="n">
        <f aca="false">IF(D482="ja",COUNTA(instrument_bron!$A$2:$A$2000)-I482,"")</f>
        <v>0</v>
      </c>
    </row>
    <row r="483" customFormat="false" ht="15" hidden="false" customHeight="false" outlineLevel="0" collapsed="false">
      <c r="A483" s="9" t="s">
        <v>59</v>
      </c>
      <c r="B483" s="9" t="s">
        <v>469</v>
      </c>
      <c r="C483" s="9" t="s">
        <v>323</v>
      </c>
      <c r="D483" s="9" t="s">
        <v>258</v>
      </c>
      <c r="E483" s="9" t="s">
        <v>324</v>
      </c>
      <c r="F483" s="9" t="s">
        <v>443</v>
      </c>
      <c r="G483" s="9"/>
      <c r="H483" s="9"/>
      <c r="I483" s="9" t="n">
        <f aca="false">COUNTA(instrument_bron!B$2:B$2000)</f>
        <v>77</v>
      </c>
      <c r="J483" s="9" t="n">
        <f aca="false">IF(D483="ja",COUNTA(instrument_bron!$A$2:$A$2000)-I483,"")</f>
        <v>0</v>
      </c>
    </row>
    <row r="484" customFormat="false" ht="15" hidden="false" customHeight="false" outlineLevel="0" collapsed="false">
      <c r="A484" s="9" t="s">
        <v>59</v>
      </c>
      <c r="B484" s="9" t="s">
        <v>537</v>
      </c>
      <c r="C484" s="9" t="s">
        <v>323</v>
      </c>
      <c r="D484" s="9" t="s">
        <v>258</v>
      </c>
      <c r="E484" s="9" t="s">
        <v>324</v>
      </c>
      <c r="F484" s="9" t="s">
        <v>551</v>
      </c>
      <c r="G484" s="9"/>
      <c r="H484" s="9"/>
      <c r="I484" s="9" t="n">
        <f aca="false">COUNTA(instrument_bron!C$2:C$2000)</f>
        <v>77</v>
      </c>
      <c r="J484" s="9" t="n">
        <f aca="false">IF(D484="ja",COUNTA(instrument_bron!$A$2:$A$2000)-I484,"")</f>
        <v>0</v>
      </c>
    </row>
    <row r="485" customFormat="false" ht="35.05" hidden="false" customHeight="false" outlineLevel="0" collapsed="false">
      <c r="A485" s="9" t="s">
        <v>59</v>
      </c>
      <c r="B485" s="9" t="s">
        <v>552</v>
      </c>
      <c r="C485" s="9" t="s">
        <v>453</v>
      </c>
      <c r="D485" s="9" t="s">
        <v>258</v>
      </c>
      <c r="E485" s="9"/>
      <c r="F485" s="9"/>
      <c r="G485" s="9" t="s">
        <v>553</v>
      </c>
      <c r="H485" s="9"/>
      <c r="I485" s="9" t="n">
        <f aca="false">COUNTA(instrument_bron!D$2:D$2000)</f>
        <v>77</v>
      </c>
      <c r="J485" s="9" t="n">
        <f aca="false">IF(D485="ja",COUNTA(instrument_bron!$A$2:$A$2000)-I485,"")</f>
        <v>0</v>
      </c>
    </row>
    <row r="486" customFormat="false" ht="15" hidden="false" customHeight="false" outlineLevel="0" collapsed="false">
      <c r="A486" s="9" t="s">
        <v>59</v>
      </c>
      <c r="B486" s="9" t="s">
        <v>554</v>
      </c>
      <c r="C486" s="9" t="s">
        <v>289</v>
      </c>
      <c r="D486" s="9" t="s">
        <v>258</v>
      </c>
      <c r="E486" s="9"/>
      <c r="F486" s="9"/>
      <c r="G486" s="9" t="s">
        <v>290</v>
      </c>
      <c r="H486" s="9"/>
      <c r="I486" s="9" t="n">
        <f aca="false">COUNTA(instrument_bron!E$2:E$2000)</f>
        <v>77</v>
      </c>
      <c r="J486" s="9" t="n">
        <f aca="false">IF(D486="ja",COUNTA(instrument_bron!$A$2:$A$2000)-I486,"")</f>
        <v>0</v>
      </c>
    </row>
    <row r="487" customFormat="false" ht="15" hidden="false" customHeight="false" outlineLevel="0" collapsed="false">
      <c r="A487" s="9" t="s">
        <v>59</v>
      </c>
      <c r="B487" s="9" t="s">
        <v>555</v>
      </c>
      <c r="C487" s="9" t="s">
        <v>271</v>
      </c>
      <c r="D487" s="9" t="s">
        <v>272</v>
      </c>
      <c r="E487" s="9"/>
      <c r="F487" s="9"/>
      <c r="G487" s="9"/>
      <c r="H487" s="9"/>
      <c r="I487" s="9" t="n">
        <f aca="false">COUNTA(instrument_bron!F$2:F$2000)</f>
        <v>0</v>
      </c>
      <c r="J487" s="9" t="str">
        <f aca="false">IF(D487="ja",COUNTA(instrument_bron!$A$2:$A$2000)-I487,"")</f>
        <v/>
      </c>
    </row>
    <row r="488" customFormat="false" ht="15" hidden="false" customHeight="false" outlineLevel="0" collapsed="false">
      <c r="A488" s="10" t="s">
        <v>59</v>
      </c>
      <c r="B488" s="10" t="s">
        <v>292</v>
      </c>
      <c r="C488" s="10" t="s">
        <v>293</v>
      </c>
      <c r="D488" s="10" t="s">
        <v>258</v>
      </c>
      <c r="E488" s="10"/>
      <c r="F488" s="10"/>
      <c r="G488" s="10"/>
      <c r="H488" s="10" t="s">
        <v>294</v>
      </c>
      <c r="I488" s="10" t="n">
        <f aca="false">COUNTA(instrument_bron!G$2:G$2000)</f>
        <v>77</v>
      </c>
      <c r="J488" s="10" t="n">
        <f aca="false">IF(D488="ja",COUNTA(instrument_bron!$A$2:$A$2000)-I488,"")</f>
        <v>0</v>
      </c>
    </row>
    <row r="489" customFormat="false" ht="15" hidden="false" customHeight="false" outlineLevel="0" collapsed="false">
      <c r="A489" s="10" t="s">
        <v>59</v>
      </c>
      <c r="B489" s="10" t="s">
        <v>295</v>
      </c>
      <c r="C489" s="10" t="s">
        <v>296</v>
      </c>
      <c r="D489" s="10" t="s">
        <v>258</v>
      </c>
      <c r="E489" s="10"/>
      <c r="F489" s="10"/>
      <c r="G489" s="10"/>
      <c r="H489" s="10" t="s">
        <v>297</v>
      </c>
      <c r="I489" s="10" t="n">
        <f aca="false">COUNTA(instrument_bron!H$2:H$2000)</f>
        <v>77</v>
      </c>
      <c r="J489" s="10" t="n">
        <f aca="false">IF(D489="ja",COUNTA(instrument_bron!$A$2:$A$2000)-I489,"")</f>
        <v>0</v>
      </c>
    </row>
    <row r="490" customFormat="false" ht="15" hidden="false" customHeight="false" outlineLevel="0" collapsed="false">
      <c r="A490" s="10" t="s">
        <v>59</v>
      </c>
      <c r="B490" s="10" t="s">
        <v>298</v>
      </c>
      <c r="C490" s="10" t="s">
        <v>293</v>
      </c>
      <c r="D490" s="10" t="s">
        <v>258</v>
      </c>
      <c r="E490" s="10"/>
      <c r="F490" s="10"/>
      <c r="G490" s="10"/>
      <c r="H490" s="10" t="s">
        <v>299</v>
      </c>
      <c r="I490" s="10" t="n">
        <f aca="false">COUNTA(instrument_bron!I$2:I$2000)</f>
        <v>77</v>
      </c>
      <c r="J490" s="10" t="n">
        <f aca="false">IF(D490="ja",COUNTA(instrument_bron!$A$2:$A$2000)-I490,"")</f>
        <v>0</v>
      </c>
    </row>
    <row r="491" customFormat="false" ht="15" hidden="false" customHeight="false" outlineLevel="0" collapsed="false">
      <c r="A491" s="10" t="s">
        <v>59</v>
      </c>
      <c r="B491" s="10" t="s">
        <v>300</v>
      </c>
      <c r="C491" s="10" t="s">
        <v>296</v>
      </c>
      <c r="D491" s="10" t="s">
        <v>258</v>
      </c>
      <c r="E491" s="10"/>
      <c r="F491" s="10"/>
      <c r="G491" s="10"/>
      <c r="H491" s="10" t="s">
        <v>301</v>
      </c>
      <c r="I491" s="10" t="n">
        <f aca="false">COUNTA(instrument_bron!J$2:J$2000)</f>
        <v>77</v>
      </c>
      <c r="J491" s="10" t="n">
        <f aca="false">IF(D491="ja",COUNTA(instrument_bron!$A$2:$A$2000)-I491,"")</f>
        <v>0</v>
      </c>
    </row>
    <row r="492" customFormat="false" ht="15" hidden="false" customHeight="false" outlineLevel="0" collapsed="false">
      <c r="A492" s="10" t="s">
        <v>59</v>
      </c>
      <c r="B492" s="10" t="s">
        <v>302</v>
      </c>
      <c r="C492" s="10" t="s">
        <v>279</v>
      </c>
      <c r="D492" s="10" t="s">
        <v>258</v>
      </c>
      <c r="E492" s="10"/>
      <c r="F492" s="10"/>
      <c r="G492" s="10" t="s">
        <v>303</v>
      </c>
      <c r="H492" s="10" t="s">
        <v>304</v>
      </c>
      <c r="I492" s="10" t="n">
        <f aca="false">COUNTA(instrument_bron!K$2:K$2000)</f>
        <v>77</v>
      </c>
      <c r="J492" s="10" t="n">
        <f aca="false">IF(D492="ja",COUNTA(instrument_bron!$A$2:$A$2000)-I492,"")</f>
        <v>0</v>
      </c>
    </row>
    <row r="493" customFormat="false" ht="15" hidden="false" customHeight="false" outlineLevel="0" collapsed="false">
      <c r="A493" s="10" t="s">
        <v>59</v>
      </c>
      <c r="B493" s="10" t="s">
        <v>305</v>
      </c>
      <c r="C493" s="10" t="s">
        <v>286</v>
      </c>
      <c r="D493" s="10" t="s">
        <v>258</v>
      </c>
      <c r="E493" s="10"/>
      <c r="F493" s="10"/>
      <c r="G493" s="10"/>
      <c r="H493" s="10" t="s">
        <v>306</v>
      </c>
      <c r="I493" s="10" t="n">
        <f aca="false">COUNTA(instrument_bron!L$2:L$2000)</f>
        <v>77</v>
      </c>
      <c r="J493" s="10" t="n">
        <f aca="false">IF(D493="ja",COUNTA(instrument_bron!$A$2:$A$2000)-I493,"")</f>
        <v>0</v>
      </c>
    </row>
    <row r="494" customFormat="false" ht="15" hidden="false" customHeight="false" outlineLevel="0" collapsed="false">
      <c r="A494" s="10" t="s">
        <v>59</v>
      </c>
      <c r="B494" s="10" t="s">
        <v>307</v>
      </c>
      <c r="C494" s="10" t="s">
        <v>308</v>
      </c>
      <c r="D494" s="10" t="s">
        <v>272</v>
      </c>
      <c r="E494" s="10"/>
      <c r="F494" s="10"/>
      <c r="G494" s="10"/>
      <c r="H494" s="10" t="s">
        <v>309</v>
      </c>
      <c r="I494" s="10" t="n">
        <f aca="false">COUNTA(instrument_bron!M$2:M$2000)</f>
        <v>0</v>
      </c>
      <c r="J494" s="10" t="str">
        <f aca="false">IF(D494="ja",COUNTA(instrument_bron!$A$2:$A$2000)-I494,"")</f>
        <v/>
      </c>
    </row>
    <row r="495" customFormat="false" ht="15" hidden="false" customHeight="false" outlineLevel="0" collapsed="false">
      <c r="A495" s="10" t="s">
        <v>59</v>
      </c>
      <c r="B495" s="10" t="s">
        <v>310</v>
      </c>
      <c r="C495" s="10" t="s">
        <v>308</v>
      </c>
      <c r="D495" s="10" t="s">
        <v>272</v>
      </c>
      <c r="E495" s="10"/>
      <c r="F495" s="10"/>
      <c r="G495" s="10"/>
      <c r="H495" s="10" t="s">
        <v>311</v>
      </c>
      <c r="I495" s="10" t="n">
        <f aca="false">COUNTA(instrument_bron!N$2:N$2000)</f>
        <v>0</v>
      </c>
      <c r="J495" s="10" t="str">
        <f aca="false">IF(D495="ja",COUNTA(instrument_bron!$A$2:$A$2000)-I495,"")</f>
        <v/>
      </c>
    </row>
    <row r="496" customFormat="false" ht="15" hidden="false" customHeight="false" outlineLevel="0" collapsed="false">
      <c r="A496" s="10" t="s">
        <v>59</v>
      </c>
      <c r="B496" s="10" t="s">
        <v>312</v>
      </c>
      <c r="C496" s="10" t="s">
        <v>271</v>
      </c>
      <c r="D496" s="10" t="s">
        <v>272</v>
      </c>
      <c r="E496" s="10"/>
      <c r="F496" s="10"/>
      <c r="G496" s="10"/>
      <c r="H496" s="10" t="s">
        <v>313</v>
      </c>
      <c r="I496" s="10" t="n">
        <f aca="false">COUNTA(instrument_bron!O$2:O$2000)</f>
        <v>77</v>
      </c>
      <c r="J496" s="10" t="str">
        <f aca="false">IF(D496="ja",COUNTA(instrument_bron!$A$2:$A$2000)-I496,"")</f>
        <v/>
      </c>
    </row>
    <row r="497" customFormat="false" ht="15" hidden="false" customHeight="false" outlineLevel="0" collapsed="false">
      <c r="A497" s="9" t="s">
        <v>60</v>
      </c>
      <c r="B497" s="9" t="s">
        <v>556</v>
      </c>
      <c r="C497" s="9" t="s">
        <v>257</v>
      </c>
      <c r="D497" s="9" t="s">
        <v>258</v>
      </c>
      <c r="E497" s="9" t="s">
        <v>259</v>
      </c>
      <c r="F497" s="9"/>
      <c r="G497" s="9"/>
      <c r="H497" s="9"/>
      <c r="I497" s="9" t="n">
        <f aca="false">COUNTA(instrument_rol!A$2:A$2000)</f>
        <v>183</v>
      </c>
      <c r="J497" s="9" t="n">
        <f aca="false">IF(D497="ja",COUNTA(instrument_rol!$A$2:$A$2000)-I497,"")</f>
        <v>0</v>
      </c>
    </row>
    <row r="498" customFormat="false" ht="15" hidden="false" customHeight="false" outlineLevel="0" collapsed="false">
      <c r="A498" s="9" t="s">
        <v>60</v>
      </c>
      <c r="B498" s="9" t="s">
        <v>469</v>
      </c>
      <c r="C498" s="9" t="s">
        <v>323</v>
      </c>
      <c r="D498" s="9" t="s">
        <v>258</v>
      </c>
      <c r="E498" s="9" t="s">
        <v>324</v>
      </c>
      <c r="F498" s="9" t="s">
        <v>443</v>
      </c>
      <c r="G498" s="9"/>
      <c r="H498" s="9"/>
      <c r="I498" s="9" t="n">
        <f aca="false">COUNTA(instrument_rol!B$2:B$2000)</f>
        <v>183</v>
      </c>
      <c r="J498" s="9" t="n">
        <f aca="false">IF(D498="ja",COUNTA(instrument_rol!$A$2:$A$2000)-I498,"")</f>
        <v>0</v>
      </c>
    </row>
    <row r="499" customFormat="false" ht="15" hidden="false" customHeight="false" outlineLevel="0" collapsed="false">
      <c r="A499" s="9" t="s">
        <v>60</v>
      </c>
      <c r="B499" s="9" t="s">
        <v>386</v>
      </c>
      <c r="C499" s="9" t="s">
        <v>323</v>
      </c>
      <c r="D499" s="9" t="s">
        <v>258</v>
      </c>
      <c r="E499" s="9" t="s">
        <v>324</v>
      </c>
      <c r="F499" s="9" t="s">
        <v>407</v>
      </c>
      <c r="G499" s="9"/>
      <c r="H499" s="9"/>
      <c r="I499" s="9" t="n">
        <f aca="false">COUNTA(instrument_rol!C$2:C$2000)</f>
        <v>183</v>
      </c>
      <c r="J499" s="9" t="n">
        <f aca="false">IF(D499="ja",COUNTA(instrument_rol!$A$2:$A$2000)-I499,"")</f>
        <v>0</v>
      </c>
    </row>
    <row r="500" customFormat="false" ht="15" hidden="false" customHeight="false" outlineLevel="0" collapsed="false">
      <c r="A500" s="9" t="s">
        <v>60</v>
      </c>
      <c r="B500" s="9" t="s">
        <v>557</v>
      </c>
      <c r="C500" s="9" t="s">
        <v>262</v>
      </c>
      <c r="D500" s="9" t="s">
        <v>258</v>
      </c>
      <c r="E500" s="9"/>
      <c r="F500" s="9"/>
      <c r="G500" s="9" t="s">
        <v>433</v>
      </c>
      <c r="H500" s="9"/>
      <c r="I500" s="9" t="n">
        <f aca="false">COUNTA(instrument_rol!D$2:D$2000)</f>
        <v>183</v>
      </c>
      <c r="J500" s="9" t="n">
        <f aca="false">IF(D500="ja",COUNTA(instrument_rol!$A$2:$A$2000)-I500,"")</f>
        <v>0</v>
      </c>
    </row>
    <row r="501" customFormat="false" ht="23.85" hidden="false" customHeight="false" outlineLevel="0" collapsed="false">
      <c r="A501" s="9" t="s">
        <v>60</v>
      </c>
      <c r="B501" s="9" t="s">
        <v>558</v>
      </c>
      <c r="C501" s="9" t="s">
        <v>453</v>
      </c>
      <c r="D501" s="9" t="s">
        <v>272</v>
      </c>
      <c r="E501" s="9"/>
      <c r="F501" s="9"/>
      <c r="G501" s="9" t="s">
        <v>559</v>
      </c>
      <c r="H501" s="9"/>
      <c r="I501" s="9" t="n">
        <f aca="false">COUNTA(instrument_rol!E$2:E$2000)</f>
        <v>183</v>
      </c>
      <c r="J501" s="9" t="str">
        <f aca="false">IF(D501="ja",COUNTA(instrument_rol!$A$2:$A$2000)-I501,"")</f>
        <v/>
      </c>
    </row>
    <row r="502" customFormat="false" ht="15" hidden="false" customHeight="false" outlineLevel="0" collapsed="false">
      <c r="A502" s="9" t="s">
        <v>60</v>
      </c>
      <c r="B502" s="9" t="s">
        <v>410</v>
      </c>
      <c r="C502" s="9" t="s">
        <v>271</v>
      </c>
      <c r="D502" s="9" t="s">
        <v>272</v>
      </c>
      <c r="E502" s="9"/>
      <c r="F502" s="9"/>
      <c r="G502" s="9"/>
      <c r="H502" s="9"/>
      <c r="I502" s="9" t="n">
        <f aca="false">COUNTA(instrument_rol!F$2:F$2000)</f>
        <v>0</v>
      </c>
      <c r="J502" s="9" t="str">
        <f aca="false">IF(D502="ja",COUNTA(instrument_rol!$A$2:$A$2000)-I502,"")</f>
        <v/>
      </c>
    </row>
    <row r="503" customFormat="false" ht="15" hidden="false" customHeight="false" outlineLevel="0" collapsed="false">
      <c r="A503" s="9" t="s">
        <v>60</v>
      </c>
      <c r="B503" s="9" t="s">
        <v>554</v>
      </c>
      <c r="C503" s="9" t="s">
        <v>289</v>
      </c>
      <c r="D503" s="9" t="s">
        <v>258</v>
      </c>
      <c r="E503" s="9"/>
      <c r="F503" s="9"/>
      <c r="G503" s="9" t="s">
        <v>290</v>
      </c>
      <c r="H503" s="9"/>
      <c r="I503" s="9" t="n">
        <f aca="false">COUNTA(instrument_rol!G$2:G$2000)</f>
        <v>183</v>
      </c>
      <c r="J503" s="9" t="n">
        <f aca="false">IF(D503="ja",COUNTA(instrument_rol!$A$2:$A$2000)-I503,"")</f>
        <v>0</v>
      </c>
    </row>
    <row r="504" customFormat="false" ht="15" hidden="false" customHeight="false" outlineLevel="0" collapsed="false">
      <c r="A504" s="10" t="s">
        <v>60</v>
      </c>
      <c r="B504" s="10" t="s">
        <v>292</v>
      </c>
      <c r="C504" s="10" t="s">
        <v>293</v>
      </c>
      <c r="D504" s="10" t="s">
        <v>258</v>
      </c>
      <c r="E504" s="10"/>
      <c r="F504" s="10"/>
      <c r="G504" s="10"/>
      <c r="H504" s="10" t="s">
        <v>294</v>
      </c>
      <c r="I504" s="10" t="n">
        <f aca="false">COUNTA(instrument_rol!H$2:H$2000)</f>
        <v>183</v>
      </c>
      <c r="J504" s="10" t="n">
        <f aca="false">IF(D504="ja",COUNTA(instrument_rol!$A$2:$A$2000)-I504,"")</f>
        <v>0</v>
      </c>
    </row>
    <row r="505" customFormat="false" ht="15" hidden="false" customHeight="false" outlineLevel="0" collapsed="false">
      <c r="A505" s="10" t="s">
        <v>60</v>
      </c>
      <c r="B505" s="10" t="s">
        <v>295</v>
      </c>
      <c r="C505" s="10" t="s">
        <v>296</v>
      </c>
      <c r="D505" s="10" t="s">
        <v>258</v>
      </c>
      <c r="E505" s="10"/>
      <c r="F505" s="10"/>
      <c r="G505" s="10"/>
      <c r="H505" s="10" t="s">
        <v>297</v>
      </c>
      <c r="I505" s="10" t="n">
        <f aca="false">COUNTA(instrument_rol!I$2:I$2000)</f>
        <v>183</v>
      </c>
      <c r="J505" s="10" t="n">
        <f aca="false">IF(D505="ja",COUNTA(instrument_rol!$A$2:$A$2000)-I505,"")</f>
        <v>0</v>
      </c>
    </row>
    <row r="506" customFormat="false" ht="15" hidden="false" customHeight="false" outlineLevel="0" collapsed="false">
      <c r="A506" s="10" t="s">
        <v>60</v>
      </c>
      <c r="B506" s="10" t="s">
        <v>298</v>
      </c>
      <c r="C506" s="10" t="s">
        <v>293</v>
      </c>
      <c r="D506" s="10" t="s">
        <v>258</v>
      </c>
      <c r="E506" s="10"/>
      <c r="F506" s="10"/>
      <c r="G506" s="10"/>
      <c r="H506" s="10" t="s">
        <v>299</v>
      </c>
      <c r="I506" s="10" t="n">
        <f aca="false">COUNTA(instrument_rol!J$2:J$2000)</f>
        <v>183</v>
      </c>
      <c r="J506" s="10" t="n">
        <f aca="false">IF(D506="ja",COUNTA(instrument_rol!$A$2:$A$2000)-I506,"")</f>
        <v>0</v>
      </c>
    </row>
    <row r="507" customFormat="false" ht="15" hidden="false" customHeight="false" outlineLevel="0" collapsed="false">
      <c r="A507" s="10" t="s">
        <v>60</v>
      </c>
      <c r="B507" s="10" t="s">
        <v>300</v>
      </c>
      <c r="C507" s="10" t="s">
        <v>296</v>
      </c>
      <c r="D507" s="10" t="s">
        <v>258</v>
      </c>
      <c r="E507" s="10"/>
      <c r="F507" s="10"/>
      <c r="G507" s="10"/>
      <c r="H507" s="10" t="s">
        <v>301</v>
      </c>
      <c r="I507" s="10" t="n">
        <f aca="false">COUNTA(instrument_rol!K$2:K$2000)</f>
        <v>183</v>
      </c>
      <c r="J507" s="10" t="n">
        <f aca="false">IF(D507="ja",COUNTA(instrument_rol!$A$2:$A$2000)-I507,"")</f>
        <v>0</v>
      </c>
    </row>
    <row r="508" customFormat="false" ht="15" hidden="false" customHeight="false" outlineLevel="0" collapsed="false">
      <c r="A508" s="10" t="s">
        <v>60</v>
      </c>
      <c r="B508" s="10" t="s">
        <v>302</v>
      </c>
      <c r="C508" s="10" t="s">
        <v>279</v>
      </c>
      <c r="D508" s="10" t="s">
        <v>258</v>
      </c>
      <c r="E508" s="10"/>
      <c r="F508" s="10"/>
      <c r="G508" s="10" t="s">
        <v>303</v>
      </c>
      <c r="H508" s="10" t="s">
        <v>304</v>
      </c>
      <c r="I508" s="10" t="n">
        <f aca="false">COUNTA(instrument_rol!L$2:L$2000)</f>
        <v>183</v>
      </c>
      <c r="J508" s="10" t="n">
        <f aca="false">IF(D508="ja",COUNTA(instrument_rol!$A$2:$A$2000)-I508,"")</f>
        <v>0</v>
      </c>
    </row>
    <row r="509" customFormat="false" ht="15" hidden="false" customHeight="false" outlineLevel="0" collapsed="false">
      <c r="A509" s="10" t="s">
        <v>60</v>
      </c>
      <c r="B509" s="10" t="s">
        <v>305</v>
      </c>
      <c r="C509" s="10" t="s">
        <v>286</v>
      </c>
      <c r="D509" s="10" t="s">
        <v>258</v>
      </c>
      <c r="E509" s="10"/>
      <c r="F509" s="10"/>
      <c r="G509" s="10"/>
      <c r="H509" s="10" t="s">
        <v>306</v>
      </c>
      <c r="I509" s="10" t="n">
        <f aca="false">COUNTA(instrument_rol!M$2:M$2000)</f>
        <v>183</v>
      </c>
      <c r="J509" s="10" t="n">
        <f aca="false">IF(D509="ja",COUNTA(instrument_rol!$A$2:$A$2000)-I509,"")</f>
        <v>0</v>
      </c>
    </row>
    <row r="510" customFormat="false" ht="15" hidden="false" customHeight="false" outlineLevel="0" collapsed="false">
      <c r="A510" s="10" t="s">
        <v>60</v>
      </c>
      <c r="B510" s="10" t="s">
        <v>307</v>
      </c>
      <c r="C510" s="10" t="s">
        <v>308</v>
      </c>
      <c r="D510" s="10" t="s">
        <v>272</v>
      </c>
      <c r="E510" s="10"/>
      <c r="F510" s="10"/>
      <c r="G510" s="10"/>
      <c r="H510" s="10" t="s">
        <v>309</v>
      </c>
      <c r="I510" s="10" t="n">
        <f aca="false">COUNTA(instrument_rol!N$2:N$2000)</f>
        <v>0</v>
      </c>
      <c r="J510" s="10" t="str">
        <f aca="false">IF(D510="ja",COUNTA(instrument_rol!$A$2:$A$2000)-I510,"")</f>
        <v/>
      </c>
    </row>
    <row r="511" customFormat="false" ht="15" hidden="false" customHeight="false" outlineLevel="0" collapsed="false">
      <c r="A511" s="10" t="s">
        <v>60</v>
      </c>
      <c r="B511" s="10" t="s">
        <v>310</v>
      </c>
      <c r="C511" s="10" t="s">
        <v>308</v>
      </c>
      <c r="D511" s="10" t="s">
        <v>272</v>
      </c>
      <c r="E511" s="10"/>
      <c r="F511" s="10"/>
      <c r="G511" s="10"/>
      <c r="H511" s="10" t="s">
        <v>311</v>
      </c>
      <c r="I511" s="10" t="n">
        <f aca="false">COUNTA(instrument_rol!O$2:O$2000)</f>
        <v>0</v>
      </c>
      <c r="J511" s="10" t="str">
        <f aca="false">IF(D511="ja",COUNTA(instrument_rol!$A$2:$A$2000)-I511,"")</f>
        <v/>
      </c>
    </row>
    <row r="512" customFormat="false" ht="15" hidden="false" customHeight="false" outlineLevel="0" collapsed="false">
      <c r="A512" s="10" t="s">
        <v>60</v>
      </c>
      <c r="B512" s="10" t="s">
        <v>312</v>
      </c>
      <c r="C512" s="10" t="s">
        <v>271</v>
      </c>
      <c r="D512" s="10" t="s">
        <v>272</v>
      </c>
      <c r="E512" s="10"/>
      <c r="F512" s="10"/>
      <c r="G512" s="10"/>
      <c r="H512" s="10" t="s">
        <v>313</v>
      </c>
      <c r="I512" s="10" t="n">
        <f aca="false">COUNTA(instrument_rol!P$2:P$2000)</f>
        <v>183</v>
      </c>
      <c r="J512" s="10" t="str">
        <f aca="false">IF(D512="ja",COUNTA(instrument_rol!$A$2:$A$2000)-I512,"")</f>
        <v/>
      </c>
    </row>
    <row r="513" customFormat="false" ht="15" hidden="false" customHeight="false" outlineLevel="0" collapsed="false">
      <c r="A513" s="9" t="s">
        <v>61</v>
      </c>
      <c r="B513" s="9" t="s">
        <v>560</v>
      </c>
      <c r="C513" s="9" t="s">
        <v>257</v>
      </c>
      <c r="D513" s="9" t="s">
        <v>258</v>
      </c>
      <c r="E513" s="9" t="s">
        <v>259</v>
      </c>
      <c r="F513" s="9"/>
      <c r="G513" s="9"/>
      <c r="H513" s="9"/>
      <c r="I513" s="9" t="n">
        <f aca="false">COUNTA(instrument_procesfase!A$2:A$2000)</f>
        <v>79</v>
      </c>
      <c r="J513" s="9" t="n">
        <f aca="false">IF(D513="ja",COUNTA(instrument_procesfase!$A$2:$A$2000)-I513,"")</f>
        <v>0</v>
      </c>
    </row>
    <row r="514" customFormat="false" ht="15" hidden="false" customHeight="false" outlineLevel="0" collapsed="false">
      <c r="A514" s="9" t="s">
        <v>61</v>
      </c>
      <c r="B514" s="9" t="s">
        <v>469</v>
      </c>
      <c r="C514" s="9" t="s">
        <v>323</v>
      </c>
      <c r="D514" s="9" t="s">
        <v>258</v>
      </c>
      <c r="E514" s="9" t="s">
        <v>324</v>
      </c>
      <c r="F514" s="9" t="s">
        <v>443</v>
      </c>
      <c r="G514" s="9"/>
      <c r="H514" s="9"/>
      <c r="I514" s="9" t="n">
        <f aca="false">COUNTA(instrument_procesfase!B$2:B$2000)</f>
        <v>79</v>
      </c>
      <c r="J514" s="9" t="n">
        <f aca="false">IF(D514="ja",COUNTA(instrument_procesfase!$A$2:$A$2000)-I514,"")</f>
        <v>0</v>
      </c>
    </row>
    <row r="515" customFormat="false" ht="15" hidden="false" customHeight="false" outlineLevel="0" collapsed="false">
      <c r="A515" s="9" t="s">
        <v>61</v>
      </c>
      <c r="B515" s="9" t="s">
        <v>322</v>
      </c>
      <c r="C515" s="9" t="s">
        <v>323</v>
      </c>
      <c r="D515" s="9" t="s">
        <v>258</v>
      </c>
      <c r="E515" s="9" t="s">
        <v>324</v>
      </c>
      <c r="F515" s="9" t="s">
        <v>347</v>
      </c>
      <c r="G515" s="9"/>
      <c r="H515" s="9"/>
      <c r="I515" s="9" t="n">
        <f aca="false">COUNTA(instrument_procesfase!C$2:C$2000)</f>
        <v>79</v>
      </c>
      <c r="J515" s="9" t="n">
        <f aca="false">IF(D515="ja",COUNTA(instrument_procesfase!$A$2:$A$2000)-I515,"")</f>
        <v>0</v>
      </c>
    </row>
    <row r="516" customFormat="false" ht="15" hidden="false" customHeight="false" outlineLevel="0" collapsed="false">
      <c r="A516" s="9" t="s">
        <v>61</v>
      </c>
      <c r="B516" s="9" t="s">
        <v>557</v>
      </c>
      <c r="C516" s="9" t="s">
        <v>262</v>
      </c>
      <c r="D516" s="9" t="s">
        <v>258</v>
      </c>
      <c r="E516" s="9"/>
      <c r="F516" s="9"/>
      <c r="G516" s="9" t="s">
        <v>433</v>
      </c>
      <c r="H516" s="9"/>
      <c r="I516" s="9" t="n">
        <f aca="false">COUNTA(instrument_procesfase!D$2:D$2000)</f>
        <v>79</v>
      </c>
      <c r="J516" s="9" t="n">
        <f aca="false">IF(D516="ja",COUNTA(instrument_procesfase!$A$2:$A$2000)-I516,"")</f>
        <v>0</v>
      </c>
    </row>
    <row r="517" customFormat="false" ht="15" hidden="false" customHeight="false" outlineLevel="0" collapsed="false">
      <c r="A517" s="9" t="s">
        <v>61</v>
      </c>
      <c r="B517" s="9" t="s">
        <v>561</v>
      </c>
      <c r="C517" s="9" t="s">
        <v>271</v>
      </c>
      <c r="D517" s="9" t="s">
        <v>272</v>
      </c>
      <c r="E517" s="9"/>
      <c r="F517" s="9"/>
      <c r="G517" s="9"/>
      <c r="H517" s="9"/>
      <c r="I517" s="9" t="n">
        <f aca="false">COUNTA(instrument_procesfase!E$2:E$2000)</f>
        <v>0</v>
      </c>
      <c r="J517" s="9" t="str">
        <f aca="false">IF(D517="ja",COUNTA(instrument_procesfase!$A$2:$A$2000)-I517,"")</f>
        <v/>
      </c>
    </row>
    <row r="518" customFormat="false" ht="15" hidden="false" customHeight="false" outlineLevel="0" collapsed="false">
      <c r="A518" s="9" t="s">
        <v>61</v>
      </c>
      <c r="B518" s="9" t="s">
        <v>554</v>
      </c>
      <c r="C518" s="9" t="s">
        <v>289</v>
      </c>
      <c r="D518" s="9" t="s">
        <v>258</v>
      </c>
      <c r="E518" s="9"/>
      <c r="F518" s="9"/>
      <c r="G518" s="9" t="s">
        <v>290</v>
      </c>
      <c r="H518" s="9"/>
      <c r="I518" s="9" t="n">
        <f aca="false">COUNTA(instrument_procesfase!F$2:F$2000)</f>
        <v>79</v>
      </c>
      <c r="J518" s="9" t="n">
        <f aca="false">IF(D518="ja",COUNTA(instrument_procesfase!$A$2:$A$2000)-I518,"")</f>
        <v>0</v>
      </c>
    </row>
    <row r="519" customFormat="false" ht="15" hidden="false" customHeight="false" outlineLevel="0" collapsed="false">
      <c r="A519" s="10" t="s">
        <v>61</v>
      </c>
      <c r="B519" s="10" t="s">
        <v>292</v>
      </c>
      <c r="C519" s="10" t="s">
        <v>293</v>
      </c>
      <c r="D519" s="10" t="s">
        <v>258</v>
      </c>
      <c r="E519" s="10"/>
      <c r="F519" s="10"/>
      <c r="G519" s="10"/>
      <c r="H519" s="10" t="s">
        <v>294</v>
      </c>
      <c r="I519" s="10" t="n">
        <f aca="false">COUNTA(instrument_procesfase!G$2:G$2000)</f>
        <v>79</v>
      </c>
      <c r="J519" s="10" t="n">
        <f aca="false">IF(D519="ja",COUNTA(instrument_procesfase!$A$2:$A$2000)-I519,"")</f>
        <v>0</v>
      </c>
    </row>
    <row r="520" customFormat="false" ht="15" hidden="false" customHeight="false" outlineLevel="0" collapsed="false">
      <c r="A520" s="10" t="s">
        <v>61</v>
      </c>
      <c r="B520" s="10" t="s">
        <v>295</v>
      </c>
      <c r="C520" s="10" t="s">
        <v>296</v>
      </c>
      <c r="D520" s="10" t="s">
        <v>258</v>
      </c>
      <c r="E520" s="10"/>
      <c r="F520" s="10"/>
      <c r="G520" s="10"/>
      <c r="H520" s="10" t="s">
        <v>297</v>
      </c>
      <c r="I520" s="10" t="n">
        <f aca="false">COUNTA(instrument_procesfase!H$2:H$2000)</f>
        <v>79</v>
      </c>
      <c r="J520" s="10" t="n">
        <f aca="false">IF(D520="ja",COUNTA(instrument_procesfase!$A$2:$A$2000)-I520,"")</f>
        <v>0</v>
      </c>
    </row>
    <row r="521" customFormat="false" ht="15" hidden="false" customHeight="false" outlineLevel="0" collapsed="false">
      <c r="A521" s="10" t="s">
        <v>61</v>
      </c>
      <c r="B521" s="10" t="s">
        <v>298</v>
      </c>
      <c r="C521" s="10" t="s">
        <v>293</v>
      </c>
      <c r="D521" s="10" t="s">
        <v>258</v>
      </c>
      <c r="E521" s="10"/>
      <c r="F521" s="10"/>
      <c r="G521" s="10"/>
      <c r="H521" s="10" t="s">
        <v>299</v>
      </c>
      <c r="I521" s="10" t="n">
        <f aca="false">COUNTA(instrument_procesfase!I$2:I$2000)</f>
        <v>79</v>
      </c>
      <c r="J521" s="10" t="n">
        <f aca="false">IF(D521="ja",COUNTA(instrument_procesfase!$A$2:$A$2000)-I521,"")</f>
        <v>0</v>
      </c>
    </row>
    <row r="522" customFormat="false" ht="15" hidden="false" customHeight="false" outlineLevel="0" collapsed="false">
      <c r="A522" s="10" t="s">
        <v>61</v>
      </c>
      <c r="B522" s="10" t="s">
        <v>300</v>
      </c>
      <c r="C522" s="10" t="s">
        <v>296</v>
      </c>
      <c r="D522" s="10" t="s">
        <v>258</v>
      </c>
      <c r="E522" s="10"/>
      <c r="F522" s="10"/>
      <c r="G522" s="10"/>
      <c r="H522" s="10" t="s">
        <v>301</v>
      </c>
      <c r="I522" s="10" t="n">
        <f aca="false">COUNTA(instrument_procesfase!J$2:J$2000)</f>
        <v>79</v>
      </c>
      <c r="J522" s="10" t="n">
        <f aca="false">IF(D522="ja",COUNTA(instrument_procesfase!$A$2:$A$2000)-I522,"")</f>
        <v>0</v>
      </c>
    </row>
    <row r="523" customFormat="false" ht="15" hidden="false" customHeight="false" outlineLevel="0" collapsed="false">
      <c r="A523" s="10" t="s">
        <v>61</v>
      </c>
      <c r="B523" s="10" t="s">
        <v>302</v>
      </c>
      <c r="C523" s="10" t="s">
        <v>279</v>
      </c>
      <c r="D523" s="10" t="s">
        <v>258</v>
      </c>
      <c r="E523" s="10"/>
      <c r="F523" s="10"/>
      <c r="G523" s="10" t="s">
        <v>303</v>
      </c>
      <c r="H523" s="10" t="s">
        <v>304</v>
      </c>
      <c r="I523" s="10" t="n">
        <f aca="false">COUNTA(instrument_procesfase!K$2:K$2000)</f>
        <v>79</v>
      </c>
      <c r="J523" s="10" t="n">
        <f aca="false">IF(D523="ja",COUNTA(instrument_procesfase!$A$2:$A$2000)-I523,"")</f>
        <v>0</v>
      </c>
    </row>
    <row r="524" customFormat="false" ht="15" hidden="false" customHeight="false" outlineLevel="0" collapsed="false">
      <c r="A524" s="10" t="s">
        <v>61</v>
      </c>
      <c r="B524" s="10" t="s">
        <v>305</v>
      </c>
      <c r="C524" s="10" t="s">
        <v>286</v>
      </c>
      <c r="D524" s="10" t="s">
        <v>258</v>
      </c>
      <c r="E524" s="10"/>
      <c r="F524" s="10"/>
      <c r="G524" s="10"/>
      <c r="H524" s="10" t="s">
        <v>306</v>
      </c>
      <c r="I524" s="10" t="n">
        <f aca="false">COUNTA(instrument_procesfase!L$2:L$2000)</f>
        <v>79</v>
      </c>
      <c r="J524" s="10" t="n">
        <f aca="false">IF(D524="ja",COUNTA(instrument_procesfase!$A$2:$A$2000)-I524,"")</f>
        <v>0</v>
      </c>
    </row>
    <row r="525" customFormat="false" ht="15" hidden="false" customHeight="false" outlineLevel="0" collapsed="false">
      <c r="A525" s="10" t="s">
        <v>61</v>
      </c>
      <c r="B525" s="10" t="s">
        <v>307</v>
      </c>
      <c r="C525" s="10" t="s">
        <v>308</v>
      </c>
      <c r="D525" s="10" t="s">
        <v>272</v>
      </c>
      <c r="E525" s="10"/>
      <c r="F525" s="10"/>
      <c r="G525" s="10"/>
      <c r="H525" s="10" t="s">
        <v>309</v>
      </c>
      <c r="I525" s="10" t="n">
        <f aca="false">COUNTA(instrument_procesfase!M$2:M$2000)</f>
        <v>0</v>
      </c>
      <c r="J525" s="10" t="str">
        <f aca="false">IF(D525="ja",COUNTA(instrument_procesfase!$A$2:$A$2000)-I525,"")</f>
        <v/>
      </c>
    </row>
    <row r="526" customFormat="false" ht="15" hidden="false" customHeight="false" outlineLevel="0" collapsed="false">
      <c r="A526" s="10" t="s">
        <v>61</v>
      </c>
      <c r="B526" s="10" t="s">
        <v>310</v>
      </c>
      <c r="C526" s="10" t="s">
        <v>308</v>
      </c>
      <c r="D526" s="10" t="s">
        <v>272</v>
      </c>
      <c r="E526" s="10"/>
      <c r="F526" s="10"/>
      <c r="G526" s="10"/>
      <c r="H526" s="10" t="s">
        <v>311</v>
      </c>
      <c r="I526" s="10" t="n">
        <f aca="false">COUNTA(instrument_procesfase!N$2:N$2000)</f>
        <v>0</v>
      </c>
      <c r="J526" s="10" t="str">
        <f aca="false">IF(D526="ja",COUNTA(instrument_procesfase!$A$2:$A$2000)-I526,"")</f>
        <v/>
      </c>
    </row>
    <row r="527" customFormat="false" ht="15" hidden="false" customHeight="false" outlineLevel="0" collapsed="false">
      <c r="A527" s="10" t="s">
        <v>61</v>
      </c>
      <c r="B527" s="10" t="s">
        <v>312</v>
      </c>
      <c r="C527" s="10" t="s">
        <v>271</v>
      </c>
      <c r="D527" s="10" t="s">
        <v>272</v>
      </c>
      <c r="E527" s="10"/>
      <c r="F527" s="10"/>
      <c r="G527" s="10"/>
      <c r="H527" s="10" t="s">
        <v>313</v>
      </c>
      <c r="I527" s="10" t="n">
        <f aca="false">COUNTA(instrument_procesfase!O$2:O$2000)</f>
        <v>79</v>
      </c>
      <c r="J527" s="10" t="str">
        <f aca="false">IF(D527="ja",COUNTA(instrument_procesfase!$A$2:$A$2000)-I527,"")</f>
        <v/>
      </c>
    </row>
    <row r="528" customFormat="false" ht="15" hidden="false" customHeight="false" outlineLevel="0" collapsed="false">
      <c r="A528" s="9" t="s">
        <v>62</v>
      </c>
      <c r="B528" s="9" t="s">
        <v>562</v>
      </c>
      <c r="C528" s="9" t="s">
        <v>257</v>
      </c>
      <c r="D528" s="9" t="s">
        <v>258</v>
      </c>
      <c r="E528" s="9" t="s">
        <v>259</v>
      </c>
      <c r="F528" s="9"/>
      <c r="G528" s="9"/>
      <c r="H528" s="9"/>
      <c r="I528" s="9" t="n">
        <f aca="false">COUNTA(instrument_beslismoment!A$2:A$2000)</f>
        <v>79</v>
      </c>
      <c r="J528" s="9" t="n">
        <f aca="false">IF(D528="ja",COUNTA(instrument_beslismoment!$A$2:$A$2000)-I528,"")</f>
        <v>0</v>
      </c>
    </row>
    <row r="529" customFormat="false" ht="15" hidden="false" customHeight="false" outlineLevel="0" collapsed="false">
      <c r="A529" s="9" t="s">
        <v>62</v>
      </c>
      <c r="B529" s="9" t="s">
        <v>469</v>
      </c>
      <c r="C529" s="9" t="s">
        <v>323</v>
      </c>
      <c r="D529" s="9" t="s">
        <v>258</v>
      </c>
      <c r="E529" s="9" t="s">
        <v>324</v>
      </c>
      <c r="F529" s="9" t="s">
        <v>443</v>
      </c>
      <c r="G529" s="9"/>
      <c r="H529" s="9"/>
      <c r="I529" s="9" t="n">
        <f aca="false">COUNTA(instrument_beslismoment!B$2:B$2000)</f>
        <v>79</v>
      </c>
      <c r="J529" s="9" t="n">
        <f aca="false">IF(D529="ja",COUNTA(instrument_beslismoment!$A$2:$A$2000)-I529,"")</f>
        <v>0</v>
      </c>
    </row>
    <row r="530" customFormat="false" ht="23.85" hidden="false" customHeight="false" outlineLevel="0" collapsed="false">
      <c r="A530" s="9" t="s">
        <v>62</v>
      </c>
      <c r="B530" s="9" t="s">
        <v>353</v>
      </c>
      <c r="C530" s="9" t="s">
        <v>323</v>
      </c>
      <c r="D530" s="9" t="s">
        <v>258</v>
      </c>
      <c r="E530" s="9" t="s">
        <v>324</v>
      </c>
      <c r="F530" s="9" t="s">
        <v>460</v>
      </c>
      <c r="G530" s="9"/>
      <c r="H530" s="9"/>
      <c r="I530" s="9" t="n">
        <f aca="false">COUNTA(instrument_beslismoment!C$2:C$2000)</f>
        <v>79</v>
      </c>
      <c r="J530" s="9" t="n">
        <f aca="false">IF(D530="ja",COUNTA(instrument_beslismoment!$A$2:$A$2000)-I530,"")</f>
        <v>0</v>
      </c>
    </row>
    <row r="531" customFormat="false" ht="46.25" hidden="false" customHeight="false" outlineLevel="0" collapsed="false">
      <c r="A531" s="9" t="s">
        <v>62</v>
      </c>
      <c r="B531" s="9" t="s">
        <v>563</v>
      </c>
      <c r="C531" s="9" t="s">
        <v>453</v>
      </c>
      <c r="D531" s="9" t="s">
        <v>258</v>
      </c>
      <c r="E531" s="9"/>
      <c r="F531" s="9"/>
      <c r="G531" s="9" t="s">
        <v>564</v>
      </c>
      <c r="H531" s="9"/>
      <c r="I531" s="9" t="n">
        <f aca="false">COUNTA(instrument_beslismoment!D$2:D$2000)</f>
        <v>79</v>
      </c>
      <c r="J531" s="9" t="n">
        <f aca="false">IF(D531="ja",COUNTA(instrument_beslismoment!$A$2:$A$2000)-I531,"")</f>
        <v>0</v>
      </c>
    </row>
    <row r="532" customFormat="false" ht="15" hidden="false" customHeight="false" outlineLevel="0" collapsed="false">
      <c r="A532" s="9" t="s">
        <v>62</v>
      </c>
      <c r="B532" s="9" t="s">
        <v>557</v>
      </c>
      <c r="C532" s="9" t="s">
        <v>262</v>
      </c>
      <c r="D532" s="9" t="s">
        <v>258</v>
      </c>
      <c r="E532" s="9"/>
      <c r="F532" s="9"/>
      <c r="G532" s="9" t="s">
        <v>433</v>
      </c>
      <c r="H532" s="9"/>
      <c r="I532" s="9" t="n">
        <f aca="false">COUNTA(instrument_beslismoment!E$2:E$2000)</f>
        <v>79</v>
      </c>
      <c r="J532" s="9" t="n">
        <f aca="false">IF(D532="ja",COUNTA(instrument_beslismoment!$A$2:$A$2000)-I532,"")</f>
        <v>0</v>
      </c>
    </row>
    <row r="533" customFormat="false" ht="15" hidden="false" customHeight="false" outlineLevel="0" collapsed="false">
      <c r="A533" s="9" t="s">
        <v>62</v>
      </c>
      <c r="B533" s="9" t="s">
        <v>565</v>
      </c>
      <c r="C533" s="9" t="s">
        <v>262</v>
      </c>
      <c r="D533" s="9" t="s">
        <v>258</v>
      </c>
      <c r="E533" s="9"/>
      <c r="F533" s="9"/>
      <c r="G533" s="9" t="s">
        <v>433</v>
      </c>
      <c r="H533" s="9"/>
      <c r="I533" s="9" t="n">
        <f aca="false">COUNTA(instrument_beslismoment!F$2:F$2000)</f>
        <v>79</v>
      </c>
      <c r="J533" s="9" t="n">
        <f aca="false">IF(D533="ja",COUNTA(instrument_beslismoment!$A$2:$A$2000)-I533,"")</f>
        <v>0</v>
      </c>
    </row>
    <row r="534" customFormat="false" ht="15" hidden="false" customHeight="false" outlineLevel="0" collapsed="false">
      <c r="A534" s="9" t="s">
        <v>62</v>
      </c>
      <c r="B534" s="9" t="s">
        <v>410</v>
      </c>
      <c r="C534" s="9" t="s">
        <v>271</v>
      </c>
      <c r="D534" s="9" t="s">
        <v>272</v>
      </c>
      <c r="E534" s="9"/>
      <c r="F534" s="9"/>
      <c r="G534" s="9"/>
      <c r="H534" s="9"/>
      <c r="I534" s="9" t="n">
        <f aca="false">COUNTA(instrument_beslismoment!G$2:G$2000)</f>
        <v>0</v>
      </c>
      <c r="J534" s="9" t="str">
        <f aca="false">IF(D534="ja",COUNTA(instrument_beslismoment!$A$2:$A$2000)-I534,"")</f>
        <v/>
      </c>
    </row>
    <row r="535" customFormat="false" ht="15" hidden="false" customHeight="false" outlineLevel="0" collapsed="false">
      <c r="A535" s="9" t="s">
        <v>62</v>
      </c>
      <c r="B535" s="9" t="s">
        <v>554</v>
      </c>
      <c r="C535" s="9" t="s">
        <v>289</v>
      </c>
      <c r="D535" s="9" t="s">
        <v>258</v>
      </c>
      <c r="E535" s="9"/>
      <c r="F535" s="9"/>
      <c r="G535" s="9" t="s">
        <v>290</v>
      </c>
      <c r="H535" s="9"/>
      <c r="I535" s="9" t="n">
        <f aca="false">COUNTA(instrument_beslismoment!H$2:H$2000)</f>
        <v>79</v>
      </c>
      <c r="J535" s="9" t="n">
        <f aca="false">IF(D535="ja",COUNTA(instrument_beslismoment!$A$2:$A$2000)-I535,"")</f>
        <v>0</v>
      </c>
    </row>
    <row r="536" customFormat="false" ht="15" hidden="false" customHeight="false" outlineLevel="0" collapsed="false">
      <c r="A536" s="10" t="s">
        <v>62</v>
      </c>
      <c r="B536" s="10" t="s">
        <v>292</v>
      </c>
      <c r="C536" s="10" t="s">
        <v>293</v>
      </c>
      <c r="D536" s="10" t="s">
        <v>258</v>
      </c>
      <c r="E536" s="10"/>
      <c r="F536" s="10"/>
      <c r="G536" s="10"/>
      <c r="H536" s="10" t="s">
        <v>294</v>
      </c>
      <c r="I536" s="10" t="n">
        <f aca="false">COUNTA(instrument_beslismoment!I$2:I$2000)</f>
        <v>79</v>
      </c>
      <c r="J536" s="10" t="n">
        <f aca="false">IF(D536="ja",COUNTA(instrument_beslismoment!$A$2:$A$2000)-I536,"")</f>
        <v>0</v>
      </c>
    </row>
    <row r="537" customFormat="false" ht="15" hidden="false" customHeight="false" outlineLevel="0" collapsed="false">
      <c r="A537" s="10" t="s">
        <v>62</v>
      </c>
      <c r="B537" s="10" t="s">
        <v>295</v>
      </c>
      <c r="C537" s="10" t="s">
        <v>296</v>
      </c>
      <c r="D537" s="10" t="s">
        <v>258</v>
      </c>
      <c r="E537" s="10"/>
      <c r="F537" s="10"/>
      <c r="G537" s="10"/>
      <c r="H537" s="10" t="s">
        <v>297</v>
      </c>
      <c r="I537" s="10" t="n">
        <f aca="false">COUNTA(instrument_beslismoment!J$2:J$2000)</f>
        <v>79</v>
      </c>
      <c r="J537" s="10" t="n">
        <f aca="false">IF(D537="ja",COUNTA(instrument_beslismoment!$A$2:$A$2000)-I537,"")</f>
        <v>0</v>
      </c>
    </row>
    <row r="538" customFormat="false" ht="15" hidden="false" customHeight="false" outlineLevel="0" collapsed="false">
      <c r="A538" s="10" t="s">
        <v>62</v>
      </c>
      <c r="B538" s="10" t="s">
        <v>298</v>
      </c>
      <c r="C538" s="10" t="s">
        <v>293</v>
      </c>
      <c r="D538" s="10" t="s">
        <v>258</v>
      </c>
      <c r="E538" s="10"/>
      <c r="F538" s="10"/>
      <c r="G538" s="10"/>
      <c r="H538" s="10" t="s">
        <v>299</v>
      </c>
      <c r="I538" s="10" t="n">
        <f aca="false">COUNTA(instrument_beslismoment!K$2:K$2000)</f>
        <v>79</v>
      </c>
      <c r="J538" s="10" t="n">
        <f aca="false">IF(D538="ja",COUNTA(instrument_beslismoment!$A$2:$A$2000)-I538,"")</f>
        <v>0</v>
      </c>
    </row>
    <row r="539" customFormat="false" ht="15" hidden="false" customHeight="false" outlineLevel="0" collapsed="false">
      <c r="A539" s="10" t="s">
        <v>62</v>
      </c>
      <c r="B539" s="10" t="s">
        <v>300</v>
      </c>
      <c r="C539" s="10" t="s">
        <v>296</v>
      </c>
      <c r="D539" s="10" t="s">
        <v>258</v>
      </c>
      <c r="E539" s="10"/>
      <c r="F539" s="10"/>
      <c r="G539" s="10"/>
      <c r="H539" s="10" t="s">
        <v>301</v>
      </c>
      <c r="I539" s="10" t="n">
        <f aca="false">COUNTA(instrument_beslismoment!L$2:L$2000)</f>
        <v>79</v>
      </c>
      <c r="J539" s="10" t="n">
        <f aca="false">IF(D539="ja",COUNTA(instrument_beslismoment!$A$2:$A$2000)-I539,"")</f>
        <v>0</v>
      </c>
    </row>
    <row r="540" customFormat="false" ht="15" hidden="false" customHeight="false" outlineLevel="0" collapsed="false">
      <c r="A540" s="10" t="s">
        <v>62</v>
      </c>
      <c r="B540" s="10" t="s">
        <v>302</v>
      </c>
      <c r="C540" s="10" t="s">
        <v>279</v>
      </c>
      <c r="D540" s="10" t="s">
        <v>258</v>
      </c>
      <c r="E540" s="10"/>
      <c r="F540" s="10"/>
      <c r="G540" s="10" t="s">
        <v>303</v>
      </c>
      <c r="H540" s="10" t="s">
        <v>304</v>
      </c>
      <c r="I540" s="10" t="n">
        <f aca="false">COUNTA(instrument_beslismoment!M$2:M$2000)</f>
        <v>79</v>
      </c>
      <c r="J540" s="10" t="n">
        <f aca="false">IF(D540="ja",COUNTA(instrument_beslismoment!$A$2:$A$2000)-I540,"")</f>
        <v>0</v>
      </c>
    </row>
    <row r="541" customFormat="false" ht="15" hidden="false" customHeight="false" outlineLevel="0" collapsed="false">
      <c r="A541" s="10" t="s">
        <v>62</v>
      </c>
      <c r="B541" s="10" t="s">
        <v>305</v>
      </c>
      <c r="C541" s="10" t="s">
        <v>286</v>
      </c>
      <c r="D541" s="10" t="s">
        <v>258</v>
      </c>
      <c r="E541" s="10"/>
      <c r="F541" s="10"/>
      <c r="G541" s="10"/>
      <c r="H541" s="10" t="s">
        <v>306</v>
      </c>
      <c r="I541" s="10" t="n">
        <f aca="false">COUNTA(instrument_beslismoment!N$2:N$2000)</f>
        <v>79</v>
      </c>
      <c r="J541" s="10" t="n">
        <f aca="false">IF(D541="ja",COUNTA(instrument_beslismoment!$A$2:$A$2000)-I541,"")</f>
        <v>0</v>
      </c>
    </row>
    <row r="542" customFormat="false" ht="15" hidden="false" customHeight="false" outlineLevel="0" collapsed="false">
      <c r="A542" s="10" t="s">
        <v>62</v>
      </c>
      <c r="B542" s="10" t="s">
        <v>307</v>
      </c>
      <c r="C542" s="10" t="s">
        <v>308</v>
      </c>
      <c r="D542" s="10" t="s">
        <v>272</v>
      </c>
      <c r="E542" s="10"/>
      <c r="F542" s="10"/>
      <c r="G542" s="10"/>
      <c r="H542" s="10" t="s">
        <v>309</v>
      </c>
      <c r="I542" s="10" t="n">
        <f aca="false">COUNTA(instrument_beslismoment!O$2:O$2000)</f>
        <v>0</v>
      </c>
      <c r="J542" s="10" t="str">
        <f aca="false">IF(D542="ja",COUNTA(instrument_beslismoment!$A$2:$A$2000)-I542,"")</f>
        <v/>
      </c>
    </row>
    <row r="543" customFormat="false" ht="15" hidden="false" customHeight="false" outlineLevel="0" collapsed="false">
      <c r="A543" s="10" t="s">
        <v>62</v>
      </c>
      <c r="B543" s="10" t="s">
        <v>310</v>
      </c>
      <c r="C543" s="10" t="s">
        <v>308</v>
      </c>
      <c r="D543" s="10" t="s">
        <v>272</v>
      </c>
      <c r="E543" s="10"/>
      <c r="F543" s="10"/>
      <c r="G543" s="10"/>
      <c r="H543" s="10" t="s">
        <v>311</v>
      </c>
      <c r="I543" s="10" t="n">
        <f aca="false">COUNTA(instrument_beslismoment!P$2:P$2000)</f>
        <v>0</v>
      </c>
      <c r="J543" s="10" t="str">
        <f aca="false">IF(D543="ja",COUNTA(instrument_beslismoment!$A$2:$A$2000)-I543,"")</f>
        <v/>
      </c>
    </row>
    <row r="544" customFormat="false" ht="15" hidden="false" customHeight="false" outlineLevel="0" collapsed="false">
      <c r="A544" s="10" t="s">
        <v>62</v>
      </c>
      <c r="B544" s="10" t="s">
        <v>312</v>
      </c>
      <c r="C544" s="10" t="s">
        <v>271</v>
      </c>
      <c r="D544" s="10" t="s">
        <v>272</v>
      </c>
      <c r="E544" s="10"/>
      <c r="F544" s="10"/>
      <c r="G544" s="10"/>
      <c r="H544" s="10" t="s">
        <v>313</v>
      </c>
      <c r="I544" s="10" t="n">
        <f aca="false">COUNTA(instrument_beslismoment!Q$2:Q$2000)</f>
        <v>79</v>
      </c>
      <c r="J544" s="10" t="str">
        <f aca="false">IF(D544="ja",COUNTA(instrument_beslismoment!$A$2:$A$2000)-I544,"")</f>
        <v/>
      </c>
    </row>
    <row r="545" customFormat="false" ht="15" hidden="false" customHeight="false" outlineLevel="0" collapsed="false">
      <c r="A545" s="9" t="s">
        <v>63</v>
      </c>
      <c r="B545" s="9" t="s">
        <v>566</v>
      </c>
      <c r="C545" s="9" t="s">
        <v>257</v>
      </c>
      <c r="D545" s="9" t="s">
        <v>258</v>
      </c>
      <c r="E545" s="9" t="s">
        <v>259</v>
      </c>
      <c r="F545" s="9"/>
      <c r="G545" s="9"/>
      <c r="H545" s="9"/>
      <c r="I545" s="9" t="n">
        <f aca="false">COUNTA(instrument_opgave!A$2:A$2000)</f>
        <v>154</v>
      </c>
      <c r="J545" s="9" t="n">
        <f aca="false">IF(D545="ja",COUNTA(instrument_opgave!$A$2:$A$2000)-I545,"")</f>
        <v>0</v>
      </c>
    </row>
    <row r="546" customFormat="false" ht="15" hidden="false" customHeight="false" outlineLevel="0" collapsed="false">
      <c r="A546" s="9" t="s">
        <v>63</v>
      </c>
      <c r="B546" s="9" t="s">
        <v>469</v>
      </c>
      <c r="C546" s="9" t="s">
        <v>323</v>
      </c>
      <c r="D546" s="9" t="s">
        <v>258</v>
      </c>
      <c r="E546" s="9" t="s">
        <v>324</v>
      </c>
      <c r="F546" s="9" t="s">
        <v>443</v>
      </c>
      <c r="G546" s="9"/>
      <c r="H546" s="9"/>
      <c r="I546" s="9" t="n">
        <f aca="false">COUNTA(instrument_opgave!B$2:B$2000)</f>
        <v>154</v>
      </c>
      <c r="J546" s="9" t="n">
        <f aca="false">IF(D546="ja",COUNTA(instrument_opgave!$A$2:$A$2000)-I546,"")</f>
        <v>0</v>
      </c>
    </row>
    <row r="547" customFormat="false" ht="15" hidden="false" customHeight="false" outlineLevel="0" collapsed="false">
      <c r="A547" s="9" t="s">
        <v>63</v>
      </c>
      <c r="B547" s="9" t="s">
        <v>256</v>
      </c>
      <c r="C547" s="9" t="s">
        <v>323</v>
      </c>
      <c r="D547" s="9" t="s">
        <v>258</v>
      </c>
      <c r="E547" s="9" t="s">
        <v>324</v>
      </c>
      <c r="F547" s="9" t="s">
        <v>567</v>
      </c>
      <c r="G547" s="9"/>
      <c r="H547" s="9"/>
      <c r="I547" s="9" t="n">
        <f aca="false">COUNTA(instrument_opgave!C$2:C$2000)</f>
        <v>154</v>
      </c>
      <c r="J547" s="9" t="n">
        <f aca="false">IF(D547="ja",COUNTA(instrument_opgave!$A$2:$A$2000)-I547,"")</f>
        <v>0</v>
      </c>
    </row>
    <row r="548" customFormat="false" ht="15" hidden="false" customHeight="false" outlineLevel="0" collapsed="false">
      <c r="A548" s="9" t="s">
        <v>63</v>
      </c>
      <c r="B548" s="9" t="s">
        <v>557</v>
      </c>
      <c r="C548" s="9" t="s">
        <v>262</v>
      </c>
      <c r="D548" s="9" t="s">
        <v>258</v>
      </c>
      <c r="E548" s="9"/>
      <c r="F548" s="9"/>
      <c r="G548" s="9" t="s">
        <v>433</v>
      </c>
      <c r="H548" s="9"/>
      <c r="I548" s="9" t="n">
        <f aca="false">COUNTA(instrument_opgave!D$2:D$2000)</f>
        <v>154</v>
      </c>
      <c r="J548" s="9" t="n">
        <f aca="false">IF(D548="ja",COUNTA(instrument_opgave!$A$2:$A$2000)-I548,"")</f>
        <v>0</v>
      </c>
    </row>
    <row r="549" customFormat="false" ht="15" hidden="false" customHeight="false" outlineLevel="0" collapsed="false">
      <c r="A549" s="9" t="s">
        <v>63</v>
      </c>
      <c r="B549" s="9" t="s">
        <v>410</v>
      </c>
      <c r="C549" s="9" t="s">
        <v>271</v>
      </c>
      <c r="D549" s="9" t="s">
        <v>272</v>
      </c>
      <c r="E549" s="9"/>
      <c r="F549" s="9"/>
      <c r="G549" s="9"/>
      <c r="H549" s="9"/>
      <c r="I549" s="9" t="n">
        <f aca="false">COUNTA(instrument_opgave!E$2:E$2000)</f>
        <v>0</v>
      </c>
      <c r="J549" s="9" t="str">
        <f aca="false">IF(D549="ja",COUNTA(instrument_opgave!$A$2:$A$2000)-I549,"")</f>
        <v/>
      </c>
    </row>
    <row r="550" customFormat="false" ht="15" hidden="false" customHeight="false" outlineLevel="0" collapsed="false">
      <c r="A550" s="10" t="s">
        <v>63</v>
      </c>
      <c r="B550" s="10" t="s">
        <v>292</v>
      </c>
      <c r="C550" s="10" t="s">
        <v>293</v>
      </c>
      <c r="D550" s="10" t="s">
        <v>258</v>
      </c>
      <c r="E550" s="10"/>
      <c r="F550" s="10"/>
      <c r="G550" s="10"/>
      <c r="H550" s="10" t="s">
        <v>294</v>
      </c>
      <c r="I550" s="10" t="n">
        <f aca="false">COUNTA(instrument_opgave!F$2:F$2000)</f>
        <v>154</v>
      </c>
      <c r="J550" s="10" t="n">
        <f aca="false">IF(D550="ja",COUNTA(instrument_opgave!$A$2:$A$2000)-I550,"")</f>
        <v>0</v>
      </c>
    </row>
    <row r="551" customFormat="false" ht="15" hidden="false" customHeight="false" outlineLevel="0" collapsed="false">
      <c r="A551" s="10" t="s">
        <v>63</v>
      </c>
      <c r="B551" s="10" t="s">
        <v>295</v>
      </c>
      <c r="C551" s="10" t="s">
        <v>296</v>
      </c>
      <c r="D551" s="10" t="s">
        <v>258</v>
      </c>
      <c r="E551" s="10"/>
      <c r="F551" s="10"/>
      <c r="G551" s="10"/>
      <c r="H551" s="10" t="s">
        <v>297</v>
      </c>
      <c r="I551" s="10" t="n">
        <f aca="false">COUNTA(instrument_opgave!G$2:G$2000)</f>
        <v>154</v>
      </c>
      <c r="J551" s="10" t="n">
        <f aca="false">IF(D551="ja",COUNTA(instrument_opgave!$A$2:$A$2000)-I551,"")</f>
        <v>0</v>
      </c>
    </row>
    <row r="552" customFormat="false" ht="15" hidden="false" customHeight="false" outlineLevel="0" collapsed="false">
      <c r="A552" s="10" t="s">
        <v>63</v>
      </c>
      <c r="B552" s="10" t="s">
        <v>298</v>
      </c>
      <c r="C552" s="10" t="s">
        <v>293</v>
      </c>
      <c r="D552" s="10" t="s">
        <v>258</v>
      </c>
      <c r="E552" s="10"/>
      <c r="F552" s="10"/>
      <c r="G552" s="10"/>
      <c r="H552" s="10" t="s">
        <v>299</v>
      </c>
      <c r="I552" s="10" t="n">
        <f aca="false">COUNTA(instrument_opgave!H$2:H$2000)</f>
        <v>154</v>
      </c>
      <c r="J552" s="10" t="n">
        <f aca="false">IF(D552="ja",COUNTA(instrument_opgave!$A$2:$A$2000)-I552,"")</f>
        <v>0</v>
      </c>
    </row>
    <row r="553" customFormat="false" ht="15" hidden="false" customHeight="false" outlineLevel="0" collapsed="false">
      <c r="A553" s="10" t="s">
        <v>63</v>
      </c>
      <c r="B553" s="10" t="s">
        <v>300</v>
      </c>
      <c r="C553" s="10" t="s">
        <v>296</v>
      </c>
      <c r="D553" s="10" t="s">
        <v>258</v>
      </c>
      <c r="E553" s="10"/>
      <c r="F553" s="10"/>
      <c r="G553" s="10"/>
      <c r="H553" s="10" t="s">
        <v>301</v>
      </c>
      <c r="I553" s="10" t="n">
        <f aca="false">COUNTA(instrument_opgave!I$2:I$2000)</f>
        <v>154</v>
      </c>
      <c r="J553" s="10" t="n">
        <f aca="false">IF(D553="ja",COUNTA(instrument_opgave!$A$2:$A$2000)-I553,"")</f>
        <v>0</v>
      </c>
    </row>
    <row r="554" customFormat="false" ht="15" hidden="false" customHeight="false" outlineLevel="0" collapsed="false">
      <c r="A554" s="10" t="s">
        <v>63</v>
      </c>
      <c r="B554" s="10" t="s">
        <v>302</v>
      </c>
      <c r="C554" s="10" t="s">
        <v>279</v>
      </c>
      <c r="D554" s="10" t="s">
        <v>258</v>
      </c>
      <c r="E554" s="10"/>
      <c r="F554" s="10"/>
      <c r="G554" s="10" t="s">
        <v>303</v>
      </c>
      <c r="H554" s="10" t="s">
        <v>304</v>
      </c>
      <c r="I554" s="10" t="n">
        <f aca="false">COUNTA(instrument_opgave!J$2:J$2000)</f>
        <v>154</v>
      </c>
      <c r="J554" s="10" t="n">
        <f aca="false">IF(D554="ja",COUNTA(instrument_opgave!$A$2:$A$2000)-I554,"")</f>
        <v>0</v>
      </c>
    </row>
    <row r="555" customFormat="false" ht="15" hidden="false" customHeight="false" outlineLevel="0" collapsed="false">
      <c r="A555" s="10" t="s">
        <v>63</v>
      </c>
      <c r="B555" s="10" t="s">
        <v>305</v>
      </c>
      <c r="C555" s="10" t="s">
        <v>286</v>
      </c>
      <c r="D555" s="10" t="s">
        <v>258</v>
      </c>
      <c r="E555" s="10"/>
      <c r="F555" s="10"/>
      <c r="G555" s="10"/>
      <c r="H555" s="10" t="s">
        <v>306</v>
      </c>
      <c r="I555" s="10" t="n">
        <f aca="false">COUNTA(instrument_opgave!K$2:K$2000)</f>
        <v>154</v>
      </c>
      <c r="J555" s="10" t="n">
        <f aca="false">IF(D555="ja",COUNTA(instrument_opgave!$A$2:$A$2000)-I555,"")</f>
        <v>0</v>
      </c>
    </row>
    <row r="556" customFormat="false" ht="15" hidden="false" customHeight="false" outlineLevel="0" collapsed="false">
      <c r="A556" s="10" t="s">
        <v>63</v>
      </c>
      <c r="B556" s="10" t="s">
        <v>307</v>
      </c>
      <c r="C556" s="10" t="s">
        <v>308</v>
      </c>
      <c r="D556" s="10" t="s">
        <v>272</v>
      </c>
      <c r="E556" s="10"/>
      <c r="F556" s="10"/>
      <c r="G556" s="10"/>
      <c r="H556" s="10" t="s">
        <v>309</v>
      </c>
      <c r="I556" s="10" t="n">
        <f aca="false">COUNTA(instrument_opgave!L$2:L$2000)</f>
        <v>0</v>
      </c>
      <c r="J556" s="10" t="str">
        <f aca="false">IF(D556="ja",COUNTA(instrument_opgave!$A$2:$A$2000)-I556,"")</f>
        <v/>
      </c>
    </row>
    <row r="557" customFormat="false" ht="15" hidden="false" customHeight="false" outlineLevel="0" collapsed="false">
      <c r="A557" s="10" t="s">
        <v>63</v>
      </c>
      <c r="B557" s="10" t="s">
        <v>310</v>
      </c>
      <c r="C557" s="10" t="s">
        <v>308</v>
      </c>
      <c r="D557" s="10" t="s">
        <v>272</v>
      </c>
      <c r="E557" s="10"/>
      <c r="F557" s="10"/>
      <c r="G557" s="10"/>
      <c r="H557" s="10" t="s">
        <v>311</v>
      </c>
      <c r="I557" s="10" t="n">
        <f aca="false">COUNTA(instrument_opgave!M$2:M$2000)</f>
        <v>0</v>
      </c>
      <c r="J557" s="10" t="str">
        <f aca="false">IF(D557="ja",COUNTA(instrument_opgave!$A$2:$A$2000)-I557,"")</f>
        <v/>
      </c>
    </row>
    <row r="558" customFormat="false" ht="15" hidden="false" customHeight="false" outlineLevel="0" collapsed="false">
      <c r="A558" s="10" t="s">
        <v>63</v>
      </c>
      <c r="B558" s="10" t="s">
        <v>312</v>
      </c>
      <c r="C558" s="10" t="s">
        <v>271</v>
      </c>
      <c r="D558" s="10" t="s">
        <v>272</v>
      </c>
      <c r="E558" s="10"/>
      <c r="F558" s="10"/>
      <c r="G558" s="10"/>
      <c r="H558" s="10" t="s">
        <v>313</v>
      </c>
      <c r="I558" s="10" t="n">
        <f aca="false">COUNTA(instrument_opgave!N$2:N$2000)</f>
        <v>154</v>
      </c>
      <c r="J558" s="10" t="str">
        <f aca="false">IF(D558="ja",COUNTA(instrument_opgave!$A$2:$A$2000)-I558,"")</f>
        <v/>
      </c>
    </row>
    <row r="559" customFormat="false" ht="15" hidden="false" customHeight="false" outlineLevel="0" collapsed="false">
      <c r="A559" s="9" t="s">
        <v>64</v>
      </c>
      <c r="B559" s="9" t="s">
        <v>568</v>
      </c>
      <c r="C559" s="9" t="s">
        <v>257</v>
      </c>
      <c r="D559" s="9" t="s">
        <v>258</v>
      </c>
      <c r="E559" s="9" t="s">
        <v>259</v>
      </c>
      <c r="F559" s="9"/>
      <c r="G559" s="9"/>
      <c r="H559" s="9"/>
      <c r="I559" s="9" t="n">
        <f aca="false">COUNTA(instrument_financiele_vraag!A$2:A$2000)</f>
        <v>150</v>
      </c>
      <c r="J559" s="9" t="n">
        <f aca="false">IF(D559="ja",COUNTA(instrument_financiele_vraag!$A$2:$A$2000)-I559,"")</f>
        <v>0</v>
      </c>
    </row>
    <row r="560" customFormat="false" ht="15" hidden="false" customHeight="false" outlineLevel="0" collapsed="false">
      <c r="A560" s="9" t="s">
        <v>64</v>
      </c>
      <c r="B560" s="9" t="s">
        <v>469</v>
      </c>
      <c r="C560" s="9" t="s">
        <v>323</v>
      </c>
      <c r="D560" s="9" t="s">
        <v>258</v>
      </c>
      <c r="E560" s="9" t="s">
        <v>324</v>
      </c>
      <c r="F560" s="9" t="s">
        <v>443</v>
      </c>
      <c r="G560" s="9"/>
      <c r="H560" s="9"/>
      <c r="I560" s="9" t="n">
        <f aca="false">COUNTA(instrument_financiele_vraag!B$2:B$2000)</f>
        <v>150</v>
      </c>
      <c r="J560" s="9" t="n">
        <f aca="false">IF(D560="ja",COUNTA(instrument_financiele_vraag!$A$2:$A$2000)-I560,"")</f>
        <v>0</v>
      </c>
    </row>
    <row r="561" customFormat="false" ht="15" hidden="false" customHeight="false" outlineLevel="0" collapsed="false">
      <c r="A561" s="9" t="s">
        <v>64</v>
      </c>
      <c r="B561" s="9" t="s">
        <v>418</v>
      </c>
      <c r="C561" s="9" t="s">
        <v>323</v>
      </c>
      <c r="D561" s="9" t="s">
        <v>258</v>
      </c>
      <c r="E561" s="9" t="s">
        <v>324</v>
      </c>
      <c r="F561" s="9" t="s">
        <v>569</v>
      </c>
      <c r="G561" s="9"/>
      <c r="H561" s="9"/>
      <c r="I561" s="9" t="n">
        <f aca="false">COUNTA(instrument_financiele_vraag!C$2:C$2000)</f>
        <v>150</v>
      </c>
      <c r="J561" s="9" t="n">
        <f aca="false">IF(D561="ja",COUNTA(instrument_financiele_vraag!$A$2:$A$2000)-I561,"")</f>
        <v>0</v>
      </c>
    </row>
    <row r="562" customFormat="false" ht="35.05" hidden="false" customHeight="false" outlineLevel="0" collapsed="false">
      <c r="A562" s="9" t="s">
        <v>64</v>
      </c>
      <c r="B562" s="9" t="s">
        <v>570</v>
      </c>
      <c r="C562" s="9" t="s">
        <v>279</v>
      </c>
      <c r="D562" s="9" t="s">
        <v>272</v>
      </c>
      <c r="E562" s="9"/>
      <c r="F562" s="9"/>
      <c r="G562" s="9" t="s">
        <v>571</v>
      </c>
      <c r="H562" s="9"/>
      <c r="I562" s="9" t="n">
        <f aca="false">COUNTA(instrument_financiele_vraag!D$2:D$2000)</f>
        <v>150</v>
      </c>
      <c r="J562" s="9" t="str">
        <f aca="false">IF(D562="ja",COUNTA(instrument_financiele_vraag!$A$2:$A$2000)-I562,"")</f>
        <v/>
      </c>
    </row>
    <row r="563" customFormat="false" ht="15" hidden="false" customHeight="false" outlineLevel="0" collapsed="false">
      <c r="A563" s="9" t="s">
        <v>64</v>
      </c>
      <c r="B563" s="9" t="s">
        <v>557</v>
      </c>
      <c r="C563" s="9" t="s">
        <v>262</v>
      </c>
      <c r="D563" s="9" t="s">
        <v>258</v>
      </c>
      <c r="E563" s="9"/>
      <c r="F563" s="9"/>
      <c r="G563" s="9" t="s">
        <v>433</v>
      </c>
      <c r="H563" s="9"/>
      <c r="I563" s="9" t="n">
        <f aca="false">COUNTA(instrument_financiele_vraag!E$2:E$2000)</f>
        <v>150</v>
      </c>
      <c r="J563" s="9" t="n">
        <f aca="false">IF(D563="ja",COUNTA(instrument_financiele_vraag!$A$2:$A$2000)-I563,"")</f>
        <v>0</v>
      </c>
    </row>
    <row r="564" customFormat="false" ht="15" hidden="false" customHeight="false" outlineLevel="0" collapsed="false">
      <c r="A564" s="9" t="s">
        <v>64</v>
      </c>
      <c r="B564" s="9" t="s">
        <v>410</v>
      </c>
      <c r="C564" s="9" t="s">
        <v>271</v>
      </c>
      <c r="D564" s="9" t="s">
        <v>272</v>
      </c>
      <c r="E564" s="9"/>
      <c r="F564" s="9"/>
      <c r="G564" s="9"/>
      <c r="H564" s="9"/>
      <c r="I564" s="9" t="n">
        <f aca="false">COUNTA(instrument_financiele_vraag!F$2:F$2000)</f>
        <v>0</v>
      </c>
      <c r="J564" s="9" t="str">
        <f aca="false">IF(D564="ja",COUNTA(instrument_financiele_vraag!$A$2:$A$2000)-I564,"")</f>
        <v/>
      </c>
    </row>
    <row r="565" customFormat="false" ht="15" hidden="false" customHeight="false" outlineLevel="0" collapsed="false">
      <c r="A565" s="10" t="s">
        <v>64</v>
      </c>
      <c r="B565" s="10" t="s">
        <v>292</v>
      </c>
      <c r="C565" s="10" t="s">
        <v>293</v>
      </c>
      <c r="D565" s="10" t="s">
        <v>258</v>
      </c>
      <c r="E565" s="10"/>
      <c r="F565" s="10"/>
      <c r="G565" s="10"/>
      <c r="H565" s="10" t="s">
        <v>294</v>
      </c>
      <c r="I565" s="10" t="n">
        <f aca="false">COUNTA(instrument_financiele_vraag!G$2:G$2000)</f>
        <v>150</v>
      </c>
      <c r="J565" s="10" t="n">
        <f aca="false">IF(D565="ja",COUNTA(instrument_financiele_vraag!$A$2:$A$2000)-I565,"")</f>
        <v>0</v>
      </c>
    </row>
    <row r="566" customFormat="false" ht="15" hidden="false" customHeight="false" outlineLevel="0" collapsed="false">
      <c r="A566" s="10" t="s">
        <v>64</v>
      </c>
      <c r="B566" s="10" t="s">
        <v>295</v>
      </c>
      <c r="C566" s="10" t="s">
        <v>296</v>
      </c>
      <c r="D566" s="10" t="s">
        <v>258</v>
      </c>
      <c r="E566" s="10"/>
      <c r="F566" s="10"/>
      <c r="G566" s="10"/>
      <c r="H566" s="10" t="s">
        <v>297</v>
      </c>
      <c r="I566" s="10" t="n">
        <f aca="false">COUNTA(instrument_financiele_vraag!H$2:H$2000)</f>
        <v>150</v>
      </c>
      <c r="J566" s="10" t="n">
        <f aca="false">IF(D566="ja",COUNTA(instrument_financiele_vraag!$A$2:$A$2000)-I566,"")</f>
        <v>0</v>
      </c>
    </row>
    <row r="567" customFormat="false" ht="15" hidden="false" customHeight="false" outlineLevel="0" collapsed="false">
      <c r="A567" s="10" t="s">
        <v>64</v>
      </c>
      <c r="B567" s="10" t="s">
        <v>298</v>
      </c>
      <c r="C567" s="10" t="s">
        <v>293</v>
      </c>
      <c r="D567" s="10" t="s">
        <v>258</v>
      </c>
      <c r="E567" s="10"/>
      <c r="F567" s="10"/>
      <c r="G567" s="10"/>
      <c r="H567" s="10" t="s">
        <v>299</v>
      </c>
      <c r="I567" s="10" t="n">
        <f aca="false">COUNTA(instrument_financiele_vraag!I$2:I$2000)</f>
        <v>150</v>
      </c>
      <c r="J567" s="10" t="n">
        <f aca="false">IF(D567="ja",COUNTA(instrument_financiele_vraag!$A$2:$A$2000)-I567,"")</f>
        <v>0</v>
      </c>
    </row>
    <row r="568" customFormat="false" ht="15" hidden="false" customHeight="false" outlineLevel="0" collapsed="false">
      <c r="A568" s="10" t="s">
        <v>64</v>
      </c>
      <c r="B568" s="10" t="s">
        <v>300</v>
      </c>
      <c r="C568" s="10" t="s">
        <v>296</v>
      </c>
      <c r="D568" s="10" t="s">
        <v>258</v>
      </c>
      <c r="E568" s="10"/>
      <c r="F568" s="10"/>
      <c r="G568" s="10"/>
      <c r="H568" s="10" t="s">
        <v>301</v>
      </c>
      <c r="I568" s="10" t="n">
        <f aca="false">COUNTA(instrument_financiele_vraag!J$2:J$2000)</f>
        <v>150</v>
      </c>
      <c r="J568" s="10" t="n">
        <f aca="false">IF(D568="ja",COUNTA(instrument_financiele_vraag!$A$2:$A$2000)-I568,"")</f>
        <v>0</v>
      </c>
    </row>
    <row r="569" customFormat="false" ht="15" hidden="false" customHeight="false" outlineLevel="0" collapsed="false">
      <c r="A569" s="10" t="s">
        <v>64</v>
      </c>
      <c r="B569" s="10" t="s">
        <v>302</v>
      </c>
      <c r="C569" s="10" t="s">
        <v>279</v>
      </c>
      <c r="D569" s="10" t="s">
        <v>258</v>
      </c>
      <c r="E569" s="10"/>
      <c r="F569" s="10"/>
      <c r="G569" s="10" t="s">
        <v>303</v>
      </c>
      <c r="H569" s="10" t="s">
        <v>304</v>
      </c>
      <c r="I569" s="10" t="n">
        <f aca="false">COUNTA(instrument_financiele_vraag!K$2:K$2000)</f>
        <v>150</v>
      </c>
      <c r="J569" s="10" t="n">
        <f aca="false">IF(D569="ja",COUNTA(instrument_financiele_vraag!$A$2:$A$2000)-I569,"")</f>
        <v>0</v>
      </c>
    </row>
    <row r="570" customFormat="false" ht="15" hidden="false" customHeight="false" outlineLevel="0" collapsed="false">
      <c r="A570" s="10" t="s">
        <v>64</v>
      </c>
      <c r="B570" s="10" t="s">
        <v>305</v>
      </c>
      <c r="C570" s="10" t="s">
        <v>286</v>
      </c>
      <c r="D570" s="10" t="s">
        <v>258</v>
      </c>
      <c r="E570" s="10"/>
      <c r="F570" s="10"/>
      <c r="G570" s="10"/>
      <c r="H570" s="10" t="s">
        <v>306</v>
      </c>
      <c r="I570" s="10" t="n">
        <f aca="false">COUNTA(instrument_financiele_vraag!L$2:L$2000)</f>
        <v>150</v>
      </c>
      <c r="J570" s="10" t="n">
        <f aca="false">IF(D570="ja",COUNTA(instrument_financiele_vraag!$A$2:$A$2000)-I570,"")</f>
        <v>0</v>
      </c>
    </row>
    <row r="571" customFormat="false" ht="15" hidden="false" customHeight="false" outlineLevel="0" collapsed="false">
      <c r="A571" s="10" t="s">
        <v>64</v>
      </c>
      <c r="B571" s="10" t="s">
        <v>307</v>
      </c>
      <c r="C571" s="10" t="s">
        <v>308</v>
      </c>
      <c r="D571" s="10" t="s">
        <v>272</v>
      </c>
      <c r="E571" s="10"/>
      <c r="F571" s="10"/>
      <c r="G571" s="10"/>
      <c r="H571" s="10" t="s">
        <v>309</v>
      </c>
      <c r="I571" s="10" t="n">
        <f aca="false">COUNTA(instrument_financiele_vraag!M$2:M$2000)</f>
        <v>0</v>
      </c>
      <c r="J571" s="10" t="str">
        <f aca="false">IF(D571="ja",COUNTA(instrument_financiele_vraag!$A$2:$A$2000)-I571,"")</f>
        <v/>
      </c>
    </row>
    <row r="572" customFormat="false" ht="15" hidden="false" customHeight="false" outlineLevel="0" collapsed="false">
      <c r="A572" s="10" t="s">
        <v>64</v>
      </c>
      <c r="B572" s="10" t="s">
        <v>310</v>
      </c>
      <c r="C572" s="10" t="s">
        <v>308</v>
      </c>
      <c r="D572" s="10" t="s">
        <v>272</v>
      </c>
      <c r="E572" s="10"/>
      <c r="F572" s="10"/>
      <c r="G572" s="10"/>
      <c r="H572" s="10" t="s">
        <v>311</v>
      </c>
      <c r="I572" s="10" t="n">
        <f aca="false">COUNTA(instrument_financiele_vraag!N$2:N$2000)</f>
        <v>0</v>
      </c>
      <c r="J572" s="10" t="str">
        <f aca="false">IF(D572="ja",COUNTA(instrument_financiele_vraag!$A$2:$A$2000)-I572,"")</f>
        <v/>
      </c>
    </row>
    <row r="573" customFormat="false" ht="15" hidden="false" customHeight="false" outlineLevel="0" collapsed="false">
      <c r="A573" s="10" t="s">
        <v>64</v>
      </c>
      <c r="B573" s="10" t="s">
        <v>312</v>
      </c>
      <c r="C573" s="10" t="s">
        <v>271</v>
      </c>
      <c r="D573" s="10" t="s">
        <v>272</v>
      </c>
      <c r="E573" s="10"/>
      <c r="F573" s="10"/>
      <c r="G573" s="10"/>
      <c r="H573" s="10" t="s">
        <v>313</v>
      </c>
      <c r="I573" s="10" t="n">
        <f aca="false">COUNTA(instrument_financiele_vraag!O$2:O$2000)</f>
        <v>150</v>
      </c>
      <c r="J573" s="10" t="str">
        <f aca="false">IF(D573="ja",COUNTA(instrument_financiele_vraag!$A$2:$A$2000)-I573,"")</f>
        <v/>
      </c>
    </row>
    <row r="574" customFormat="false" ht="15" hidden="false" customHeight="false" outlineLevel="0" collapsed="false">
      <c r="A574" s="9" t="s">
        <v>65</v>
      </c>
      <c r="B574" s="9" t="s">
        <v>572</v>
      </c>
      <c r="C574" s="9" t="s">
        <v>257</v>
      </c>
      <c r="D574" s="9" t="s">
        <v>258</v>
      </c>
      <c r="E574" s="9" t="s">
        <v>259</v>
      </c>
      <c r="F574" s="9"/>
      <c r="G574" s="9"/>
      <c r="H574" s="9"/>
      <c r="I574" s="9" t="n">
        <f aca="false">COUNTA(instrument_eigenaartype!A$2:A$2000)</f>
        <v>121</v>
      </c>
      <c r="J574" s="9" t="n">
        <f aca="false">IF(D574="ja",COUNTA(instrument_eigenaartype!$A$2:$A$2000)-I574,"")</f>
        <v>0</v>
      </c>
    </row>
    <row r="575" customFormat="false" ht="15" hidden="false" customHeight="false" outlineLevel="0" collapsed="false">
      <c r="A575" s="9" t="s">
        <v>65</v>
      </c>
      <c r="B575" s="9" t="s">
        <v>469</v>
      </c>
      <c r="C575" s="9" t="s">
        <v>323</v>
      </c>
      <c r="D575" s="9" t="s">
        <v>258</v>
      </c>
      <c r="E575" s="9" t="s">
        <v>324</v>
      </c>
      <c r="F575" s="9" t="s">
        <v>443</v>
      </c>
      <c r="G575" s="9"/>
      <c r="H575" s="9"/>
      <c r="I575" s="9" t="n">
        <f aca="false">COUNTA(instrument_eigenaartype!B$2:B$2000)</f>
        <v>121</v>
      </c>
      <c r="J575" s="9" t="n">
        <f aca="false">IF(D575="ja",COUNTA(instrument_eigenaartype!$A$2:$A$2000)-I575,"")</f>
        <v>0</v>
      </c>
    </row>
    <row r="576" customFormat="false" ht="15" hidden="false" customHeight="false" outlineLevel="0" collapsed="false">
      <c r="A576" s="9" t="s">
        <v>65</v>
      </c>
      <c r="B576" s="9" t="s">
        <v>412</v>
      </c>
      <c r="C576" s="9" t="s">
        <v>323</v>
      </c>
      <c r="D576" s="9" t="s">
        <v>258</v>
      </c>
      <c r="E576" s="9" t="s">
        <v>324</v>
      </c>
      <c r="F576" s="9" t="s">
        <v>573</v>
      </c>
      <c r="G576" s="9"/>
      <c r="H576" s="9"/>
      <c r="I576" s="9" t="n">
        <f aca="false">COUNTA(instrument_eigenaartype!C$2:C$2000)</f>
        <v>121</v>
      </c>
      <c r="J576" s="9" t="n">
        <f aca="false">IF(D576="ja",COUNTA(instrument_eigenaartype!$A$2:$A$2000)-I576,"")</f>
        <v>0</v>
      </c>
    </row>
    <row r="577" customFormat="false" ht="35.05" hidden="false" customHeight="false" outlineLevel="0" collapsed="false">
      <c r="A577" s="9" t="s">
        <v>65</v>
      </c>
      <c r="B577" s="9" t="s">
        <v>574</v>
      </c>
      <c r="C577" s="9" t="s">
        <v>279</v>
      </c>
      <c r="D577" s="9" t="s">
        <v>258</v>
      </c>
      <c r="E577" s="9"/>
      <c r="F577" s="9"/>
      <c r="G577" s="9" t="s">
        <v>575</v>
      </c>
      <c r="H577" s="9"/>
      <c r="I577" s="9" t="n">
        <f aca="false">COUNTA(instrument_eigenaartype!D$2:D$2000)</f>
        <v>121</v>
      </c>
      <c r="J577" s="9" t="n">
        <f aca="false">IF(D577="ja",COUNTA(instrument_eigenaartype!$A$2:$A$2000)-I577,"")</f>
        <v>0</v>
      </c>
    </row>
    <row r="578" customFormat="false" ht="15" hidden="false" customHeight="false" outlineLevel="0" collapsed="false">
      <c r="A578" s="9" t="s">
        <v>65</v>
      </c>
      <c r="B578" s="9" t="s">
        <v>554</v>
      </c>
      <c r="C578" s="9" t="s">
        <v>289</v>
      </c>
      <c r="D578" s="9" t="s">
        <v>258</v>
      </c>
      <c r="E578" s="9"/>
      <c r="F578" s="9"/>
      <c r="G578" s="9" t="s">
        <v>290</v>
      </c>
      <c r="H578" s="9"/>
      <c r="I578" s="9" t="n">
        <f aca="false">COUNTA(instrument_eigenaartype!E$2:E$2000)</f>
        <v>121</v>
      </c>
      <c r="J578" s="9" t="n">
        <f aca="false">IF(D578="ja",COUNTA(instrument_eigenaartype!$A$2:$A$2000)-I578,"")</f>
        <v>0</v>
      </c>
    </row>
    <row r="579" customFormat="false" ht="15" hidden="false" customHeight="false" outlineLevel="0" collapsed="false">
      <c r="A579" s="9" t="s">
        <v>65</v>
      </c>
      <c r="B579" s="9" t="s">
        <v>410</v>
      </c>
      <c r="C579" s="9" t="s">
        <v>271</v>
      </c>
      <c r="D579" s="9" t="s">
        <v>272</v>
      </c>
      <c r="E579" s="9"/>
      <c r="F579" s="9"/>
      <c r="G579" s="9"/>
      <c r="H579" s="9"/>
      <c r="I579" s="9" t="n">
        <f aca="false">COUNTA(instrument_eigenaartype!F$2:F$2000)</f>
        <v>0</v>
      </c>
      <c r="J579" s="9" t="str">
        <f aca="false">IF(D579="ja",COUNTA(instrument_eigenaartype!$A$2:$A$2000)-I579,"")</f>
        <v/>
      </c>
    </row>
    <row r="580" customFormat="false" ht="15" hidden="false" customHeight="false" outlineLevel="0" collapsed="false">
      <c r="A580" s="10" t="s">
        <v>65</v>
      </c>
      <c r="B580" s="10" t="s">
        <v>292</v>
      </c>
      <c r="C580" s="10" t="s">
        <v>293</v>
      </c>
      <c r="D580" s="10" t="s">
        <v>258</v>
      </c>
      <c r="E580" s="10"/>
      <c r="F580" s="10"/>
      <c r="G580" s="10"/>
      <c r="H580" s="10" t="s">
        <v>294</v>
      </c>
      <c r="I580" s="10" t="n">
        <f aca="false">COUNTA(instrument_eigenaartype!G$2:G$2000)</f>
        <v>121</v>
      </c>
      <c r="J580" s="10" t="n">
        <f aca="false">IF(D580="ja",COUNTA(instrument_eigenaartype!$A$2:$A$2000)-I580,"")</f>
        <v>0</v>
      </c>
    </row>
    <row r="581" customFormat="false" ht="15" hidden="false" customHeight="false" outlineLevel="0" collapsed="false">
      <c r="A581" s="10" t="s">
        <v>65</v>
      </c>
      <c r="B581" s="10" t="s">
        <v>295</v>
      </c>
      <c r="C581" s="10" t="s">
        <v>296</v>
      </c>
      <c r="D581" s="10" t="s">
        <v>258</v>
      </c>
      <c r="E581" s="10"/>
      <c r="F581" s="10"/>
      <c r="G581" s="10"/>
      <c r="H581" s="10" t="s">
        <v>297</v>
      </c>
      <c r="I581" s="10" t="n">
        <f aca="false">COUNTA(instrument_eigenaartype!H$2:H$2000)</f>
        <v>121</v>
      </c>
      <c r="J581" s="10" t="n">
        <f aca="false">IF(D581="ja",COUNTA(instrument_eigenaartype!$A$2:$A$2000)-I581,"")</f>
        <v>0</v>
      </c>
    </row>
    <row r="582" customFormat="false" ht="15" hidden="false" customHeight="false" outlineLevel="0" collapsed="false">
      <c r="A582" s="10" t="s">
        <v>65</v>
      </c>
      <c r="B582" s="10" t="s">
        <v>298</v>
      </c>
      <c r="C582" s="10" t="s">
        <v>293</v>
      </c>
      <c r="D582" s="10" t="s">
        <v>258</v>
      </c>
      <c r="E582" s="10"/>
      <c r="F582" s="10"/>
      <c r="G582" s="10"/>
      <c r="H582" s="10" t="s">
        <v>299</v>
      </c>
      <c r="I582" s="10" t="n">
        <f aca="false">COUNTA(instrument_eigenaartype!I$2:I$2000)</f>
        <v>121</v>
      </c>
      <c r="J582" s="10" t="n">
        <f aca="false">IF(D582="ja",COUNTA(instrument_eigenaartype!$A$2:$A$2000)-I582,"")</f>
        <v>0</v>
      </c>
    </row>
    <row r="583" customFormat="false" ht="15" hidden="false" customHeight="false" outlineLevel="0" collapsed="false">
      <c r="A583" s="10" t="s">
        <v>65</v>
      </c>
      <c r="B583" s="10" t="s">
        <v>300</v>
      </c>
      <c r="C583" s="10" t="s">
        <v>296</v>
      </c>
      <c r="D583" s="10" t="s">
        <v>258</v>
      </c>
      <c r="E583" s="10"/>
      <c r="F583" s="10"/>
      <c r="G583" s="10"/>
      <c r="H583" s="10" t="s">
        <v>301</v>
      </c>
      <c r="I583" s="10" t="n">
        <f aca="false">COUNTA(instrument_eigenaartype!J$2:J$2000)</f>
        <v>121</v>
      </c>
      <c r="J583" s="10" t="n">
        <f aca="false">IF(D583="ja",COUNTA(instrument_eigenaartype!$A$2:$A$2000)-I583,"")</f>
        <v>0</v>
      </c>
    </row>
    <row r="584" customFormat="false" ht="15" hidden="false" customHeight="false" outlineLevel="0" collapsed="false">
      <c r="A584" s="10" t="s">
        <v>65</v>
      </c>
      <c r="B584" s="10" t="s">
        <v>302</v>
      </c>
      <c r="C584" s="10" t="s">
        <v>279</v>
      </c>
      <c r="D584" s="10" t="s">
        <v>258</v>
      </c>
      <c r="E584" s="10"/>
      <c r="F584" s="10"/>
      <c r="G584" s="10" t="s">
        <v>303</v>
      </c>
      <c r="H584" s="10" t="s">
        <v>304</v>
      </c>
      <c r="I584" s="10" t="n">
        <f aca="false">COUNTA(instrument_eigenaartype!K$2:K$2000)</f>
        <v>121</v>
      </c>
      <c r="J584" s="10" t="n">
        <f aca="false">IF(D584="ja",COUNTA(instrument_eigenaartype!$A$2:$A$2000)-I584,"")</f>
        <v>0</v>
      </c>
    </row>
    <row r="585" customFormat="false" ht="15" hidden="false" customHeight="false" outlineLevel="0" collapsed="false">
      <c r="A585" s="10" t="s">
        <v>65</v>
      </c>
      <c r="B585" s="10" t="s">
        <v>305</v>
      </c>
      <c r="C585" s="10" t="s">
        <v>286</v>
      </c>
      <c r="D585" s="10" t="s">
        <v>258</v>
      </c>
      <c r="E585" s="10"/>
      <c r="F585" s="10"/>
      <c r="G585" s="10"/>
      <c r="H585" s="10" t="s">
        <v>306</v>
      </c>
      <c r="I585" s="10" t="n">
        <f aca="false">COUNTA(instrument_eigenaartype!L$2:L$2000)</f>
        <v>121</v>
      </c>
      <c r="J585" s="10" t="n">
        <f aca="false">IF(D585="ja",COUNTA(instrument_eigenaartype!$A$2:$A$2000)-I585,"")</f>
        <v>0</v>
      </c>
    </row>
    <row r="586" customFormat="false" ht="15" hidden="false" customHeight="false" outlineLevel="0" collapsed="false">
      <c r="A586" s="10" t="s">
        <v>65</v>
      </c>
      <c r="B586" s="10" t="s">
        <v>307</v>
      </c>
      <c r="C586" s="10" t="s">
        <v>308</v>
      </c>
      <c r="D586" s="10" t="s">
        <v>272</v>
      </c>
      <c r="E586" s="10"/>
      <c r="F586" s="10"/>
      <c r="G586" s="10"/>
      <c r="H586" s="10" t="s">
        <v>309</v>
      </c>
      <c r="I586" s="10" t="n">
        <f aca="false">COUNTA(instrument_eigenaartype!M$2:M$2000)</f>
        <v>0</v>
      </c>
      <c r="J586" s="10" t="str">
        <f aca="false">IF(D586="ja",COUNTA(instrument_eigenaartype!$A$2:$A$2000)-I586,"")</f>
        <v/>
      </c>
    </row>
    <row r="587" customFormat="false" ht="15" hidden="false" customHeight="false" outlineLevel="0" collapsed="false">
      <c r="A587" s="10" t="s">
        <v>65</v>
      </c>
      <c r="B587" s="10" t="s">
        <v>310</v>
      </c>
      <c r="C587" s="10" t="s">
        <v>308</v>
      </c>
      <c r="D587" s="10" t="s">
        <v>272</v>
      </c>
      <c r="E587" s="10"/>
      <c r="F587" s="10"/>
      <c r="G587" s="10"/>
      <c r="H587" s="10" t="s">
        <v>311</v>
      </c>
      <c r="I587" s="10" t="n">
        <f aca="false">COUNTA(instrument_eigenaartype!N$2:N$2000)</f>
        <v>0</v>
      </c>
      <c r="J587" s="10" t="str">
        <f aca="false">IF(D587="ja",COUNTA(instrument_eigenaartype!$A$2:$A$2000)-I587,"")</f>
        <v/>
      </c>
    </row>
    <row r="588" customFormat="false" ht="15" hidden="false" customHeight="false" outlineLevel="0" collapsed="false">
      <c r="A588" s="10" t="s">
        <v>65</v>
      </c>
      <c r="B588" s="10" t="s">
        <v>312</v>
      </c>
      <c r="C588" s="10" t="s">
        <v>271</v>
      </c>
      <c r="D588" s="10" t="s">
        <v>272</v>
      </c>
      <c r="E588" s="10"/>
      <c r="F588" s="10"/>
      <c r="G588" s="10"/>
      <c r="H588" s="10" t="s">
        <v>313</v>
      </c>
      <c r="I588" s="10" t="n">
        <f aca="false">COUNTA(instrument_eigenaartype!O$2:O$2000)</f>
        <v>121</v>
      </c>
      <c r="J588" s="10" t="str">
        <f aca="false">IF(D588="ja",COUNTA(instrument_eigenaartype!$A$2:$A$2000)-I588,"")</f>
        <v/>
      </c>
    </row>
    <row r="589" customFormat="false" ht="15" hidden="false" customHeight="false" outlineLevel="0" collapsed="false">
      <c r="A589" s="9" t="s">
        <v>66</v>
      </c>
      <c r="B589" s="9" t="s">
        <v>576</v>
      </c>
      <c r="C589" s="9" t="s">
        <v>257</v>
      </c>
      <c r="D589" s="9" t="s">
        <v>258</v>
      </c>
      <c r="E589" s="9" t="s">
        <v>259</v>
      </c>
      <c r="F589" s="9"/>
      <c r="G589" s="9"/>
      <c r="H589" s="9"/>
      <c r="I589" s="9" t="n">
        <f aca="false">COUNTA(instrument_objecttype!A$2:A$2000)</f>
        <v>95</v>
      </c>
      <c r="J589" s="9" t="n">
        <f aca="false">IF(D589="ja",COUNTA(instrument_objecttype!$A$2:$A$2000)-I589,"")</f>
        <v>0</v>
      </c>
    </row>
    <row r="590" customFormat="false" ht="15" hidden="false" customHeight="false" outlineLevel="0" collapsed="false">
      <c r="A590" s="9" t="s">
        <v>66</v>
      </c>
      <c r="B590" s="9" t="s">
        <v>469</v>
      </c>
      <c r="C590" s="9" t="s">
        <v>323</v>
      </c>
      <c r="D590" s="9" t="s">
        <v>258</v>
      </c>
      <c r="E590" s="9" t="s">
        <v>324</v>
      </c>
      <c r="F590" s="9" t="s">
        <v>443</v>
      </c>
      <c r="G590" s="9"/>
      <c r="H590" s="9"/>
      <c r="I590" s="9" t="n">
        <f aca="false">COUNTA(instrument_objecttype!B$2:B$2000)</f>
        <v>95</v>
      </c>
      <c r="J590" s="9" t="n">
        <f aca="false">IF(D590="ja",COUNTA(instrument_objecttype!$A$2:$A$2000)-I590,"")</f>
        <v>0</v>
      </c>
    </row>
    <row r="591" customFormat="false" ht="15" hidden="false" customHeight="false" outlineLevel="0" collapsed="false">
      <c r="A591" s="9" t="s">
        <v>66</v>
      </c>
      <c r="B591" s="9" t="s">
        <v>414</v>
      </c>
      <c r="C591" s="9" t="s">
        <v>323</v>
      </c>
      <c r="D591" s="9" t="s">
        <v>258</v>
      </c>
      <c r="E591" s="9" t="s">
        <v>324</v>
      </c>
      <c r="F591" s="9" t="s">
        <v>417</v>
      </c>
      <c r="G591" s="9"/>
      <c r="H591" s="9"/>
      <c r="I591" s="9" t="n">
        <f aca="false">COUNTA(instrument_objecttype!C$2:C$2000)</f>
        <v>95</v>
      </c>
      <c r="J591" s="9" t="n">
        <f aca="false">IF(D591="ja",COUNTA(instrument_objecttype!$A$2:$A$2000)-I591,"")</f>
        <v>0</v>
      </c>
    </row>
    <row r="592" customFormat="false" ht="35.05" hidden="false" customHeight="false" outlineLevel="0" collapsed="false">
      <c r="A592" s="9" t="s">
        <v>66</v>
      </c>
      <c r="B592" s="9" t="s">
        <v>574</v>
      </c>
      <c r="C592" s="9" t="s">
        <v>279</v>
      </c>
      <c r="D592" s="9" t="s">
        <v>258</v>
      </c>
      <c r="E592" s="9"/>
      <c r="F592" s="9"/>
      <c r="G592" s="9" t="s">
        <v>575</v>
      </c>
      <c r="H592" s="9"/>
      <c r="I592" s="9" t="n">
        <f aca="false">COUNTA(instrument_objecttype!D$2:D$2000)</f>
        <v>95</v>
      </c>
      <c r="J592" s="9" t="n">
        <f aca="false">IF(D592="ja",COUNTA(instrument_objecttype!$A$2:$A$2000)-I592,"")</f>
        <v>0</v>
      </c>
    </row>
    <row r="593" customFormat="false" ht="15" hidden="false" customHeight="false" outlineLevel="0" collapsed="false">
      <c r="A593" s="9" t="s">
        <v>66</v>
      </c>
      <c r="B593" s="9" t="s">
        <v>554</v>
      </c>
      <c r="C593" s="9" t="s">
        <v>289</v>
      </c>
      <c r="D593" s="9" t="s">
        <v>258</v>
      </c>
      <c r="E593" s="9"/>
      <c r="F593" s="9"/>
      <c r="G593" s="9" t="s">
        <v>290</v>
      </c>
      <c r="H593" s="9"/>
      <c r="I593" s="9" t="n">
        <f aca="false">COUNTA(instrument_objecttype!E$2:E$2000)</f>
        <v>95</v>
      </c>
      <c r="J593" s="9" t="n">
        <f aca="false">IF(D593="ja",COUNTA(instrument_objecttype!$A$2:$A$2000)-I593,"")</f>
        <v>0</v>
      </c>
    </row>
    <row r="594" customFormat="false" ht="15" hidden="false" customHeight="false" outlineLevel="0" collapsed="false">
      <c r="A594" s="9" t="s">
        <v>66</v>
      </c>
      <c r="B594" s="9" t="s">
        <v>410</v>
      </c>
      <c r="C594" s="9" t="s">
        <v>271</v>
      </c>
      <c r="D594" s="9" t="s">
        <v>272</v>
      </c>
      <c r="E594" s="9"/>
      <c r="F594" s="9"/>
      <c r="G594" s="9"/>
      <c r="H594" s="9"/>
      <c r="I594" s="9" t="n">
        <f aca="false">COUNTA(instrument_objecttype!F$2:F$2000)</f>
        <v>0</v>
      </c>
      <c r="J594" s="9" t="str">
        <f aca="false">IF(D594="ja",COUNTA(instrument_objecttype!$A$2:$A$2000)-I594,"")</f>
        <v/>
      </c>
    </row>
    <row r="595" customFormat="false" ht="15" hidden="false" customHeight="false" outlineLevel="0" collapsed="false">
      <c r="A595" s="10" t="s">
        <v>66</v>
      </c>
      <c r="B595" s="10" t="s">
        <v>292</v>
      </c>
      <c r="C595" s="10" t="s">
        <v>293</v>
      </c>
      <c r="D595" s="10" t="s">
        <v>258</v>
      </c>
      <c r="E595" s="10"/>
      <c r="F595" s="10"/>
      <c r="G595" s="10"/>
      <c r="H595" s="10" t="s">
        <v>294</v>
      </c>
      <c r="I595" s="10" t="n">
        <f aca="false">COUNTA(instrument_objecttype!G$2:G$2000)</f>
        <v>95</v>
      </c>
      <c r="J595" s="10" t="n">
        <f aca="false">IF(D595="ja",COUNTA(instrument_objecttype!$A$2:$A$2000)-I595,"")</f>
        <v>0</v>
      </c>
    </row>
    <row r="596" customFormat="false" ht="15" hidden="false" customHeight="false" outlineLevel="0" collapsed="false">
      <c r="A596" s="10" t="s">
        <v>66</v>
      </c>
      <c r="B596" s="10" t="s">
        <v>295</v>
      </c>
      <c r="C596" s="10" t="s">
        <v>296</v>
      </c>
      <c r="D596" s="10" t="s">
        <v>258</v>
      </c>
      <c r="E596" s="10"/>
      <c r="F596" s="10"/>
      <c r="G596" s="10"/>
      <c r="H596" s="10" t="s">
        <v>297</v>
      </c>
      <c r="I596" s="10" t="n">
        <f aca="false">COUNTA(instrument_objecttype!H$2:H$2000)</f>
        <v>95</v>
      </c>
      <c r="J596" s="10" t="n">
        <f aca="false">IF(D596="ja",COUNTA(instrument_objecttype!$A$2:$A$2000)-I596,"")</f>
        <v>0</v>
      </c>
    </row>
    <row r="597" customFormat="false" ht="15" hidden="false" customHeight="false" outlineLevel="0" collapsed="false">
      <c r="A597" s="10" t="s">
        <v>66</v>
      </c>
      <c r="B597" s="10" t="s">
        <v>298</v>
      </c>
      <c r="C597" s="10" t="s">
        <v>293</v>
      </c>
      <c r="D597" s="10" t="s">
        <v>258</v>
      </c>
      <c r="E597" s="10"/>
      <c r="F597" s="10"/>
      <c r="G597" s="10"/>
      <c r="H597" s="10" t="s">
        <v>299</v>
      </c>
      <c r="I597" s="10" t="n">
        <f aca="false">COUNTA(instrument_objecttype!I$2:I$2000)</f>
        <v>95</v>
      </c>
      <c r="J597" s="10" t="n">
        <f aca="false">IF(D597="ja",COUNTA(instrument_objecttype!$A$2:$A$2000)-I597,"")</f>
        <v>0</v>
      </c>
    </row>
    <row r="598" customFormat="false" ht="15" hidden="false" customHeight="false" outlineLevel="0" collapsed="false">
      <c r="A598" s="10" t="s">
        <v>66</v>
      </c>
      <c r="B598" s="10" t="s">
        <v>300</v>
      </c>
      <c r="C598" s="10" t="s">
        <v>296</v>
      </c>
      <c r="D598" s="10" t="s">
        <v>258</v>
      </c>
      <c r="E598" s="10"/>
      <c r="F598" s="10"/>
      <c r="G598" s="10"/>
      <c r="H598" s="10" t="s">
        <v>301</v>
      </c>
      <c r="I598" s="10" t="n">
        <f aca="false">COUNTA(instrument_objecttype!J$2:J$2000)</f>
        <v>95</v>
      </c>
      <c r="J598" s="10" t="n">
        <f aca="false">IF(D598="ja",COUNTA(instrument_objecttype!$A$2:$A$2000)-I598,"")</f>
        <v>0</v>
      </c>
    </row>
    <row r="599" customFormat="false" ht="15" hidden="false" customHeight="false" outlineLevel="0" collapsed="false">
      <c r="A599" s="10" t="s">
        <v>66</v>
      </c>
      <c r="B599" s="10" t="s">
        <v>302</v>
      </c>
      <c r="C599" s="10" t="s">
        <v>279</v>
      </c>
      <c r="D599" s="10" t="s">
        <v>258</v>
      </c>
      <c r="E599" s="10"/>
      <c r="F599" s="10"/>
      <c r="G599" s="10" t="s">
        <v>303</v>
      </c>
      <c r="H599" s="10" t="s">
        <v>304</v>
      </c>
      <c r="I599" s="10" t="n">
        <f aca="false">COUNTA(instrument_objecttype!K$2:K$2000)</f>
        <v>95</v>
      </c>
      <c r="J599" s="10" t="n">
        <f aca="false">IF(D599="ja",COUNTA(instrument_objecttype!$A$2:$A$2000)-I599,"")</f>
        <v>0</v>
      </c>
    </row>
    <row r="600" customFormat="false" ht="15" hidden="false" customHeight="false" outlineLevel="0" collapsed="false">
      <c r="A600" s="10" t="s">
        <v>66</v>
      </c>
      <c r="B600" s="10" t="s">
        <v>305</v>
      </c>
      <c r="C600" s="10" t="s">
        <v>286</v>
      </c>
      <c r="D600" s="10" t="s">
        <v>258</v>
      </c>
      <c r="E600" s="10"/>
      <c r="F600" s="10"/>
      <c r="G600" s="10"/>
      <c r="H600" s="10" t="s">
        <v>306</v>
      </c>
      <c r="I600" s="10" t="n">
        <f aca="false">COUNTA(instrument_objecttype!L$2:L$2000)</f>
        <v>95</v>
      </c>
      <c r="J600" s="10" t="n">
        <f aca="false">IF(D600="ja",COUNTA(instrument_objecttype!$A$2:$A$2000)-I600,"")</f>
        <v>0</v>
      </c>
    </row>
    <row r="601" customFormat="false" ht="15" hidden="false" customHeight="false" outlineLevel="0" collapsed="false">
      <c r="A601" s="10" t="s">
        <v>66</v>
      </c>
      <c r="B601" s="10" t="s">
        <v>307</v>
      </c>
      <c r="C601" s="10" t="s">
        <v>308</v>
      </c>
      <c r="D601" s="10" t="s">
        <v>272</v>
      </c>
      <c r="E601" s="10"/>
      <c r="F601" s="10"/>
      <c r="G601" s="10"/>
      <c r="H601" s="10" t="s">
        <v>309</v>
      </c>
      <c r="I601" s="10" t="n">
        <f aca="false">COUNTA(instrument_objecttype!M$2:M$2000)</f>
        <v>0</v>
      </c>
      <c r="J601" s="10" t="str">
        <f aca="false">IF(D601="ja",COUNTA(instrument_objecttype!$A$2:$A$2000)-I601,"")</f>
        <v/>
      </c>
    </row>
    <row r="602" customFormat="false" ht="15" hidden="false" customHeight="false" outlineLevel="0" collapsed="false">
      <c r="A602" s="10" t="s">
        <v>66</v>
      </c>
      <c r="B602" s="10" t="s">
        <v>310</v>
      </c>
      <c r="C602" s="10" t="s">
        <v>308</v>
      </c>
      <c r="D602" s="10" t="s">
        <v>272</v>
      </c>
      <c r="E602" s="10"/>
      <c r="F602" s="10"/>
      <c r="G602" s="10"/>
      <c r="H602" s="10" t="s">
        <v>311</v>
      </c>
      <c r="I602" s="10" t="n">
        <f aca="false">COUNTA(instrument_objecttype!N$2:N$2000)</f>
        <v>0</v>
      </c>
      <c r="J602" s="10" t="str">
        <f aca="false">IF(D602="ja",COUNTA(instrument_objecttype!$A$2:$A$2000)-I602,"")</f>
        <v/>
      </c>
    </row>
    <row r="603" customFormat="false" ht="15" hidden="false" customHeight="false" outlineLevel="0" collapsed="false">
      <c r="A603" s="10" t="s">
        <v>66</v>
      </c>
      <c r="B603" s="10" t="s">
        <v>312</v>
      </c>
      <c r="C603" s="10" t="s">
        <v>271</v>
      </c>
      <c r="D603" s="10" t="s">
        <v>272</v>
      </c>
      <c r="E603" s="10"/>
      <c r="F603" s="10"/>
      <c r="G603" s="10"/>
      <c r="H603" s="10" t="s">
        <v>313</v>
      </c>
      <c r="I603" s="10" t="n">
        <f aca="false">COUNTA(instrument_objecttype!O$2:O$2000)</f>
        <v>95</v>
      </c>
      <c r="J603" s="10" t="str">
        <f aca="false">IF(D603="ja",COUNTA(instrument_objecttype!$A$2:$A$2000)-I603,"")</f>
        <v/>
      </c>
    </row>
    <row r="604" customFormat="false" ht="15" hidden="false" customHeight="false" outlineLevel="0" collapsed="false">
      <c r="A604" s="9" t="s">
        <v>67</v>
      </c>
      <c r="B604" s="9" t="s">
        <v>577</v>
      </c>
      <c r="C604" s="9" t="s">
        <v>257</v>
      </c>
      <c r="D604" s="9" t="s">
        <v>258</v>
      </c>
      <c r="E604" s="9" t="s">
        <v>259</v>
      </c>
      <c r="F604" s="9"/>
      <c r="G604" s="9"/>
      <c r="H604" s="9"/>
      <c r="I604" s="9" t="n">
        <f aca="false">COUNTA(financiele_route!A$2:A$2000)</f>
        <v>17</v>
      </c>
      <c r="J604" s="9" t="n">
        <f aca="false">IF(D604="ja",COUNTA(financiele_route!$A$2:$A$2000)-I604,"")</f>
        <v>0</v>
      </c>
    </row>
    <row r="605" customFormat="false" ht="15" hidden="false" customHeight="false" outlineLevel="0" collapsed="false">
      <c r="A605" s="9" t="s">
        <v>67</v>
      </c>
      <c r="B605" s="9" t="s">
        <v>578</v>
      </c>
      <c r="C605" s="9" t="s">
        <v>262</v>
      </c>
      <c r="D605" s="9" t="s">
        <v>258</v>
      </c>
      <c r="E605" s="9"/>
      <c r="F605" s="9"/>
      <c r="G605" s="9"/>
      <c r="H605" s="9"/>
      <c r="I605" s="9" t="n">
        <f aca="false">COUNTA(financiele_route!B$2:B$2000)</f>
        <v>17</v>
      </c>
      <c r="J605" s="9" t="n">
        <f aca="false">IF(D605="ja",COUNTA(financiele_route!$A$2:$A$2000)-I605,"")</f>
        <v>0</v>
      </c>
    </row>
    <row r="606" customFormat="false" ht="15" hidden="false" customHeight="false" outlineLevel="0" collapsed="false">
      <c r="A606" s="9" t="s">
        <v>67</v>
      </c>
      <c r="B606" s="9" t="s">
        <v>264</v>
      </c>
      <c r="C606" s="9" t="s">
        <v>265</v>
      </c>
      <c r="D606" s="9" t="s">
        <v>258</v>
      </c>
      <c r="E606" s="9"/>
      <c r="F606" s="9"/>
      <c r="G606" s="9"/>
      <c r="H606" s="9"/>
      <c r="I606" s="9" t="n">
        <f aca="false">COUNTA(financiele_route!C$2:C$2000)</f>
        <v>17</v>
      </c>
      <c r="J606" s="9" t="n">
        <f aca="false">IF(D606="ja",COUNTA(financiele_route!$A$2:$A$2000)-I606,"")</f>
        <v>0</v>
      </c>
    </row>
    <row r="607" customFormat="false" ht="15" hidden="false" customHeight="false" outlineLevel="0" collapsed="false">
      <c r="A607" s="9" t="s">
        <v>67</v>
      </c>
      <c r="B607" s="9" t="s">
        <v>319</v>
      </c>
      <c r="C607" s="9" t="s">
        <v>271</v>
      </c>
      <c r="D607" s="9" t="s">
        <v>258</v>
      </c>
      <c r="E607" s="9"/>
      <c r="F607" s="9"/>
      <c r="G607" s="9"/>
      <c r="H607" s="9"/>
      <c r="I607" s="9" t="n">
        <f aca="false">COUNTA(financiele_route!D$2:D$2000)</f>
        <v>17</v>
      </c>
      <c r="J607" s="9" t="n">
        <f aca="false">IF(D607="ja",COUNTA(financiele_route!$A$2:$A$2000)-I607,"")</f>
        <v>0</v>
      </c>
    </row>
    <row r="608" customFormat="false" ht="15" hidden="false" customHeight="false" outlineLevel="0" collapsed="false">
      <c r="A608" s="9" t="s">
        <v>67</v>
      </c>
      <c r="B608" s="9" t="s">
        <v>579</v>
      </c>
      <c r="C608" s="9" t="s">
        <v>283</v>
      </c>
      <c r="D608" s="9" t="s">
        <v>272</v>
      </c>
      <c r="E608" s="9"/>
      <c r="F608" s="9"/>
      <c r="G608" s="9" t="s">
        <v>433</v>
      </c>
      <c r="H608" s="9"/>
      <c r="I608" s="9" t="n">
        <f aca="false">COUNTA(financiele_route!E$2:E$2000)</f>
        <v>0</v>
      </c>
      <c r="J608" s="9" t="str">
        <f aca="false">IF(D608="ja",COUNTA(financiele_route!$A$2:$A$2000)-I608,"")</f>
        <v/>
      </c>
    </row>
    <row r="609" customFormat="false" ht="15" hidden="false" customHeight="false" outlineLevel="0" collapsed="false">
      <c r="A609" s="9" t="s">
        <v>67</v>
      </c>
      <c r="B609" s="9" t="s">
        <v>580</v>
      </c>
      <c r="C609" s="9" t="s">
        <v>271</v>
      </c>
      <c r="D609" s="9" t="s">
        <v>272</v>
      </c>
      <c r="E609" s="9"/>
      <c r="F609" s="9"/>
      <c r="G609" s="9"/>
      <c r="H609" s="9"/>
      <c r="I609" s="9" t="n">
        <f aca="false">COUNTA(financiele_route!F$2:F$2000)</f>
        <v>0</v>
      </c>
      <c r="J609" s="9" t="str">
        <f aca="false">IF(D609="ja",COUNTA(financiele_route!$A$2:$A$2000)-I609,"")</f>
        <v/>
      </c>
    </row>
    <row r="610" customFormat="false" ht="15" hidden="false" customHeight="false" outlineLevel="0" collapsed="false">
      <c r="A610" s="9" t="s">
        <v>67</v>
      </c>
      <c r="B610" s="9" t="s">
        <v>276</v>
      </c>
      <c r="C610" s="9" t="s">
        <v>271</v>
      </c>
      <c r="D610" s="9" t="s">
        <v>272</v>
      </c>
      <c r="E610" s="9"/>
      <c r="F610" s="9"/>
      <c r="G610" s="9"/>
      <c r="H610" s="9"/>
      <c r="I610" s="9" t="n">
        <f aca="false">COUNTA(financiele_route!G$2:G$2000)</f>
        <v>0</v>
      </c>
      <c r="J610" s="9" t="str">
        <f aca="false">IF(D610="ja",COUNTA(financiele_route!$A$2:$A$2000)-I610,"")</f>
        <v/>
      </c>
    </row>
    <row r="611" customFormat="false" ht="15" hidden="false" customHeight="false" outlineLevel="0" collapsed="false">
      <c r="A611" s="9" t="s">
        <v>67</v>
      </c>
      <c r="B611" s="9" t="s">
        <v>340</v>
      </c>
      <c r="C611" s="9" t="s">
        <v>289</v>
      </c>
      <c r="D611" s="9" t="s">
        <v>258</v>
      </c>
      <c r="E611" s="9"/>
      <c r="F611" s="9"/>
      <c r="G611" s="9" t="s">
        <v>290</v>
      </c>
      <c r="H611" s="9"/>
      <c r="I611" s="9" t="n">
        <f aca="false">COUNTA(financiele_route!H$2:H$2000)</f>
        <v>17</v>
      </c>
      <c r="J611" s="9" t="n">
        <f aca="false">IF(D611="ja",COUNTA(financiele_route!$A$2:$A$2000)-I611,"")</f>
        <v>0</v>
      </c>
    </row>
    <row r="612" customFormat="false" ht="15" hidden="false" customHeight="false" outlineLevel="0" collapsed="false">
      <c r="A612" s="9" t="s">
        <v>67</v>
      </c>
      <c r="B612" s="9" t="s">
        <v>285</v>
      </c>
      <c r="C612" s="9" t="s">
        <v>286</v>
      </c>
      <c r="D612" s="9" t="s">
        <v>258</v>
      </c>
      <c r="E612" s="9"/>
      <c r="F612" s="9"/>
      <c r="G612" s="9"/>
      <c r="H612" s="9"/>
      <c r="I612" s="9" t="n">
        <f aca="false">COUNTA(financiele_route!I$2:I$2000)</f>
        <v>17</v>
      </c>
      <c r="J612" s="9" t="n">
        <f aca="false">IF(D612="ja",COUNTA(financiele_route!$A$2:$A$2000)-I612,"")</f>
        <v>0</v>
      </c>
    </row>
    <row r="613" customFormat="false" ht="15" hidden="false" customHeight="false" outlineLevel="0" collapsed="false">
      <c r="A613" s="10" t="s">
        <v>67</v>
      </c>
      <c r="B613" s="10" t="s">
        <v>292</v>
      </c>
      <c r="C613" s="10" t="s">
        <v>293</v>
      </c>
      <c r="D613" s="10" t="s">
        <v>258</v>
      </c>
      <c r="E613" s="10"/>
      <c r="F613" s="10"/>
      <c r="G613" s="10"/>
      <c r="H613" s="10" t="s">
        <v>294</v>
      </c>
      <c r="I613" s="10" t="n">
        <f aca="false">COUNTA(financiele_route!J$2:J$2000)</f>
        <v>17</v>
      </c>
      <c r="J613" s="10" t="n">
        <f aca="false">IF(D613="ja",COUNTA(financiele_route!$A$2:$A$2000)-I613,"")</f>
        <v>0</v>
      </c>
    </row>
    <row r="614" customFormat="false" ht="15" hidden="false" customHeight="false" outlineLevel="0" collapsed="false">
      <c r="A614" s="10" t="s">
        <v>67</v>
      </c>
      <c r="B614" s="10" t="s">
        <v>295</v>
      </c>
      <c r="C614" s="10" t="s">
        <v>296</v>
      </c>
      <c r="D614" s="10" t="s">
        <v>258</v>
      </c>
      <c r="E614" s="10"/>
      <c r="F614" s="10"/>
      <c r="G614" s="10"/>
      <c r="H614" s="10" t="s">
        <v>297</v>
      </c>
      <c r="I614" s="10" t="n">
        <f aca="false">COUNTA(financiele_route!K$2:K$2000)</f>
        <v>17</v>
      </c>
      <c r="J614" s="10" t="n">
        <f aca="false">IF(D614="ja",COUNTA(financiele_route!$A$2:$A$2000)-I614,"")</f>
        <v>0</v>
      </c>
    </row>
    <row r="615" customFormat="false" ht="15" hidden="false" customHeight="false" outlineLevel="0" collapsed="false">
      <c r="A615" s="10" t="s">
        <v>67</v>
      </c>
      <c r="B615" s="10" t="s">
        <v>298</v>
      </c>
      <c r="C615" s="10" t="s">
        <v>293</v>
      </c>
      <c r="D615" s="10" t="s">
        <v>258</v>
      </c>
      <c r="E615" s="10"/>
      <c r="F615" s="10"/>
      <c r="G615" s="10"/>
      <c r="H615" s="10" t="s">
        <v>299</v>
      </c>
      <c r="I615" s="10" t="n">
        <f aca="false">COUNTA(financiele_route!L$2:L$2000)</f>
        <v>17</v>
      </c>
      <c r="J615" s="10" t="n">
        <f aca="false">IF(D615="ja",COUNTA(financiele_route!$A$2:$A$2000)-I615,"")</f>
        <v>0</v>
      </c>
    </row>
    <row r="616" customFormat="false" ht="15" hidden="false" customHeight="false" outlineLevel="0" collapsed="false">
      <c r="A616" s="10" t="s">
        <v>67</v>
      </c>
      <c r="B616" s="10" t="s">
        <v>300</v>
      </c>
      <c r="C616" s="10" t="s">
        <v>296</v>
      </c>
      <c r="D616" s="10" t="s">
        <v>258</v>
      </c>
      <c r="E616" s="10"/>
      <c r="F616" s="10"/>
      <c r="G616" s="10"/>
      <c r="H616" s="10" t="s">
        <v>301</v>
      </c>
      <c r="I616" s="10" t="n">
        <f aca="false">COUNTA(financiele_route!M$2:M$2000)</f>
        <v>17</v>
      </c>
      <c r="J616" s="10" t="n">
        <f aca="false">IF(D616="ja",COUNTA(financiele_route!$A$2:$A$2000)-I616,"")</f>
        <v>0</v>
      </c>
    </row>
    <row r="617" customFormat="false" ht="15" hidden="false" customHeight="false" outlineLevel="0" collapsed="false">
      <c r="A617" s="10" t="s">
        <v>67</v>
      </c>
      <c r="B617" s="10" t="s">
        <v>302</v>
      </c>
      <c r="C617" s="10" t="s">
        <v>279</v>
      </c>
      <c r="D617" s="10" t="s">
        <v>258</v>
      </c>
      <c r="E617" s="10"/>
      <c r="F617" s="10"/>
      <c r="G617" s="10" t="s">
        <v>303</v>
      </c>
      <c r="H617" s="10" t="s">
        <v>304</v>
      </c>
      <c r="I617" s="10" t="n">
        <f aca="false">COUNTA(financiele_route!N$2:N$2000)</f>
        <v>17</v>
      </c>
      <c r="J617" s="10" t="n">
        <f aca="false">IF(D617="ja",COUNTA(financiele_route!$A$2:$A$2000)-I617,"")</f>
        <v>0</v>
      </c>
    </row>
    <row r="618" customFormat="false" ht="15" hidden="false" customHeight="false" outlineLevel="0" collapsed="false">
      <c r="A618" s="10" t="s">
        <v>67</v>
      </c>
      <c r="B618" s="10" t="s">
        <v>305</v>
      </c>
      <c r="C618" s="10" t="s">
        <v>286</v>
      </c>
      <c r="D618" s="10" t="s">
        <v>258</v>
      </c>
      <c r="E618" s="10"/>
      <c r="F618" s="10"/>
      <c r="G618" s="10"/>
      <c r="H618" s="10" t="s">
        <v>306</v>
      </c>
      <c r="I618" s="10" t="n">
        <f aca="false">COUNTA(financiele_route!O$2:O$2000)</f>
        <v>17</v>
      </c>
      <c r="J618" s="10" t="n">
        <f aca="false">IF(D618="ja",COUNTA(financiele_route!$A$2:$A$2000)-I618,"")</f>
        <v>0</v>
      </c>
    </row>
    <row r="619" customFormat="false" ht="15" hidden="false" customHeight="false" outlineLevel="0" collapsed="false">
      <c r="A619" s="10" t="s">
        <v>67</v>
      </c>
      <c r="B619" s="10" t="s">
        <v>307</v>
      </c>
      <c r="C619" s="10" t="s">
        <v>308</v>
      </c>
      <c r="D619" s="10" t="s">
        <v>272</v>
      </c>
      <c r="E619" s="10"/>
      <c r="F619" s="10"/>
      <c r="G619" s="10"/>
      <c r="H619" s="10" t="s">
        <v>309</v>
      </c>
      <c r="I619" s="10" t="n">
        <f aca="false">COUNTA(financiele_route!P$2:P$2000)</f>
        <v>0</v>
      </c>
      <c r="J619" s="10" t="str">
        <f aca="false">IF(D619="ja",COUNTA(financiele_route!$A$2:$A$2000)-I619,"")</f>
        <v/>
      </c>
    </row>
    <row r="620" customFormat="false" ht="15" hidden="false" customHeight="false" outlineLevel="0" collapsed="false">
      <c r="A620" s="10" t="s">
        <v>67</v>
      </c>
      <c r="B620" s="10" t="s">
        <v>310</v>
      </c>
      <c r="C620" s="10" t="s">
        <v>308</v>
      </c>
      <c r="D620" s="10" t="s">
        <v>272</v>
      </c>
      <c r="E620" s="10"/>
      <c r="F620" s="10"/>
      <c r="G620" s="10"/>
      <c r="H620" s="10" t="s">
        <v>311</v>
      </c>
      <c r="I620" s="10" t="n">
        <f aca="false">COUNTA(financiele_route!Q$2:Q$2000)</f>
        <v>0</v>
      </c>
      <c r="J620" s="10" t="str">
        <f aca="false">IF(D620="ja",COUNTA(financiele_route!$A$2:$A$2000)-I620,"")</f>
        <v/>
      </c>
    </row>
    <row r="621" customFormat="false" ht="15" hidden="false" customHeight="false" outlineLevel="0" collapsed="false">
      <c r="A621" s="10" t="s">
        <v>67</v>
      </c>
      <c r="B621" s="10" t="s">
        <v>312</v>
      </c>
      <c r="C621" s="10" t="s">
        <v>271</v>
      </c>
      <c r="D621" s="10" t="s">
        <v>272</v>
      </c>
      <c r="E621" s="10"/>
      <c r="F621" s="10"/>
      <c r="G621" s="10"/>
      <c r="H621" s="10" t="s">
        <v>313</v>
      </c>
      <c r="I621" s="10" t="n">
        <f aca="false">COUNTA(financiele_route!R$2:R$2000)</f>
        <v>17</v>
      </c>
      <c r="J621" s="10" t="str">
        <f aca="false">IF(D621="ja",COUNTA(financiele_route!$A$2:$A$2000)-I621,"")</f>
        <v/>
      </c>
    </row>
    <row r="622" customFormat="false" ht="15" hidden="false" customHeight="false" outlineLevel="0" collapsed="false">
      <c r="A622" s="9" t="s">
        <v>68</v>
      </c>
      <c r="B622" s="9" t="s">
        <v>581</v>
      </c>
      <c r="C622" s="9" t="s">
        <v>257</v>
      </c>
      <c r="D622" s="9" t="s">
        <v>258</v>
      </c>
      <c r="E622" s="9" t="s">
        <v>259</v>
      </c>
      <c r="F622" s="9"/>
      <c r="G622" s="9"/>
      <c r="H622" s="9"/>
      <c r="I622" s="9" t="n">
        <f aca="false">COUNTA(instrument_financiele_route!A$2:A$2000)</f>
        <v>77</v>
      </c>
      <c r="J622" s="9" t="n">
        <f aca="false">IF(D622="ja",COUNTA(instrument_financiele_route!$A$2:$A$2000)-I622,"")</f>
        <v>0</v>
      </c>
    </row>
    <row r="623" customFormat="false" ht="15" hidden="false" customHeight="false" outlineLevel="0" collapsed="false">
      <c r="A623" s="9" t="s">
        <v>68</v>
      </c>
      <c r="B623" s="9" t="s">
        <v>469</v>
      </c>
      <c r="C623" s="9" t="s">
        <v>323</v>
      </c>
      <c r="D623" s="9" t="s">
        <v>258</v>
      </c>
      <c r="E623" s="9" t="s">
        <v>324</v>
      </c>
      <c r="F623" s="9" t="s">
        <v>443</v>
      </c>
      <c r="G623" s="9"/>
      <c r="H623" s="9"/>
      <c r="I623" s="9" t="n">
        <f aca="false">COUNTA(instrument_financiele_route!B$2:B$2000)</f>
        <v>77</v>
      </c>
      <c r="J623" s="9" t="n">
        <f aca="false">IF(D623="ja",COUNTA(instrument_financiele_route!$A$2:$A$2000)-I623,"")</f>
        <v>0</v>
      </c>
    </row>
    <row r="624" customFormat="false" ht="15" hidden="false" customHeight="false" outlineLevel="0" collapsed="false">
      <c r="A624" s="9" t="s">
        <v>68</v>
      </c>
      <c r="B624" s="9" t="s">
        <v>577</v>
      </c>
      <c r="C624" s="9" t="s">
        <v>323</v>
      </c>
      <c r="D624" s="9" t="s">
        <v>258</v>
      </c>
      <c r="E624" s="9" t="s">
        <v>324</v>
      </c>
      <c r="F624" s="9" t="s">
        <v>582</v>
      </c>
      <c r="G624" s="9"/>
      <c r="H624" s="9"/>
      <c r="I624" s="9" t="n">
        <f aca="false">COUNTA(instrument_financiele_route!C$2:C$2000)</f>
        <v>77</v>
      </c>
      <c r="J624" s="9" t="n">
        <f aca="false">IF(D624="ja",COUNTA(instrument_financiele_route!$A$2:$A$2000)-I624,"")</f>
        <v>0</v>
      </c>
    </row>
    <row r="625" customFormat="false" ht="15" hidden="false" customHeight="false" outlineLevel="0" collapsed="false">
      <c r="A625" s="9" t="s">
        <v>68</v>
      </c>
      <c r="B625" s="9" t="s">
        <v>583</v>
      </c>
      <c r="C625" s="9" t="s">
        <v>286</v>
      </c>
      <c r="D625" s="9" t="s">
        <v>272</v>
      </c>
      <c r="E625" s="9"/>
      <c r="F625" s="9"/>
      <c r="G625" s="9"/>
      <c r="H625" s="9"/>
      <c r="I625" s="9" t="n">
        <f aca="false">COUNTA(instrument_financiele_route!D$2:D$2000)</f>
        <v>0</v>
      </c>
      <c r="J625" s="9" t="str">
        <f aca="false">IF(D625="ja",COUNTA(instrument_financiele_route!$A$2:$A$2000)-I625,"")</f>
        <v/>
      </c>
    </row>
    <row r="626" customFormat="false" ht="15" hidden="false" customHeight="false" outlineLevel="0" collapsed="false">
      <c r="A626" s="9" t="s">
        <v>68</v>
      </c>
      <c r="B626" s="9" t="s">
        <v>584</v>
      </c>
      <c r="C626" s="9" t="s">
        <v>453</v>
      </c>
      <c r="D626" s="9" t="s">
        <v>272</v>
      </c>
      <c r="E626" s="9"/>
      <c r="F626" s="9"/>
      <c r="G626" s="9" t="s">
        <v>433</v>
      </c>
      <c r="H626" s="9"/>
      <c r="I626" s="9" t="n">
        <f aca="false">COUNTA(instrument_financiele_route!E$2:E$2000)</f>
        <v>0</v>
      </c>
      <c r="J626" s="9" t="str">
        <f aca="false">IF(D626="ja",COUNTA(instrument_financiele_route!$A$2:$A$2000)-I626,"")</f>
        <v/>
      </c>
    </row>
    <row r="627" customFormat="false" ht="15" hidden="false" customHeight="false" outlineLevel="0" collapsed="false">
      <c r="A627" s="9" t="s">
        <v>68</v>
      </c>
      <c r="B627" s="9" t="s">
        <v>554</v>
      </c>
      <c r="C627" s="9" t="s">
        <v>289</v>
      </c>
      <c r="D627" s="9" t="s">
        <v>258</v>
      </c>
      <c r="E627" s="9"/>
      <c r="F627" s="9"/>
      <c r="G627" s="9" t="s">
        <v>290</v>
      </c>
      <c r="H627" s="9"/>
      <c r="I627" s="9" t="n">
        <f aca="false">COUNTA(instrument_financiele_route!F$2:F$2000)</f>
        <v>77</v>
      </c>
      <c r="J627" s="9" t="n">
        <f aca="false">IF(D627="ja",COUNTA(instrument_financiele_route!$A$2:$A$2000)-I627,"")</f>
        <v>0</v>
      </c>
    </row>
    <row r="628" customFormat="false" ht="15" hidden="false" customHeight="false" outlineLevel="0" collapsed="false">
      <c r="A628" s="9" t="s">
        <v>68</v>
      </c>
      <c r="B628" s="9" t="s">
        <v>410</v>
      </c>
      <c r="C628" s="9" t="s">
        <v>271</v>
      </c>
      <c r="D628" s="9" t="s">
        <v>272</v>
      </c>
      <c r="E628" s="9"/>
      <c r="F628" s="9"/>
      <c r="G628" s="9"/>
      <c r="H628" s="9"/>
      <c r="I628" s="9" t="n">
        <f aca="false">COUNTA(instrument_financiele_route!G$2:G$2000)</f>
        <v>0</v>
      </c>
      <c r="J628" s="9" t="str">
        <f aca="false">IF(D628="ja",COUNTA(instrument_financiele_route!$A$2:$A$2000)-I628,"")</f>
        <v/>
      </c>
    </row>
    <row r="629" customFormat="false" ht="15" hidden="false" customHeight="false" outlineLevel="0" collapsed="false">
      <c r="A629" s="10" t="s">
        <v>68</v>
      </c>
      <c r="B629" s="10" t="s">
        <v>292</v>
      </c>
      <c r="C629" s="10" t="s">
        <v>293</v>
      </c>
      <c r="D629" s="10" t="s">
        <v>258</v>
      </c>
      <c r="E629" s="10"/>
      <c r="F629" s="10"/>
      <c r="G629" s="10"/>
      <c r="H629" s="10" t="s">
        <v>294</v>
      </c>
      <c r="I629" s="10" t="n">
        <f aca="false">COUNTA(instrument_financiele_route!H$2:H$2000)</f>
        <v>77</v>
      </c>
      <c r="J629" s="10" t="n">
        <f aca="false">IF(D629="ja",COUNTA(instrument_financiele_route!$A$2:$A$2000)-I629,"")</f>
        <v>0</v>
      </c>
    </row>
    <row r="630" customFormat="false" ht="15" hidden="false" customHeight="false" outlineLevel="0" collapsed="false">
      <c r="A630" s="10" t="s">
        <v>68</v>
      </c>
      <c r="B630" s="10" t="s">
        <v>295</v>
      </c>
      <c r="C630" s="10" t="s">
        <v>296</v>
      </c>
      <c r="D630" s="10" t="s">
        <v>258</v>
      </c>
      <c r="E630" s="10"/>
      <c r="F630" s="10"/>
      <c r="G630" s="10"/>
      <c r="H630" s="10" t="s">
        <v>297</v>
      </c>
      <c r="I630" s="10" t="n">
        <f aca="false">COUNTA(instrument_financiele_route!I$2:I$2000)</f>
        <v>77</v>
      </c>
      <c r="J630" s="10" t="n">
        <f aca="false">IF(D630="ja",COUNTA(instrument_financiele_route!$A$2:$A$2000)-I630,"")</f>
        <v>0</v>
      </c>
    </row>
    <row r="631" customFormat="false" ht="15" hidden="false" customHeight="false" outlineLevel="0" collapsed="false">
      <c r="A631" s="10" t="s">
        <v>68</v>
      </c>
      <c r="B631" s="10" t="s">
        <v>298</v>
      </c>
      <c r="C631" s="10" t="s">
        <v>293</v>
      </c>
      <c r="D631" s="10" t="s">
        <v>258</v>
      </c>
      <c r="E631" s="10"/>
      <c r="F631" s="10"/>
      <c r="G631" s="10"/>
      <c r="H631" s="10" t="s">
        <v>299</v>
      </c>
      <c r="I631" s="10" t="n">
        <f aca="false">COUNTA(instrument_financiele_route!J$2:J$2000)</f>
        <v>77</v>
      </c>
      <c r="J631" s="10" t="n">
        <f aca="false">IF(D631="ja",COUNTA(instrument_financiele_route!$A$2:$A$2000)-I631,"")</f>
        <v>0</v>
      </c>
    </row>
    <row r="632" customFormat="false" ht="15" hidden="false" customHeight="false" outlineLevel="0" collapsed="false">
      <c r="A632" s="10" t="s">
        <v>68</v>
      </c>
      <c r="B632" s="10" t="s">
        <v>300</v>
      </c>
      <c r="C632" s="10" t="s">
        <v>296</v>
      </c>
      <c r="D632" s="10" t="s">
        <v>258</v>
      </c>
      <c r="E632" s="10"/>
      <c r="F632" s="10"/>
      <c r="G632" s="10"/>
      <c r="H632" s="10" t="s">
        <v>301</v>
      </c>
      <c r="I632" s="10" t="n">
        <f aca="false">COUNTA(instrument_financiele_route!K$2:K$2000)</f>
        <v>77</v>
      </c>
      <c r="J632" s="10" t="n">
        <f aca="false">IF(D632="ja",COUNTA(instrument_financiele_route!$A$2:$A$2000)-I632,"")</f>
        <v>0</v>
      </c>
    </row>
    <row r="633" customFormat="false" ht="15" hidden="false" customHeight="false" outlineLevel="0" collapsed="false">
      <c r="A633" s="10" t="s">
        <v>68</v>
      </c>
      <c r="B633" s="10" t="s">
        <v>302</v>
      </c>
      <c r="C633" s="10" t="s">
        <v>279</v>
      </c>
      <c r="D633" s="10" t="s">
        <v>258</v>
      </c>
      <c r="E633" s="10"/>
      <c r="F633" s="10"/>
      <c r="G633" s="10" t="s">
        <v>303</v>
      </c>
      <c r="H633" s="10" t="s">
        <v>304</v>
      </c>
      <c r="I633" s="10" t="n">
        <f aca="false">COUNTA(instrument_financiele_route!L$2:L$2000)</f>
        <v>77</v>
      </c>
      <c r="J633" s="10" t="n">
        <f aca="false">IF(D633="ja",COUNTA(instrument_financiele_route!$A$2:$A$2000)-I633,"")</f>
        <v>0</v>
      </c>
    </row>
    <row r="634" customFormat="false" ht="15" hidden="false" customHeight="false" outlineLevel="0" collapsed="false">
      <c r="A634" s="10" t="s">
        <v>68</v>
      </c>
      <c r="B634" s="10" t="s">
        <v>305</v>
      </c>
      <c r="C634" s="10" t="s">
        <v>286</v>
      </c>
      <c r="D634" s="10" t="s">
        <v>258</v>
      </c>
      <c r="E634" s="10"/>
      <c r="F634" s="10"/>
      <c r="G634" s="10"/>
      <c r="H634" s="10" t="s">
        <v>306</v>
      </c>
      <c r="I634" s="10" t="n">
        <f aca="false">COUNTA(instrument_financiele_route!M$2:M$2000)</f>
        <v>77</v>
      </c>
      <c r="J634" s="10" t="n">
        <f aca="false">IF(D634="ja",COUNTA(instrument_financiele_route!$A$2:$A$2000)-I634,"")</f>
        <v>0</v>
      </c>
    </row>
    <row r="635" customFormat="false" ht="15" hidden="false" customHeight="false" outlineLevel="0" collapsed="false">
      <c r="A635" s="10" t="s">
        <v>68</v>
      </c>
      <c r="B635" s="10" t="s">
        <v>307</v>
      </c>
      <c r="C635" s="10" t="s">
        <v>308</v>
      </c>
      <c r="D635" s="10" t="s">
        <v>272</v>
      </c>
      <c r="E635" s="10"/>
      <c r="F635" s="10"/>
      <c r="G635" s="10"/>
      <c r="H635" s="10" t="s">
        <v>309</v>
      </c>
      <c r="I635" s="10" t="n">
        <f aca="false">COUNTA(instrument_financiele_route!N$2:N$2000)</f>
        <v>0</v>
      </c>
      <c r="J635" s="10" t="str">
        <f aca="false">IF(D635="ja",COUNTA(instrument_financiele_route!$A$2:$A$2000)-I635,"")</f>
        <v/>
      </c>
    </row>
    <row r="636" customFormat="false" ht="15" hidden="false" customHeight="false" outlineLevel="0" collapsed="false">
      <c r="A636" s="10" t="s">
        <v>68</v>
      </c>
      <c r="B636" s="10" t="s">
        <v>310</v>
      </c>
      <c r="C636" s="10" t="s">
        <v>308</v>
      </c>
      <c r="D636" s="10" t="s">
        <v>272</v>
      </c>
      <c r="E636" s="10"/>
      <c r="F636" s="10"/>
      <c r="G636" s="10"/>
      <c r="H636" s="10" t="s">
        <v>311</v>
      </c>
      <c r="I636" s="10" t="n">
        <f aca="false">COUNTA(instrument_financiele_route!O$2:O$2000)</f>
        <v>0</v>
      </c>
      <c r="J636" s="10" t="str">
        <f aca="false">IF(D636="ja",COUNTA(instrument_financiele_route!$A$2:$A$2000)-I636,"")</f>
        <v/>
      </c>
    </row>
    <row r="637" customFormat="false" ht="15" hidden="false" customHeight="false" outlineLevel="0" collapsed="false">
      <c r="A637" s="10" t="s">
        <v>68</v>
      </c>
      <c r="B637" s="10" t="s">
        <v>312</v>
      </c>
      <c r="C637" s="10" t="s">
        <v>271</v>
      </c>
      <c r="D637" s="10" t="s">
        <v>272</v>
      </c>
      <c r="E637" s="10"/>
      <c r="F637" s="10"/>
      <c r="G637" s="10"/>
      <c r="H637" s="10" t="s">
        <v>313</v>
      </c>
      <c r="I637" s="10" t="n">
        <f aca="false">COUNTA(instrument_financiele_route!P$2:P$2000)</f>
        <v>77</v>
      </c>
      <c r="J637" s="10" t="str">
        <f aca="false">IF(D637="ja",COUNTA(instrument_financiele_route!$A$2:$A$2000)-I637,"")</f>
        <v/>
      </c>
    </row>
    <row r="638" customFormat="false" ht="15" hidden="false" customHeight="false" outlineLevel="0" collapsed="false">
      <c r="A638" s="9" t="s">
        <v>69</v>
      </c>
      <c r="B638" s="9" t="s">
        <v>585</v>
      </c>
      <c r="C638" s="9" t="s">
        <v>257</v>
      </c>
      <c r="D638" s="9" t="s">
        <v>258</v>
      </c>
      <c r="E638" s="9" t="s">
        <v>259</v>
      </c>
      <c r="F638" s="9"/>
      <c r="G638" s="9"/>
      <c r="H638" s="9"/>
      <c r="I638" s="9" t="n">
        <f aca="false">COUNTA(effecttype!A$2:A$2000)</f>
        <v>14</v>
      </c>
      <c r="J638" s="9" t="n">
        <f aca="false">IF(D638="ja",COUNTA(effecttype!$A$2:$A$2000)-I638,"")</f>
        <v>0</v>
      </c>
    </row>
    <row r="639" customFormat="false" ht="15" hidden="false" customHeight="false" outlineLevel="0" collapsed="false">
      <c r="A639" s="9" t="s">
        <v>69</v>
      </c>
      <c r="B639" s="9" t="s">
        <v>315</v>
      </c>
      <c r="C639" s="9" t="s">
        <v>262</v>
      </c>
      <c r="D639" s="9" t="s">
        <v>258</v>
      </c>
      <c r="E639" s="9"/>
      <c r="F639" s="9"/>
      <c r="G639" s="9"/>
      <c r="H639" s="9"/>
      <c r="I639" s="9" t="n">
        <f aca="false">COUNTA(effecttype!B$2:B$2000)</f>
        <v>14</v>
      </c>
      <c r="J639" s="9" t="n">
        <f aca="false">IF(D639="ja",COUNTA(effecttype!$A$2:$A$2000)-I639,"")</f>
        <v>0</v>
      </c>
    </row>
    <row r="640" customFormat="false" ht="15" hidden="false" customHeight="false" outlineLevel="0" collapsed="false">
      <c r="A640" s="9" t="s">
        <v>69</v>
      </c>
      <c r="B640" s="9" t="s">
        <v>264</v>
      </c>
      <c r="C640" s="9" t="s">
        <v>389</v>
      </c>
      <c r="D640" s="9" t="s">
        <v>258</v>
      </c>
      <c r="E640" s="9"/>
      <c r="F640" s="9"/>
      <c r="G640" s="9"/>
      <c r="H640" s="9"/>
      <c r="I640" s="9" t="n">
        <f aca="false">COUNTA(effecttype!C$2:C$2000)</f>
        <v>14</v>
      </c>
      <c r="J640" s="9" t="n">
        <f aca="false">IF(D640="ja",COUNTA(effecttype!$A$2:$A$2000)-I640,"")</f>
        <v>0</v>
      </c>
    </row>
    <row r="641" customFormat="false" ht="15" hidden="false" customHeight="false" outlineLevel="0" collapsed="false">
      <c r="A641" s="9" t="s">
        <v>69</v>
      </c>
      <c r="B641" s="9" t="s">
        <v>586</v>
      </c>
      <c r="C641" s="9" t="s">
        <v>283</v>
      </c>
      <c r="D641" s="9" t="s">
        <v>258</v>
      </c>
      <c r="E641" s="9"/>
      <c r="F641" s="9"/>
      <c r="G641" s="9" t="s">
        <v>433</v>
      </c>
      <c r="H641" s="9"/>
      <c r="I641" s="9" t="n">
        <f aca="false">COUNTA(effecttype!D$2:D$2000)</f>
        <v>14</v>
      </c>
      <c r="J641" s="9" t="n">
        <f aca="false">IF(D641="ja",COUNTA(effecttype!$A$2:$A$2000)-I641,"")</f>
        <v>0</v>
      </c>
    </row>
    <row r="642" customFormat="false" ht="15" hidden="false" customHeight="false" outlineLevel="0" collapsed="false">
      <c r="A642" s="9" t="s">
        <v>69</v>
      </c>
      <c r="B642" s="9" t="s">
        <v>319</v>
      </c>
      <c r="C642" s="9" t="s">
        <v>271</v>
      </c>
      <c r="D642" s="9" t="s">
        <v>272</v>
      </c>
      <c r="E642" s="9"/>
      <c r="F642" s="9"/>
      <c r="G642" s="9"/>
      <c r="H642" s="9"/>
      <c r="I642" s="9" t="n">
        <f aca="false">COUNTA(effecttype!E$2:E$2000)</f>
        <v>0</v>
      </c>
      <c r="J642" s="9" t="str">
        <f aca="false">IF(D642="ja",COUNTA(effecttype!$A$2:$A$2000)-I642,"")</f>
        <v/>
      </c>
    </row>
    <row r="643" customFormat="false" ht="15" hidden="false" customHeight="false" outlineLevel="0" collapsed="false">
      <c r="A643" s="10" t="s">
        <v>69</v>
      </c>
      <c r="B643" s="10" t="s">
        <v>292</v>
      </c>
      <c r="C643" s="10" t="s">
        <v>293</v>
      </c>
      <c r="D643" s="10" t="s">
        <v>258</v>
      </c>
      <c r="E643" s="10"/>
      <c r="F643" s="10"/>
      <c r="G643" s="10"/>
      <c r="H643" s="10" t="s">
        <v>294</v>
      </c>
      <c r="I643" s="10" t="n">
        <f aca="false">COUNTA(effecttype!F$2:F$2000)</f>
        <v>14</v>
      </c>
      <c r="J643" s="10" t="n">
        <f aca="false">IF(D643="ja",COUNTA(effecttype!$A$2:$A$2000)-I643,"")</f>
        <v>0</v>
      </c>
    </row>
    <row r="644" customFormat="false" ht="15" hidden="false" customHeight="false" outlineLevel="0" collapsed="false">
      <c r="A644" s="10" t="s">
        <v>69</v>
      </c>
      <c r="B644" s="10" t="s">
        <v>295</v>
      </c>
      <c r="C644" s="10" t="s">
        <v>296</v>
      </c>
      <c r="D644" s="10" t="s">
        <v>258</v>
      </c>
      <c r="E644" s="10"/>
      <c r="F644" s="10"/>
      <c r="G644" s="10"/>
      <c r="H644" s="10" t="s">
        <v>297</v>
      </c>
      <c r="I644" s="10" t="n">
        <f aca="false">COUNTA(effecttype!G$2:G$2000)</f>
        <v>14</v>
      </c>
      <c r="J644" s="10" t="n">
        <f aca="false">IF(D644="ja",COUNTA(effecttype!$A$2:$A$2000)-I644,"")</f>
        <v>0</v>
      </c>
    </row>
    <row r="645" customFormat="false" ht="15" hidden="false" customHeight="false" outlineLevel="0" collapsed="false">
      <c r="A645" s="10" t="s">
        <v>69</v>
      </c>
      <c r="B645" s="10" t="s">
        <v>298</v>
      </c>
      <c r="C645" s="10" t="s">
        <v>293</v>
      </c>
      <c r="D645" s="10" t="s">
        <v>258</v>
      </c>
      <c r="E645" s="10"/>
      <c r="F645" s="10"/>
      <c r="G645" s="10"/>
      <c r="H645" s="10" t="s">
        <v>299</v>
      </c>
      <c r="I645" s="10" t="n">
        <f aca="false">COUNTA(effecttype!H$2:H$2000)</f>
        <v>14</v>
      </c>
      <c r="J645" s="10" t="n">
        <f aca="false">IF(D645="ja",COUNTA(effecttype!$A$2:$A$2000)-I645,"")</f>
        <v>0</v>
      </c>
    </row>
    <row r="646" customFormat="false" ht="15" hidden="false" customHeight="false" outlineLevel="0" collapsed="false">
      <c r="A646" s="10" t="s">
        <v>69</v>
      </c>
      <c r="B646" s="10" t="s">
        <v>300</v>
      </c>
      <c r="C646" s="10" t="s">
        <v>296</v>
      </c>
      <c r="D646" s="10" t="s">
        <v>258</v>
      </c>
      <c r="E646" s="10"/>
      <c r="F646" s="10"/>
      <c r="G646" s="10"/>
      <c r="H646" s="10" t="s">
        <v>301</v>
      </c>
      <c r="I646" s="10" t="n">
        <f aca="false">COUNTA(effecttype!I$2:I$2000)</f>
        <v>14</v>
      </c>
      <c r="J646" s="10" t="n">
        <f aca="false">IF(D646="ja",COUNTA(effecttype!$A$2:$A$2000)-I646,"")</f>
        <v>0</v>
      </c>
    </row>
    <row r="647" customFormat="false" ht="15" hidden="false" customHeight="false" outlineLevel="0" collapsed="false">
      <c r="A647" s="10" t="s">
        <v>69</v>
      </c>
      <c r="B647" s="10" t="s">
        <v>302</v>
      </c>
      <c r="C647" s="10" t="s">
        <v>279</v>
      </c>
      <c r="D647" s="10" t="s">
        <v>258</v>
      </c>
      <c r="E647" s="10"/>
      <c r="F647" s="10"/>
      <c r="G647" s="10" t="s">
        <v>303</v>
      </c>
      <c r="H647" s="10" t="s">
        <v>304</v>
      </c>
      <c r="I647" s="10" t="n">
        <f aca="false">COUNTA(effecttype!J$2:J$2000)</f>
        <v>14</v>
      </c>
      <c r="J647" s="10" t="n">
        <f aca="false">IF(D647="ja",COUNTA(effecttype!$A$2:$A$2000)-I647,"")</f>
        <v>0</v>
      </c>
    </row>
    <row r="648" customFormat="false" ht="15" hidden="false" customHeight="false" outlineLevel="0" collapsed="false">
      <c r="A648" s="10" t="s">
        <v>69</v>
      </c>
      <c r="B648" s="10" t="s">
        <v>305</v>
      </c>
      <c r="C648" s="10" t="s">
        <v>286</v>
      </c>
      <c r="D648" s="10" t="s">
        <v>258</v>
      </c>
      <c r="E648" s="10"/>
      <c r="F648" s="10"/>
      <c r="G648" s="10"/>
      <c r="H648" s="10" t="s">
        <v>306</v>
      </c>
      <c r="I648" s="10" t="n">
        <f aca="false">COUNTA(effecttype!K$2:K$2000)</f>
        <v>14</v>
      </c>
      <c r="J648" s="10" t="n">
        <f aca="false">IF(D648="ja",COUNTA(effecttype!$A$2:$A$2000)-I648,"")</f>
        <v>0</v>
      </c>
    </row>
    <row r="649" customFormat="false" ht="15" hidden="false" customHeight="false" outlineLevel="0" collapsed="false">
      <c r="A649" s="10" t="s">
        <v>69</v>
      </c>
      <c r="B649" s="10" t="s">
        <v>307</v>
      </c>
      <c r="C649" s="10" t="s">
        <v>308</v>
      </c>
      <c r="D649" s="10" t="s">
        <v>272</v>
      </c>
      <c r="E649" s="10"/>
      <c r="F649" s="10"/>
      <c r="G649" s="10"/>
      <c r="H649" s="10" t="s">
        <v>309</v>
      </c>
      <c r="I649" s="10" t="n">
        <f aca="false">COUNTA(effecttype!L$2:L$2000)</f>
        <v>0</v>
      </c>
      <c r="J649" s="10" t="str">
        <f aca="false">IF(D649="ja",COUNTA(effecttype!$A$2:$A$2000)-I649,"")</f>
        <v/>
      </c>
    </row>
    <row r="650" customFormat="false" ht="15" hidden="false" customHeight="false" outlineLevel="0" collapsed="false">
      <c r="A650" s="10" t="s">
        <v>69</v>
      </c>
      <c r="B650" s="10" t="s">
        <v>310</v>
      </c>
      <c r="C650" s="10" t="s">
        <v>308</v>
      </c>
      <c r="D650" s="10" t="s">
        <v>272</v>
      </c>
      <c r="E650" s="10"/>
      <c r="F650" s="10"/>
      <c r="G650" s="10"/>
      <c r="H650" s="10" t="s">
        <v>311</v>
      </c>
      <c r="I650" s="10" t="n">
        <f aca="false">COUNTA(effecttype!M$2:M$2000)</f>
        <v>0</v>
      </c>
      <c r="J650" s="10" t="str">
        <f aca="false">IF(D650="ja",COUNTA(effecttype!$A$2:$A$2000)-I650,"")</f>
        <v/>
      </c>
    </row>
    <row r="651" customFormat="false" ht="15" hidden="false" customHeight="false" outlineLevel="0" collapsed="false">
      <c r="A651" s="10" t="s">
        <v>69</v>
      </c>
      <c r="B651" s="10" t="s">
        <v>312</v>
      </c>
      <c r="C651" s="10" t="s">
        <v>271</v>
      </c>
      <c r="D651" s="10" t="s">
        <v>272</v>
      </c>
      <c r="E651" s="10"/>
      <c r="F651" s="10"/>
      <c r="G651" s="10"/>
      <c r="H651" s="10" t="s">
        <v>313</v>
      </c>
      <c r="I651" s="10" t="n">
        <f aca="false">COUNTA(effecttype!N$2:N$2000)</f>
        <v>14</v>
      </c>
      <c r="J651" s="10" t="str">
        <f aca="false">IF(D651="ja",COUNTA(effecttype!$A$2:$A$2000)-I651,"")</f>
        <v/>
      </c>
    </row>
    <row r="652" customFormat="false" ht="15" hidden="false" customHeight="false" outlineLevel="0" collapsed="false">
      <c r="A652" s="9" t="s">
        <v>70</v>
      </c>
      <c r="B652" s="9" t="s">
        <v>587</v>
      </c>
      <c r="C652" s="9" t="s">
        <v>257</v>
      </c>
      <c r="D652" s="9" t="s">
        <v>258</v>
      </c>
      <c r="E652" s="9" t="s">
        <v>259</v>
      </c>
      <c r="F652" s="9"/>
      <c r="G652" s="9"/>
      <c r="H652" s="9"/>
      <c r="I652" s="9" t="n">
        <f aca="false">COUNTA(instrument_effect!A$2:A$2000)</f>
        <v>77</v>
      </c>
      <c r="J652" s="9" t="n">
        <f aca="false">IF(D652="ja",COUNTA(instrument_effect!$A$2:$A$2000)-I652,"")</f>
        <v>0</v>
      </c>
    </row>
    <row r="653" customFormat="false" ht="15" hidden="false" customHeight="false" outlineLevel="0" collapsed="false">
      <c r="A653" s="9" t="s">
        <v>70</v>
      </c>
      <c r="B653" s="9" t="s">
        <v>469</v>
      </c>
      <c r="C653" s="9" t="s">
        <v>323</v>
      </c>
      <c r="D653" s="9" t="s">
        <v>258</v>
      </c>
      <c r="E653" s="9" t="s">
        <v>324</v>
      </c>
      <c r="F653" s="9" t="s">
        <v>443</v>
      </c>
      <c r="G653" s="9"/>
      <c r="H653" s="9"/>
      <c r="I653" s="9" t="n">
        <f aca="false">COUNTA(instrument_effect!B$2:B$2000)</f>
        <v>77</v>
      </c>
      <c r="J653" s="9" t="n">
        <f aca="false">IF(D653="ja",COUNTA(instrument_effect!$A$2:$A$2000)-I653,"")</f>
        <v>0</v>
      </c>
    </row>
    <row r="654" customFormat="false" ht="15" hidden="false" customHeight="false" outlineLevel="0" collapsed="false">
      <c r="A654" s="9" t="s">
        <v>70</v>
      </c>
      <c r="B654" s="9" t="s">
        <v>585</v>
      </c>
      <c r="C654" s="9" t="s">
        <v>323</v>
      </c>
      <c r="D654" s="9" t="s">
        <v>258</v>
      </c>
      <c r="E654" s="9" t="s">
        <v>324</v>
      </c>
      <c r="F654" s="9" t="s">
        <v>588</v>
      </c>
      <c r="G654" s="9"/>
      <c r="H654" s="9"/>
      <c r="I654" s="9" t="n">
        <f aca="false">COUNTA(instrument_effect!C$2:C$2000)</f>
        <v>77</v>
      </c>
      <c r="J654" s="9" t="n">
        <f aca="false">IF(D654="ja",COUNTA(instrument_effect!$A$2:$A$2000)-I654,"")</f>
        <v>0</v>
      </c>
    </row>
    <row r="655" customFormat="false" ht="15" hidden="false" customHeight="false" outlineLevel="0" collapsed="false">
      <c r="A655" s="9" t="s">
        <v>70</v>
      </c>
      <c r="B655" s="9" t="s">
        <v>589</v>
      </c>
      <c r="C655" s="9" t="s">
        <v>262</v>
      </c>
      <c r="D655" s="9" t="s">
        <v>272</v>
      </c>
      <c r="E655" s="9"/>
      <c r="F655" s="9"/>
      <c r="G655" s="9" t="s">
        <v>433</v>
      </c>
      <c r="H655" s="9"/>
      <c r="I655" s="9" t="n">
        <f aca="false">COUNTA(instrument_effect!D$2:D$2000)</f>
        <v>77</v>
      </c>
      <c r="J655" s="9" t="str">
        <f aca="false">IF(D655="ja",COUNTA(instrument_effect!$A$2:$A$2000)-I655,"")</f>
        <v/>
      </c>
    </row>
    <row r="656" customFormat="false" ht="15" hidden="false" customHeight="false" outlineLevel="0" collapsed="false">
      <c r="A656" s="9" t="s">
        <v>70</v>
      </c>
      <c r="B656" s="9" t="s">
        <v>590</v>
      </c>
      <c r="C656" s="9" t="s">
        <v>262</v>
      </c>
      <c r="D656" s="9" t="s">
        <v>272</v>
      </c>
      <c r="E656" s="9"/>
      <c r="F656" s="9"/>
      <c r="G656" s="9" t="s">
        <v>433</v>
      </c>
      <c r="H656" s="9"/>
      <c r="I656" s="9" t="n">
        <f aca="false">COUNTA(instrument_effect!E$2:E$2000)</f>
        <v>77</v>
      </c>
      <c r="J656" s="9" t="str">
        <f aca="false">IF(D656="ja",COUNTA(instrument_effect!$A$2:$A$2000)-I656,"")</f>
        <v/>
      </c>
    </row>
    <row r="657" customFormat="false" ht="15" hidden="false" customHeight="false" outlineLevel="0" collapsed="false">
      <c r="A657" s="9" t="s">
        <v>70</v>
      </c>
      <c r="B657" s="9" t="s">
        <v>591</v>
      </c>
      <c r="C657" s="9" t="s">
        <v>592</v>
      </c>
      <c r="D657" s="9" t="s">
        <v>272</v>
      </c>
      <c r="E657" s="9"/>
      <c r="F657" s="9"/>
      <c r="G657" s="9"/>
      <c r="H657" s="9"/>
      <c r="I657" s="9" t="n">
        <f aca="false">COUNTA(instrument_effect!F$2:F$2000)</f>
        <v>0</v>
      </c>
      <c r="J657" s="9" t="str">
        <f aca="false">IF(D657="ja",COUNTA(instrument_effect!$A$2:$A$2000)-I657,"")</f>
        <v/>
      </c>
    </row>
    <row r="658" customFormat="false" ht="15" hidden="false" customHeight="false" outlineLevel="0" collapsed="false">
      <c r="A658" s="9" t="s">
        <v>70</v>
      </c>
      <c r="B658" s="9" t="s">
        <v>593</v>
      </c>
      <c r="C658" s="9" t="s">
        <v>592</v>
      </c>
      <c r="D658" s="9" t="s">
        <v>272</v>
      </c>
      <c r="E658" s="9"/>
      <c r="F658" s="9"/>
      <c r="G658" s="9"/>
      <c r="H658" s="9"/>
      <c r="I658" s="9" t="n">
        <f aca="false">COUNTA(instrument_effect!G$2:G$2000)</f>
        <v>0</v>
      </c>
      <c r="J658" s="9" t="str">
        <f aca="false">IF(D658="ja",COUNTA(instrument_effect!$A$2:$A$2000)-I658,"")</f>
        <v/>
      </c>
    </row>
    <row r="659" customFormat="false" ht="15" hidden="false" customHeight="false" outlineLevel="0" collapsed="false">
      <c r="A659" s="9" t="s">
        <v>70</v>
      </c>
      <c r="B659" s="9" t="s">
        <v>594</v>
      </c>
      <c r="C659" s="9" t="s">
        <v>595</v>
      </c>
      <c r="D659" s="9" t="s">
        <v>272</v>
      </c>
      <c r="E659" s="9"/>
      <c r="F659" s="9"/>
      <c r="G659" s="9"/>
      <c r="H659" s="9"/>
      <c r="I659" s="9" t="n">
        <f aca="false">COUNTA(instrument_effect!H$2:H$2000)</f>
        <v>0</v>
      </c>
      <c r="J659" s="9" t="str">
        <f aca="false">IF(D659="ja",COUNTA(instrument_effect!$A$2:$A$2000)-I659,"")</f>
        <v/>
      </c>
    </row>
    <row r="660" customFormat="false" ht="15" hidden="false" customHeight="false" outlineLevel="0" collapsed="false">
      <c r="A660" s="9" t="s">
        <v>70</v>
      </c>
      <c r="B660" s="9" t="s">
        <v>596</v>
      </c>
      <c r="C660" s="9" t="s">
        <v>595</v>
      </c>
      <c r="D660" s="9" t="s">
        <v>272</v>
      </c>
      <c r="E660" s="9"/>
      <c r="F660" s="9"/>
      <c r="G660" s="9"/>
      <c r="H660" s="9"/>
      <c r="I660" s="9" t="n">
        <f aca="false">COUNTA(instrument_effect!I$2:I$2000)</f>
        <v>0</v>
      </c>
      <c r="J660" s="9" t="str">
        <f aca="false">IF(D660="ja",COUNTA(instrument_effect!$A$2:$A$2000)-I660,"")</f>
        <v/>
      </c>
    </row>
    <row r="661" customFormat="false" ht="15" hidden="false" customHeight="false" outlineLevel="0" collapsed="false">
      <c r="A661" s="9" t="s">
        <v>70</v>
      </c>
      <c r="B661" s="9" t="s">
        <v>597</v>
      </c>
      <c r="C661" s="9" t="s">
        <v>598</v>
      </c>
      <c r="D661" s="9" t="s">
        <v>272</v>
      </c>
      <c r="E661" s="9"/>
      <c r="F661" s="9"/>
      <c r="G661" s="9"/>
      <c r="H661" s="9"/>
      <c r="I661" s="9" t="n">
        <f aca="false">COUNTA(instrument_effect!J$2:J$2000)</f>
        <v>0</v>
      </c>
      <c r="J661" s="9" t="str">
        <f aca="false">IF(D661="ja",COUNTA(instrument_effect!$A$2:$A$2000)-I661,"")</f>
        <v/>
      </c>
    </row>
    <row r="662" customFormat="false" ht="15" hidden="false" customHeight="false" outlineLevel="0" collapsed="false">
      <c r="A662" s="9" t="s">
        <v>70</v>
      </c>
      <c r="B662" s="9" t="s">
        <v>599</v>
      </c>
      <c r="C662" s="9" t="s">
        <v>271</v>
      </c>
      <c r="D662" s="9" t="s">
        <v>272</v>
      </c>
      <c r="E662" s="9"/>
      <c r="F662" s="9"/>
      <c r="G662" s="9"/>
      <c r="H662" s="9"/>
      <c r="I662" s="9" t="n">
        <f aca="false">COUNTA(instrument_effect!K$2:K$2000)</f>
        <v>20</v>
      </c>
      <c r="J662" s="9" t="str">
        <f aca="false">IF(D662="ja",COUNTA(instrument_effect!$A$2:$A$2000)-I662,"")</f>
        <v/>
      </c>
    </row>
    <row r="663" customFormat="false" ht="15" hidden="false" customHeight="false" outlineLevel="0" collapsed="false">
      <c r="A663" s="9" t="s">
        <v>70</v>
      </c>
      <c r="B663" s="9" t="s">
        <v>537</v>
      </c>
      <c r="C663" s="9" t="s">
        <v>323</v>
      </c>
      <c r="D663" s="9" t="s">
        <v>272</v>
      </c>
      <c r="E663" s="9" t="s">
        <v>324</v>
      </c>
      <c r="F663" s="9" t="s">
        <v>551</v>
      </c>
      <c r="G663" s="9"/>
      <c r="H663" s="9"/>
      <c r="I663" s="9" t="n">
        <f aca="false">COUNTA(instrument_effect!L$2:L$2000)</f>
        <v>0</v>
      </c>
      <c r="J663" s="9" t="str">
        <f aca="false">IF(D663="ja",COUNTA(instrument_effect!$A$2:$A$2000)-I663,"")</f>
        <v/>
      </c>
    </row>
    <row r="664" customFormat="false" ht="15" hidden="false" customHeight="false" outlineLevel="0" collapsed="false">
      <c r="A664" s="10" t="s">
        <v>70</v>
      </c>
      <c r="B664" s="10" t="s">
        <v>292</v>
      </c>
      <c r="C664" s="10" t="s">
        <v>293</v>
      </c>
      <c r="D664" s="10" t="s">
        <v>258</v>
      </c>
      <c r="E664" s="10"/>
      <c r="F664" s="10"/>
      <c r="G664" s="10"/>
      <c r="H664" s="10" t="s">
        <v>294</v>
      </c>
      <c r="I664" s="10" t="n">
        <f aca="false">COUNTA(instrument_effect!M$2:M$2000)</f>
        <v>77</v>
      </c>
      <c r="J664" s="10" t="n">
        <f aca="false">IF(D664="ja",COUNTA(instrument_effect!$A$2:$A$2000)-I664,"")</f>
        <v>0</v>
      </c>
    </row>
    <row r="665" customFormat="false" ht="15" hidden="false" customHeight="false" outlineLevel="0" collapsed="false">
      <c r="A665" s="10" t="s">
        <v>70</v>
      </c>
      <c r="B665" s="10" t="s">
        <v>295</v>
      </c>
      <c r="C665" s="10" t="s">
        <v>296</v>
      </c>
      <c r="D665" s="10" t="s">
        <v>258</v>
      </c>
      <c r="E665" s="10"/>
      <c r="F665" s="10"/>
      <c r="G665" s="10"/>
      <c r="H665" s="10" t="s">
        <v>297</v>
      </c>
      <c r="I665" s="10" t="n">
        <f aca="false">COUNTA(instrument_effect!N$2:N$2000)</f>
        <v>77</v>
      </c>
      <c r="J665" s="10" t="n">
        <f aca="false">IF(D665="ja",COUNTA(instrument_effect!$A$2:$A$2000)-I665,"")</f>
        <v>0</v>
      </c>
    </row>
    <row r="666" customFormat="false" ht="15" hidden="false" customHeight="false" outlineLevel="0" collapsed="false">
      <c r="A666" s="10" t="s">
        <v>70</v>
      </c>
      <c r="B666" s="10" t="s">
        <v>298</v>
      </c>
      <c r="C666" s="10" t="s">
        <v>293</v>
      </c>
      <c r="D666" s="10" t="s">
        <v>258</v>
      </c>
      <c r="E666" s="10"/>
      <c r="F666" s="10"/>
      <c r="G666" s="10"/>
      <c r="H666" s="10" t="s">
        <v>299</v>
      </c>
      <c r="I666" s="10" t="n">
        <f aca="false">COUNTA(instrument_effect!O$2:O$2000)</f>
        <v>77</v>
      </c>
      <c r="J666" s="10" t="n">
        <f aca="false">IF(D666="ja",COUNTA(instrument_effect!$A$2:$A$2000)-I666,"")</f>
        <v>0</v>
      </c>
    </row>
    <row r="667" customFormat="false" ht="15" hidden="false" customHeight="false" outlineLevel="0" collapsed="false">
      <c r="A667" s="10" t="s">
        <v>70</v>
      </c>
      <c r="B667" s="10" t="s">
        <v>300</v>
      </c>
      <c r="C667" s="10" t="s">
        <v>296</v>
      </c>
      <c r="D667" s="10" t="s">
        <v>258</v>
      </c>
      <c r="E667" s="10"/>
      <c r="F667" s="10"/>
      <c r="G667" s="10"/>
      <c r="H667" s="10" t="s">
        <v>301</v>
      </c>
      <c r="I667" s="10" t="n">
        <f aca="false">COUNTA(instrument_effect!P$2:P$2000)</f>
        <v>77</v>
      </c>
      <c r="J667" s="10" t="n">
        <f aca="false">IF(D667="ja",COUNTA(instrument_effect!$A$2:$A$2000)-I667,"")</f>
        <v>0</v>
      </c>
    </row>
    <row r="668" customFormat="false" ht="15" hidden="false" customHeight="false" outlineLevel="0" collapsed="false">
      <c r="A668" s="10" t="s">
        <v>70</v>
      </c>
      <c r="B668" s="10" t="s">
        <v>302</v>
      </c>
      <c r="C668" s="10" t="s">
        <v>279</v>
      </c>
      <c r="D668" s="10" t="s">
        <v>258</v>
      </c>
      <c r="E668" s="10"/>
      <c r="F668" s="10"/>
      <c r="G668" s="10" t="s">
        <v>303</v>
      </c>
      <c r="H668" s="10" t="s">
        <v>304</v>
      </c>
      <c r="I668" s="10" t="n">
        <f aca="false">COUNTA(instrument_effect!Q$2:Q$2000)</f>
        <v>77</v>
      </c>
      <c r="J668" s="10" t="n">
        <f aca="false">IF(D668="ja",COUNTA(instrument_effect!$A$2:$A$2000)-I668,"")</f>
        <v>0</v>
      </c>
    </row>
    <row r="669" customFormat="false" ht="15" hidden="false" customHeight="false" outlineLevel="0" collapsed="false">
      <c r="A669" s="10" t="s">
        <v>70</v>
      </c>
      <c r="B669" s="10" t="s">
        <v>305</v>
      </c>
      <c r="C669" s="10" t="s">
        <v>286</v>
      </c>
      <c r="D669" s="10" t="s">
        <v>258</v>
      </c>
      <c r="E669" s="10"/>
      <c r="F669" s="10"/>
      <c r="G669" s="10"/>
      <c r="H669" s="10" t="s">
        <v>306</v>
      </c>
      <c r="I669" s="10" t="n">
        <f aca="false">COUNTA(instrument_effect!R$2:R$2000)</f>
        <v>77</v>
      </c>
      <c r="J669" s="10" t="n">
        <f aca="false">IF(D669="ja",COUNTA(instrument_effect!$A$2:$A$2000)-I669,"")</f>
        <v>0</v>
      </c>
    </row>
    <row r="670" customFormat="false" ht="15" hidden="false" customHeight="false" outlineLevel="0" collapsed="false">
      <c r="A670" s="10" t="s">
        <v>70</v>
      </c>
      <c r="B670" s="10" t="s">
        <v>307</v>
      </c>
      <c r="C670" s="10" t="s">
        <v>308</v>
      </c>
      <c r="D670" s="10" t="s">
        <v>272</v>
      </c>
      <c r="E670" s="10"/>
      <c r="F670" s="10"/>
      <c r="G670" s="10"/>
      <c r="H670" s="10" t="s">
        <v>309</v>
      </c>
      <c r="I670" s="10" t="n">
        <f aca="false">COUNTA(instrument_effect!S$2:S$2000)</f>
        <v>0</v>
      </c>
      <c r="J670" s="10" t="str">
        <f aca="false">IF(D670="ja",COUNTA(instrument_effect!$A$2:$A$2000)-I670,"")</f>
        <v/>
      </c>
    </row>
    <row r="671" customFormat="false" ht="15" hidden="false" customHeight="false" outlineLevel="0" collapsed="false">
      <c r="A671" s="10" t="s">
        <v>70</v>
      </c>
      <c r="B671" s="10" t="s">
        <v>310</v>
      </c>
      <c r="C671" s="10" t="s">
        <v>308</v>
      </c>
      <c r="D671" s="10" t="s">
        <v>272</v>
      </c>
      <c r="E671" s="10"/>
      <c r="F671" s="10"/>
      <c r="G671" s="10"/>
      <c r="H671" s="10" t="s">
        <v>311</v>
      </c>
      <c r="I671" s="10" t="n">
        <f aca="false">COUNTA(instrument_effect!T$2:T$2000)</f>
        <v>0</v>
      </c>
      <c r="J671" s="10" t="str">
        <f aca="false">IF(D671="ja",COUNTA(instrument_effect!$A$2:$A$2000)-I671,"")</f>
        <v/>
      </c>
    </row>
    <row r="672" customFormat="false" ht="15" hidden="false" customHeight="false" outlineLevel="0" collapsed="false">
      <c r="A672" s="10" t="s">
        <v>70</v>
      </c>
      <c r="B672" s="10" t="s">
        <v>312</v>
      </c>
      <c r="C672" s="10" t="s">
        <v>271</v>
      </c>
      <c r="D672" s="10" t="s">
        <v>272</v>
      </c>
      <c r="E672" s="10"/>
      <c r="F672" s="10"/>
      <c r="G672" s="10"/>
      <c r="H672" s="10" t="s">
        <v>313</v>
      </c>
      <c r="I672" s="10" t="n">
        <f aca="false">COUNTA(instrument_effect!U$2:U$2000)</f>
        <v>77</v>
      </c>
      <c r="J672" s="10" t="str">
        <f aca="false">IF(D672="ja",COUNTA(instrument_effect!$A$2:$A$2000)-I672,"")</f>
        <v/>
      </c>
    </row>
    <row r="673" customFormat="false" ht="15" hidden="false" customHeight="false" outlineLevel="0" collapsed="false">
      <c r="A673" s="9" t="s">
        <v>71</v>
      </c>
      <c r="B673" s="9" t="s">
        <v>600</v>
      </c>
      <c r="C673" s="9" t="s">
        <v>257</v>
      </c>
      <c r="D673" s="9" t="s">
        <v>258</v>
      </c>
      <c r="E673" s="9" t="s">
        <v>259</v>
      </c>
      <c r="F673" s="9"/>
      <c r="G673" s="9"/>
      <c r="H673" s="9"/>
      <c r="I673" s="9" t="n">
        <f aca="false">COUNTA(voorwaardetype!A$2:A$2000)</f>
        <v>19</v>
      </c>
      <c r="J673" s="9" t="n">
        <f aca="false">IF(D673="ja",COUNTA(voorwaardetype!$A$2:$A$2000)-I673,"")</f>
        <v>0</v>
      </c>
    </row>
    <row r="674" customFormat="false" ht="15" hidden="false" customHeight="false" outlineLevel="0" collapsed="false">
      <c r="A674" s="9" t="s">
        <v>71</v>
      </c>
      <c r="B674" s="9" t="s">
        <v>315</v>
      </c>
      <c r="C674" s="9" t="s">
        <v>279</v>
      </c>
      <c r="D674" s="9" t="s">
        <v>258</v>
      </c>
      <c r="E674" s="9"/>
      <c r="F674" s="9"/>
      <c r="G674" s="9"/>
      <c r="H674" s="9"/>
      <c r="I674" s="9" t="n">
        <f aca="false">COUNTA(voorwaardetype!B$2:B$2000)</f>
        <v>19</v>
      </c>
      <c r="J674" s="9" t="n">
        <f aca="false">IF(D674="ja",COUNTA(voorwaardetype!$A$2:$A$2000)-I674,"")</f>
        <v>0</v>
      </c>
    </row>
    <row r="675" customFormat="false" ht="15" hidden="false" customHeight="false" outlineLevel="0" collapsed="false">
      <c r="A675" s="9" t="s">
        <v>71</v>
      </c>
      <c r="B675" s="9" t="s">
        <v>264</v>
      </c>
      <c r="C675" s="9" t="s">
        <v>389</v>
      </c>
      <c r="D675" s="9" t="s">
        <v>258</v>
      </c>
      <c r="E675" s="9"/>
      <c r="F675" s="9"/>
      <c r="G675" s="9"/>
      <c r="H675" s="9"/>
      <c r="I675" s="9" t="n">
        <f aca="false">COUNTA(voorwaardetype!C$2:C$2000)</f>
        <v>19</v>
      </c>
      <c r="J675" s="9" t="n">
        <f aca="false">IF(D675="ja",COUNTA(voorwaardetype!$A$2:$A$2000)-I675,"")</f>
        <v>0</v>
      </c>
    </row>
    <row r="676" customFormat="false" ht="15" hidden="false" customHeight="false" outlineLevel="0" collapsed="false">
      <c r="A676" s="9" t="s">
        <v>71</v>
      </c>
      <c r="B676" s="9" t="s">
        <v>601</v>
      </c>
      <c r="C676" s="9" t="s">
        <v>262</v>
      </c>
      <c r="D676" s="9" t="s">
        <v>258</v>
      </c>
      <c r="E676" s="9"/>
      <c r="F676" s="9"/>
      <c r="G676" s="9" t="s">
        <v>433</v>
      </c>
      <c r="H676" s="9"/>
      <c r="I676" s="9" t="n">
        <f aca="false">COUNTA(voorwaardetype!D$2:D$2000)</f>
        <v>19</v>
      </c>
      <c r="J676" s="9" t="n">
        <f aca="false">IF(D676="ja",COUNTA(voorwaardetype!$A$2:$A$2000)-I676,"")</f>
        <v>0</v>
      </c>
    </row>
    <row r="677" customFormat="false" ht="15" hidden="false" customHeight="false" outlineLevel="0" collapsed="false">
      <c r="A677" s="9" t="s">
        <v>71</v>
      </c>
      <c r="B677" s="9" t="s">
        <v>319</v>
      </c>
      <c r="C677" s="9" t="s">
        <v>271</v>
      </c>
      <c r="D677" s="9" t="s">
        <v>272</v>
      </c>
      <c r="E677" s="9"/>
      <c r="F677" s="9"/>
      <c r="G677" s="9"/>
      <c r="H677" s="9"/>
      <c r="I677" s="9" t="n">
        <f aca="false">COUNTA(voorwaardetype!E$2:E$2000)</f>
        <v>0</v>
      </c>
      <c r="J677" s="9" t="str">
        <f aca="false">IF(D677="ja",COUNTA(voorwaardetype!$A$2:$A$2000)-I677,"")</f>
        <v/>
      </c>
    </row>
    <row r="678" customFormat="false" ht="15" hidden="false" customHeight="false" outlineLevel="0" collapsed="false">
      <c r="A678" s="10" t="s">
        <v>71</v>
      </c>
      <c r="B678" s="10" t="s">
        <v>292</v>
      </c>
      <c r="C678" s="10" t="s">
        <v>293</v>
      </c>
      <c r="D678" s="10" t="s">
        <v>258</v>
      </c>
      <c r="E678" s="10"/>
      <c r="F678" s="10"/>
      <c r="G678" s="10"/>
      <c r="H678" s="10" t="s">
        <v>294</v>
      </c>
      <c r="I678" s="10" t="n">
        <f aca="false">COUNTA(voorwaardetype!F$2:F$2000)</f>
        <v>19</v>
      </c>
      <c r="J678" s="10" t="n">
        <f aca="false">IF(D678="ja",COUNTA(voorwaardetype!$A$2:$A$2000)-I678,"")</f>
        <v>0</v>
      </c>
    </row>
    <row r="679" customFormat="false" ht="15" hidden="false" customHeight="false" outlineLevel="0" collapsed="false">
      <c r="A679" s="10" t="s">
        <v>71</v>
      </c>
      <c r="B679" s="10" t="s">
        <v>295</v>
      </c>
      <c r="C679" s="10" t="s">
        <v>296</v>
      </c>
      <c r="D679" s="10" t="s">
        <v>258</v>
      </c>
      <c r="E679" s="10"/>
      <c r="F679" s="10"/>
      <c r="G679" s="10"/>
      <c r="H679" s="10" t="s">
        <v>297</v>
      </c>
      <c r="I679" s="10" t="n">
        <f aca="false">COUNTA(voorwaardetype!G$2:G$2000)</f>
        <v>19</v>
      </c>
      <c r="J679" s="10" t="n">
        <f aca="false">IF(D679="ja",COUNTA(voorwaardetype!$A$2:$A$2000)-I679,"")</f>
        <v>0</v>
      </c>
    </row>
    <row r="680" customFormat="false" ht="15" hidden="false" customHeight="false" outlineLevel="0" collapsed="false">
      <c r="A680" s="10" t="s">
        <v>71</v>
      </c>
      <c r="B680" s="10" t="s">
        <v>298</v>
      </c>
      <c r="C680" s="10" t="s">
        <v>293</v>
      </c>
      <c r="D680" s="10" t="s">
        <v>258</v>
      </c>
      <c r="E680" s="10"/>
      <c r="F680" s="10"/>
      <c r="G680" s="10"/>
      <c r="H680" s="10" t="s">
        <v>299</v>
      </c>
      <c r="I680" s="10" t="n">
        <f aca="false">COUNTA(voorwaardetype!H$2:H$2000)</f>
        <v>19</v>
      </c>
      <c r="J680" s="10" t="n">
        <f aca="false">IF(D680="ja",COUNTA(voorwaardetype!$A$2:$A$2000)-I680,"")</f>
        <v>0</v>
      </c>
    </row>
    <row r="681" customFormat="false" ht="15" hidden="false" customHeight="false" outlineLevel="0" collapsed="false">
      <c r="A681" s="10" t="s">
        <v>71</v>
      </c>
      <c r="B681" s="10" t="s">
        <v>300</v>
      </c>
      <c r="C681" s="10" t="s">
        <v>296</v>
      </c>
      <c r="D681" s="10" t="s">
        <v>258</v>
      </c>
      <c r="E681" s="10"/>
      <c r="F681" s="10"/>
      <c r="G681" s="10"/>
      <c r="H681" s="10" t="s">
        <v>301</v>
      </c>
      <c r="I681" s="10" t="n">
        <f aca="false">COUNTA(voorwaardetype!I$2:I$2000)</f>
        <v>19</v>
      </c>
      <c r="J681" s="10" t="n">
        <f aca="false">IF(D681="ja",COUNTA(voorwaardetype!$A$2:$A$2000)-I681,"")</f>
        <v>0</v>
      </c>
    </row>
    <row r="682" customFormat="false" ht="15" hidden="false" customHeight="false" outlineLevel="0" collapsed="false">
      <c r="A682" s="10" t="s">
        <v>71</v>
      </c>
      <c r="B682" s="10" t="s">
        <v>302</v>
      </c>
      <c r="C682" s="10" t="s">
        <v>279</v>
      </c>
      <c r="D682" s="10" t="s">
        <v>258</v>
      </c>
      <c r="E682" s="10"/>
      <c r="F682" s="10"/>
      <c r="G682" s="10" t="s">
        <v>303</v>
      </c>
      <c r="H682" s="10" t="s">
        <v>304</v>
      </c>
      <c r="I682" s="10" t="n">
        <f aca="false">COUNTA(voorwaardetype!J$2:J$2000)</f>
        <v>19</v>
      </c>
      <c r="J682" s="10" t="n">
        <f aca="false">IF(D682="ja",COUNTA(voorwaardetype!$A$2:$A$2000)-I682,"")</f>
        <v>0</v>
      </c>
    </row>
    <row r="683" customFormat="false" ht="15" hidden="false" customHeight="false" outlineLevel="0" collapsed="false">
      <c r="A683" s="10" t="s">
        <v>71</v>
      </c>
      <c r="B683" s="10" t="s">
        <v>305</v>
      </c>
      <c r="C683" s="10" t="s">
        <v>286</v>
      </c>
      <c r="D683" s="10" t="s">
        <v>258</v>
      </c>
      <c r="E683" s="10"/>
      <c r="F683" s="10"/>
      <c r="G683" s="10"/>
      <c r="H683" s="10" t="s">
        <v>306</v>
      </c>
      <c r="I683" s="10" t="n">
        <f aca="false">COUNTA(voorwaardetype!K$2:K$2000)</f>
        <v>19</v>
      </c>
      <c r="J683" s="10" t="n">
        <f aca="false">IF(D683="ja",COUNTA(voorwaardetype!$A$2:$A$2000)-I683,"")</f>
        <v>0</v>
      </c>
    </row>
    <row r="684" customFormat="false" ht="15" hidden="false" customHeight="false" outlineLevel="0" collapsed="false">
      <c r="A684" s="10" t="s">
        <v>71</v>
      </c>
      <c r="B684" s="10" t="s">
        <v>307</v>
      </c>
      <c r="C684" s="10" t="s">
        <v>308</v>
      </c>
      <c r="D684" s="10" t="s">
        <v>272</v>
      </c>
      <c r="E684" s="10"/>
      <c r="F684" s="10"/>
      <c r="G684" s="10"/>
      <c r="H684" s="10" t="s">
        <v>309</v>
      </c>
      <c r="I684" s="10" t="n">
        <f aca="false">COUNTA(voorwaardetype!L$2:L$2000)</f>
        <v>0</v>
      </c>
      <c r="J684" s="10" t="str">
        <f aca="false">IF(D684="ja",COUNTA(voorwaardetype!$A$2:$A$2000)-I684,"")</f>
        <v/>
      </c>
    </row>
    <row r="685" customFormat="false" ht="15" hidden="false" customHeight="false" outlineLevel="0" collapsed="false">
      <c r="A685" s="10" t="s">
        <v>71</v>
      </c>
      <c r="B685" s="10" t="s">
        <v>310</v>
      </c>
      <c r="C685" s="10" t="s">
        <v>308</v>
      </c>
      <c r="D685" s="10" t="s">
        <v>272</v>
      </c>
      <c r="E685" s="10"/>
      <c r="F685" s="10"/>
      <c r="G685" s="10"/>
      <c r="H685" s="10" t="s">
        <v>311</v>
      </c>
      <c r="I685" s="10" t="n">
        <f aca="false">COUNTA(voorwaardetype!M$2:M$2000)</f>
        <v>0</v>
      </c>
      <c r="J685" s="10" t="str">
        <f aca="false">IF(D685="ja",COUNTA(voorwaardetype!$A$2:$A$2000)-I685,"")</f>
        <v/>
      </c>
    </row>
    <row r="686" customFormat="false" ht="15" hidden="false" customHeight="false" outlineLevel="0" collapsed="false">
      <c r="A686" s="10" t="s">
        <v>71</v>
      </c>
      <c r="B686" s="10" t="s">
        <v>312</v>
      </c>
      <c r="C686" s="10" t="s">
        <v>271</v>
      </c>
      <c r="D686" s="10" t="s">
        <v>272</v>
      </c>
      <c r="E686" s="10"/>
      <c r="F686" s="10"/>
      <c r="G686" s="10"/>
      <c r="H686" s="10" t="s">
        <v>313</v>
      </c>
      <c r="I686" s="10" t="n">
        <f aca="false">COUNTA(voorwaardetype!N$2:N$2000)</f>
        <v>19</v>
      </c>
      <c r="J686" s="10" t="str">
        <f aca="false">IF(D686="ja",COUNTA(voorwaardetype!$A$2:$A$2000)-I686,"")</f>
        <v/>
      </c>
    </row>
    <row r="687" customFormat="false" ht="15" hidden="false" customHeight="false" outlineLevel="0" collapsed="false">
      <c r="A687" s="9" t="s">
        <v>72</v>
      </c>
      <c r="B687" s="9" t="s">
        <v>602</v>
      </c>
      <c r="C687" s="9" t="s">
        <v>257</v>
      </c>
      <c r="D687" s="9" t="s">
        <v>258</v>
      </c>
      <c r="E687" s="9" t="s">
        <v>259</v>
      </c>
      <c r="F687" s="9"/>
      <c r="G687" s="9"/>
      <c r="H687" s="9"/>
      <c r="I687" s="9" t="n">
        <f aca="false">COUNTA(instrument_voorwaarde!A$2:A$2000)</f>
        <v>82</v>
      </c>
      <c r="J687" s="9" t="n">
        <f aca="false">IF(D687="ja",COUNTA(instrument_voorwaarde!$A$2:$A$2000)-I687,"")</f>
        <v>0</v>
      </c>
    </row>
    <row r="688" customFormat="false" ht="15" hidden="false" customHeight="false" outlineLevel="0" collapsed="false">
      <c r="A688" s="9" t="s">
        <v>72</v>
      </c>
      <c r="B688" s="9" t="s">
        <v>469</v>
      </c>
      <c r="C688" s="9" t="s">
        <v>323</v>
      </c>
      <c r="D688" s="9" t="s">
        <v>258</v>
      </c>
      <c r="E688" s="9" t="s">
        <v>324</v>
      </c>
      <c r="F688" s="9" t="s">
        <v>443</v>
      </c>
      <c r="G688" s="9"/>
      <c r="H688" s="9"/>
      <c r="I688" s="9" t="n">
        <f aca="false">COUNTA(instrument_voorwaarde!B$2:B$2000)</f>
        <v>82</v>
      </c>
      <c r="J688" s="9" t="n">
        <f aca="false">IF(D688="ja",COUNTA(instrument_voorwaarde!$A$2:$A$2000)-I688,"")</f>
        <v>0</v>
      </c>
    </row>
    <row r="689" customFormat="false" ht="15" hidden="false" customHeight="false" outlineLevel="0" collapsed="false">
      <c r="A689" s="9" t="s">
        <v>72</v>
      </c>
      <c r="B689" s="9" t="s">
        <v>600</v>
      </c>
      <c r="C689" s="9" t="s">
        <v>323</v>
      </c>
      <c r="D689" s="9" t="s">
        <v>258</v>
      </c>
      <c r="E689" s="9" t="s">
        <v>324</v>
      </c>
      <c r="F689" s="9" t="s">
        <v>603</v>
      </c>
      <c r="G689" s="9"/>
      <c r="H689" s="9"/>
      <c r="I689" s="9" t="n">
        <f aca="false">COUNTA(instrument_voorwaarde!C$2:C$2000)</f>
        <v>82</v>
      </c>
      <c r="J689" s="9" t="n">
        <f aca="false">IF(D689="ja",COUNTA(instrument_voorwaarde!$A$2:$A$2000)-I689,"")</f>
        <v>0</v>
      </c>
    </row>
    <row r="690" customFormat="false" ht="35.05" hidden="false" customHeight="false" outlineLevel="0" collapsed="false">
      <c r="A690" s="9" t="s">
        <v>72</v>
      </c>
      <c r="B690" s="9" t="s">
        <v>604</v>
      </c>
      <c r="C690" s="9" t="s">
        <v>262</v>
      </c>
      <c r="D690" s="9" t="s">
        <v>258</v>
      </c>
      <c r="E690" s="9"/>
      <c r="F690" s="9"/>
      <c r="G690" s="9" t="s">
        <v>605</v>
      </c>
      <c r="H690" s="9"/>
      <c r="I690" s="9" t="n">
        <f aca="false">COUNTA(instrument_voorwaarde!D$2:D$2000)</f>
        <v>82</v>
      </c>
      <c r="J690" s="9" t="n">
        <f aca="false">IF(D690="ja",COUNTA(instrument_voorwaarde!$A$2:$A$2000)-I690,"")</f>
        <v>0</v>
      </c>
    </row>
    <row r="691" customFormat="false" ht="15" hidden="false" customHeight="false" outlineLevel="0" collapsed="false">
      <c r="A691" s="9" t="s">
        <v>72</v>
      </c>
      <c r="B691" s="9" t="s">
        <v>606</v>
      </c>
      <c r="C691" s="9" t="s">
        <v>271</v>
      </c>
      <c r="D691" s="9" t="s">
        <v>272</v>
      </c>
      <c r="E691" s="9"/>
      <c r="F691" s="9"/>
      <c r="G691" s="9"/>
      <c r="H691" s="9"/>
      <c r="I691" s="9" t="n">
        <f aca="false">COUNTA(instrument_voorwaarde!E$2:E$2000)</f>
        <v>41</v>
      </c>
      <c r="J691" s="9" t="str">
        <f aca="false">IF(D691="ja",COUNTA(instrument_voorwaarde!$A$2:$A$2000)-I691,"")</f>
        <v/>
      </c>
    </row>
    <row r="692" customFormat="false" ht="15" hidden="false" customHeight="false" outlineLevel="0" collapsed="false">
      <c r="A692" s="9" t="s">
        <v>72</v>
      </c>
      <c r="B692" s="9" t="s">
        <v>607</v>
      </c>
      <c r="C692" s="9" t="s">
        <v>608</v>
      </c>
      <c r="D692" s="9" t="s">
        <v>272</v>
      </c>
      <c r="E692" s="9"/>
      <c r="F692" s="9"/>
      <c r="G692" s="9"/>
      <c r="H692" s="9"/>
      <c r="I692" s="9" t="n">
        <f aca="false">COUNTA(instrument_voorwaarde!F$2:F$2000)</f>
        <v>29</v>
      </c>
      <c r="J692" s="9" t="str">
        <f aca="false">IF(D692="ja",COUNTA(instrument_voorwaarde!$A$2:$A$2000)-I692,"")</f>
        <v/>
      </c>
    </row>
    <row r="693" customFormat="false" ht="15" hidden="false" customHeight="false" outlineLevel="0" collapsed="false">
      <c r="A693" s="9" t="s">
        <v>72</v>
      </c>
      <c r="B693" s="9" t="s">
        <v>609</v>
      </c>
      <c r="C693" s="9" t="s">
        <v>308</v>
      </c>
      <c r="D693" s="9" t="s">
        <v>272</v>
      </c>
      <c r="E693" s="9"/>
      <c r="F693" s="9"/>
      <c r="G693" s="9"/>
      <c r="H693" s="9"/>
      <c r="I693" s="9" t="n">
        <f aca="false">COUNTA(instrument_voorwaarde!G$2:G$2000)</f>
        <v>0</v>
      </c>
      <c r="J693" s="9" t="str">
        <f aca="false">IF(D693="ja",COUNTA(instrument_voorwaarde!$A$2:$A$2000)-I693,"")</f>
        <v/>
      </c>
    </row>
    <row r="694" customFormat="false" ht="15" hidden="false" customHeight="false" outlineLevel="0" collapsed="false">
      <c r="A694" s="9" t="s">
        <v>72</v>
      </c>
      <c r="B694" s="9" t="s">
        <v>610</v>
      </c>
      <c r="C694" s="9" t="s">
        <v>289</v>
      </c>
      <c r="D694" s="9" t="s">
        <v>272</v>
      </c>
      <c r="E694" s="9"/>
      <c r="F694" s="9"/>
      <c r="G694" s="9" t="s">
        <v>290</v>
      </c>
      <c r="H694" s="9"/>
      <c r="I694" s="9" t="n">
        <f aca="false">COUNTA(instrument_voorwaarde!H$2:H$2000)</f>
        <v>12</v>
      </c>
      <c r="J694" s="9" t="str">
        <f aca="false">IF(D694="ja",COUNTA(instrument_voorwaarde!$A$2:$A$2000)-I694,"")</f>
        <v/>
      </c>
    </row>
    <row r="695" customFormat="false" ht="15" hidden="false" customHeight="false" outlineLevel="0" collapsed="false">
      <c r="A695" s="9" t="s">
        <v>72</v>
      </c>
      <c r="B695" s="9" t="s">
        <v>611</v>
      </c>
      <c r="C695" s="9" t="s">
        <v>279</v>
      </c>
      <c r="D695" s="9" t="s">
        <v>272</v>
      </c>
      <c r="E695" s="9"/>
      <c r="F695" s="9"/>
      <c r="G695" s="9"/>
      <c r="H695" s="9"/>
      <c r="I695" s="9" t="n">
        <f aca="false">COUNTA(instrument_voorwaarde!I$2:I$2000)</f>
        <v>29</v>
      </c>
      <c r="J695" s="9" t="str">
        <f aca="false">IF(D695="ja",COUNTA(instrument_voorwaarde!$A$2:$A$2000)-I695,"")</f>
        <v/>
      </c>
    </row>
    <row r="696" customFormat="false" ht="15" hidden="false" customHeight="false" outlineLevel="0" collapsed="false">
      <c r="A696" s="9" t="s">
        <v>72</v>
      </c>
      <c r="B696" s="9" t="s">
        <v>612</v>
      </c>
      <c r="C696" s="9" t="s">
        <v>289</v>
      </c>
      <c r="D696" s="9" t="s">
        <v>258</v>
      </c>
      <c r="E696" s="9"/>
      <c r="F696" s="9"/>
      <c r="G696" s="9" t="s">
        <v>290</v>
      </c>
      <c r="H696" s="9"/>
      <c r="I696" s="9" t="n">
        <f aca="false">COUNTA(instrument_voorwaarde!J$2:J$2000)</f>
        <v>82</v>
      </c>
      <c r="J696" s="9" t="n">
        <f aca="false">IF(D696="ja",COUNTA(instrument_voorwaarde!$A$2:$A$2000)-I696,"")</f>
        <v>0</v>
      </c>
    </row>
    <row r="697" customFormat="false" ht="15" hidden="false" customHeight="false" outlineLevel="0" collapsed="false">
      <c r="A697" s="9" t="s">
        <v>72</v>
      </c>
      <c r="B697" s="9" t="s">
        <v>613</v>
      </c>
      <c r="C697" s="9" t="s">
        <v>289</v>
      </c>
      <c r="D697" s="9" t="s">
        <v>258</v>
      </c>
      <c r="E697" s="9"/>
      <c r="F697" s="9"/>
      <c r="G697" s="9" t="s">
        <v>290</v>
      </c>
      <c r="H697" s="9"/>
      <c r="I697" s="9" t="n">
        <f aca="false">COUNTA(instrument_voorwaarde!K$2:K$2000)</f>
        <v>82</v>
      </c>
      <c r="J697" s="9" t="n">
        <f aca="false">IF(D697="ja",COUNTA(instrument_voorwaarde!$A$2:$A$2000)-I697,"")</f>
        <v>0</v>
      </c>
    </row>
    <row r="698" customFormat="false" ht="15" hidden="false" customHeight="false" outlineLevel="0" collapsed="false">
      <c r="A698" s="9" t="s">
        <v>72</v>
      </c>
      <c r="B698" s="9" t="s">
        <v>410</v>
      </c>
      <c r="C698" s="9" t="s">
        <v>271</v>
      </c>
      <c r="D698" s="9" t="s">
        <v>272</v>
      </c>
      <c r="E698" s="9"/>
      <c r="F698" s="9"/>
      <c r="G698" s="9"/>
      <c r="H698" s="9"/>
      <c r="I698" s="9" t="n">
        <f aca="false">COUNTA(instrument_voorwaarde!L$2:L$2000)</f>
        <v>71</v>
      </c>
      <c r="J698" s="9" t="str">
        <f aca="false">IF(D698="ja",COUNTA(instrument_voorwaarde!$A$2:$A$2000)-I698,"")</f>
        <v/>
      </c>
    </row>
    <row r="699" customFormat="false" ht="15" hidden="false" customHeight="false" outlineLevel="0" collapsed="false">
      <c r="A699" s="9" t="s">
        <v>72</v>
      </c>
      <c r="B699" s="9" t="s">
        <v>537</v>
      </c>
      <c r="C699" s="9" t="s">
        <v>323</v>
      </c>
      <c r="D699" s="9" t="s">
        <v>272</v>
      </c>
      <c r="E699" s="9" t="s">
        <v>324</v>
      </c>
      <c r="F699" s="9" t="s">
        <v>551</v>
      </c>
      <c r="G699" s="9"/>
      <c r="H699" s="9"/>
      <c r="I699" s="9" t="n">
        <f aca="false">COUNTA(instrument_voorwaarde!M$2:M$2000)</f>
        <v>0</v>
      </c>
      <c r="J699" s="9" t="str">
        <f aca="false">IF(D699="ja",COUNTA(instrument_voorwaarde!$A$2:$A$2000)-I699,"")</f>
        <v/>
      </c>
    </row>
    <row r="700" customFormat="false" ht="15" hidden="false" customHeight="false" outlineLevel="0" collapsed="false">
      <c r="A700" s="10" t="s">
        <v>72</v>
      </c>
      <c r="B700" s="10" t="s">
        <v>292</v>
      </c>
      <c r="C700" s="10" t="s">
        <v>293</v>
      </c>
      <c r="D700" s="10" t="s">
        <v>258</v>
      </c>
      <c r="E700" s="10"/>
      <c r="F700" s="10"/>
      <c r="G700" s="10"/>
      <c r="H700" s="10" t="s">
        <v>294</v>
      </c>
      <c r="I700" s="10" t="n">
        <f aca="false">COUNTA(instrument_voorwaarde!N$2:N$2000)</f>
        <v>82</v>
      </c>
      <c r="J700" s="10" t="n">
        <f aca="false">IF(D700="ja",COUNTA(instrument_voorwaarde!$A$2:$A$2000)-I700,"")</f>
        <v>0</v>
      </c>
    </row>
    <row r="701" customFormat="false" ht="15" hidden="false" customHeight="false" outlineLevel="0" collapsed="false">
      <c r="A701" s="10" t="s">
        <v>72</v>
      </c>
      <c r="B701" s="10" t="s">
        <v>295</v>
      </c>
      <c r="C701" s="10" t="s">
        <v>296</v>
      </c>
      <c r="D701" s="10" t="s">
        <v>258</v>
      </c>
      <c r="E701" s="10"/>
      <c r="F701" s="10"/>
      <c r="G701" s="10"/>
      <c r="H701" s="10" t="s">
        <v>297</v>
      </c>
      <c r="I701" s="10" t="n">
        <f aca="false">COUNTA(instrument_voorwaarde!O$2:O$2000)</f>
        <v>82</v>
      </c>
      <c r="J701" s="10" t="n">
        <f aca="false">IF(D701="ja",COUNTA(instrument_voorwaarde!$A$2:$A$2000)-I701,"")</f>
        <v>0</v>
      </c>
    </row>
    <row r="702" customFormat="false" ht="15" hidden="false" customHeight="false" outlineLevel="0" collapsed="false">
      <c r="A702" s="10" t="s">
        <v>72</v>
      </c>
      <c r="B702" s="10" t="s">
        <v>298</v>
      </c>
      <c r="C702" s="10" t="s">
        <v>293</v>
      </c>
      <c r="D702" s="10" t="s">
        <v>258</v>
      </c>
      <c r="E702" s="10"/>
      <c r="F702" s="10"/>
      <c r="G702" s="10"/>
      <c r="H702" s="10" t="s">
        <v>299</v>
      </c>
      <c r="I702" s="10" t="n">
        <f aca="false">COUNTA(instrument_voorwaarde!P$2:P$2000)</f>
        <v>82</v>
      </c>
      <c r="J702" s="10" t="n">
        <f aca="false">IF(D702="ja",COUNTA(instrument_voorwaarde!$A$2:$A$2000)-I702,"")</f>
        <v>0</v>
      </c>
    </row>
    <row r="703" customFormat="false" ht="15" hidden="false" customHeight="false" outlineLevel="0" collapsed="false">
      <c r="A703" s="10" t="s">
        <v>72</v>
      </c>
      <c r="B703" s="10" t="s">
        <v>300</v>
      </c>
      <c r="C703" s="10" t="s">
        <v>296</v>
      </c>
      <c r="D703" s="10" t="s">
        <v>258</v>
      </c>
      <c r="E703" s="10"/>
      <c r="F703" s="10"/>
      <c r="G703" s="10"/>
      <c r="H703" s="10" t="s">
        <v>301</v>
      </c>
      <c r="I703" s="10" t="n">
        <f aca="false">COUNTA(instrument_voorwaarde!Q$2:Q$2000)</f>
        <v>82</v>
      </c>
      <c r="J703" s="10" t="n">
        <f aca="false">IF(D703="ja",COUNTA(instrument_voorwaarde!$A$2:$A$2000)-I703,"")</f>
        <v>0</v>
      </c>
    </row>
    <row r="704" customFormat="false" ht="15" hidden="false" customHeight="false" outlineLevel="0" collapsed="false">
      <c r="A704" s="10" t="s">
        <v>72</v>
      </c>
      <c r="B704" s="10" t="s">
        <v>302</v>
      </c>
      <c r="C704" s="10" t="s">
        <v>279</v>
      </c>
      <c r="D704" s="10" t="s">
        <v>258</v>
      </c>
      <c r="E704" s="10"/>
      <c r="F704" s="10"/>
      <c r="G704" s="10" t="s">
        <v>303</v>
      </c>
      <c r="H704" s="10" t="s">
        <v>304</v>
      </c>
      <c r="I704" s="10" t="n">
        <f aca="false">COUNTA(instrument_voorwaarde!R$2:R$2000)</f>
        <v>82</v>
      </c>
      <c r="J704" s="10" t="n">
        <f aca="false">IF(D704="ja",COUNTA(instrument_voorwaarde!$A$2:$A$2000)-I704,"")</f>
        <v>0</v>
      </c>
    </row>
    <row r="705" customFormat="false" ht="15" hidden="false" customHeight="false" outlineLevel="0" collapsed="false">
      <c r="A705" s="10" t="s">
        <v>72</v>
      </c>
      <c r="B705" s="10" t="s">
        <v>305</v>
      </c>
      <c r="C705" s="10" t="s">
        <v>286</v>
      </c>
      <c r="D705" s="10" t="s">
        <v>258</v>
      </c>
      <c r="E705" s="10"/>
      <c r="F705" s="10"/>
      <c r="G705" s="10"/>
      <c r="H705" s="10" t="s">
        <v>306</v>
      </c>
      <c r="I705" s="10" t="n">
        <f aca="false">COUNTA(instrument_voorwaarde!S$2:S$2000)</f>
        <v>82</v>
      </c>
      <c r="J705" s="10" t="n">
        <f aca="false">IF(D705="ja",COUNTA(instrument_voorwaarde!$A$2:$A$2000)-I705,"")</f>
        <v>0</v>
      </c>
    </row>
    <row r="706" customFormat="false" ht="15" hidden="false" customHeight="false" outlineLevel="0" collapsed="false">
      <c r="A706" s="10" t="s">
        <v>72</v>
      </c>
      <c r="B706" s="10" t="s">
        <v>307</v>
      </c>
      <c r="C706" s="10" t="s">
        <v>308</v>
      </c>
      <c r="D706" s="10" t="s">
        <v>272</v>
      </c>
      <c r="E706" s="10"/>
      <c r="F706" s="10"/>
      <c r="G706" s="10"/>
      <c r="H706" s="10" t="s">
        <v>309</v>
      </c>
      <c r="I706" s="10" t="n">
        <f aca="false">COUNTA(instrument_voorwaarde!T$2:T$2000)</f>
        <v>0</v>
      </c>
      <c r="J706" s="10" t="str">
        <f aca="false">IF(D706="ja",COUNTA(instrument_voorwaarde!$A$2:$A$2000)-I706,"")</f>
        <v/>
      </c>
    </row>
    <row r="707" customFormat="false" ht="15" hidden="false" customHeight="false" outlineLevel="0" collapsed="false">
      <c r="A707" s="10" t="s">
        <v>72</v>
      </c>
      <c r="B707" s="10" t="s">
        <v>310</v>
      </c>
      <c r="C707" s="10" t="s">
        <v>308</v>
      </c>
      <c r="D707" s="10" t="s">
        <v>272</v>
      </c>
      <c r="E707" s="10"/>
      <c r="F707" s="10"/>
      <c r="G707" s="10"/>
      <c r="H707" s="10" t="s">
        <v>311</v>
      </c>
      <c r="I707" s="10" t="n">
        <f aca="false">COUNTA(instrument_voorwaarde!U$2:U$2000)</f>
        <v>0</v>
      </c>
      <c r="J707" s="10" t="str">
        <f aca="false">IF(D707="ja",COUNTA(instrument_voorwaarde!$A$2:$A$2000)-I707,"")</f>
        <v/>
      </c>
    </row>
    <row r="708" customFormat="false" ht="15" hidden="false" customHeight="false" outlineLevel="0" collapsed="false">
      <c r="A708" s="10" t="s">
        <v>72</v>
      </c>
      <c r="B708" s="10" t="s">
        <v>312</v>
      </c>
      <c r="C708" s="10" t="s">
        <v>271</v>
      </c>
      <c r="D708" s="10" t="s">
        <v>272</v>
      </c>
      <c r="E708" s="10"/>
      <c r="F708" s="10"/>
      <c r="G708" s="10"/>
      <c r="H708" s="10" t="s">
        <v>313</v>
      </c>
      <c r="I708" s="10" t="n">
        <f aca="false">COUNTA(instrument_voorwaarde!V$2:V$2000)</f>
        <v>82</v>
      </c>
      <c r="J708" s="10" t="str">
        <f aca="false">IF(D708="ja",COUNTA(instrument_voorwaarde!$A$2:$A$2000)-I708,"")</f>
        <v/>
      </c>
    </row>
    <row r="709" customFormat="false" ht="15" hidden="false" customHeight="false" outlineLevel="0" collapsed="false">
      <c r="A709" s="9" t="s">
        <v>73</v>
      </c>
      <c r="B709" s="9" t="s">
        <v>614</v>
      </c>
      <c r="C709" s="9" t="s">
        <v>257</v>
      </c>
      <c r="D709" s="9" t="s">
        <v>258</v>
      </c>
      <c r="E709" s="9" t="s">
        <v>259</v>
      </c>
      <c r="F709" s="9"/>
      <c r="G709" s="9"/>
      <c r="H709" s="9"/>
      <c r="I709" s="9" t="n">
        <f aca="false">COUNTA(werkingsgebied!A$2:A$2000)</f>
        <v>11</v>
      </c>
      <c r="J709" s="9" t="n">
        <f aca="false">IF(D709="ja",COUNTA(werkingsgebied!$A$2:$A$2000)-I709,"")</f>
        <v>0</v>
      </c>
    </row>
    <row r="710" customFormat="false" ht="23.85" hidden="false" customHeight="false" outlineLevel="0" collapsed="false">
      <c r="A710" s="9" t="s">
        <v>73</v>
      </c>
      <c r="B710" s="9" t="s">
        <v>615</v>
      </c>
      <c r="C710" s="9" t="s">
        <v>279</v>
      </c>
      <c r="D710" s="9" t="s">
        <v>258</v>
      </c>
      <c r="E710" s="9"/>
      <c r="F710" s="9"/>
      <c r="G710" s="9" t="s">
        <v>616</v>
      </c>
      <c r="H710" s="9"/>
      <c r="I710" s="9" t="n">
        <f aca="false">COUNTA(werkingsgebied!B$2:B$2000)</f>
        <v>11</v>
      </c>
      <c r="J710" s="9" t="n">
        <f aca="false">IF(D710="ja",COUNTA(werkingsgebied!$A$2:$A$2000)-I710,"")</f>
        <v>0</v>
      </c>
    </row>
    <row r="711" customFormat="false" ht="15" hidden="false" customHeight="false" outlineLevel="0" collapsed="false">
      <c r="A711" s="9" t="s">
        <v>73</v>
      </c>
      <c r="B711" s="9" t="s">
        <v>264</v>
      </c>
      <c r="C711" s="9" t="s">
        <v>265</v>
      </c>
      <c r="D711" s="9" t="s">
        <v>258</v>
      </c>
      <c r="E711" s="9"/>
      <c r="F711" s="9"/>
      <c r="G711" s="9"/>
      <c r="H711" s="9"/>
      <c r="I711" s="9" t="n">
        <f aca="false">COUNTA(werkingsgebied!C$2:C$2000)</f>
        <v>11</v>
      </c>
      <c r="J711" s="9" t="n">
        <f aca="false">IF(D711="ja",COUNTA(werkingsgebied!$A$2:$A$2000)-I711,"")</f>
        <v>0</v>
      </c>
    </row>
    <row r="712" customFormat="false" ht="15" hidden="false" customHeight="false" outlineLevel="0" collapsed="false">
      <c r="A712" s="9" t="s">
        <v>73</v>
      </c>
      <c r="B712" s="9" t="s">
        <v>617</v>
      </c>
      <c r="C712" s="9" t="s">
        <v>618</v>
      </c>
      <c r="D712" s="9" t="s">
        <v>272</v>
      </c>
      <c r="E712" s="9"/>
      <c r="F712" s="9"/>
      <c r="G712" s="9"/>
      <c r="H712" s="9"/>
      <c r="I712" s="9" t="n">
        <f aca="false">COUNTA(werkingsgebied!D$2:D$2000)</f>
        <v>6</v>
      </c>
      <c r="J712" s="9" t="str">
        <f aca="false">IF(D712="ja",COUNTA(werkingsgebied!$A$2:$A$2000)-I712,"")</f>
        <v/>
      </c>
    </row>
    <row r="713" customFormat="false" ht="15" hidden="false" customHeight="false" outlineLevel="0" collapsed="false">
      <c r="A713" s="9" t="s">
        <v>73</v>
      </c>
      <c r="B713" s="9" t="s">
        <v>619</v>
      </c>
      <c r="C713" s="9" t="s">
        <v>323</v>
      </c>
      <c r="D713" s="9" t="s">
        <v>272</v>
      </c>
      <c r="E713" s="9" t="s">
        <v>324</v>
      </c>
      <c r="F713" s="9" t="s">
        <v>620</v>
      </c>
      <c r="G713" s="9"/>
      <c r="H713" s="9"/>
      <c r="I713" s="9" t="n">
        <f aca="false">COUNTA(werkingsgebied!E$2:E$2000)</f>
        <v>6</v>
      </c>
      <c r="J713" s="9" t="str">
        <f aca="false">IF(D713="ja",COUNTA(werkingsgebied!$A$2:$A$2000)-I713,"")</f>
        <v/>
      </c>
    </row>
    <row r="714" customFormat="false" ht="15" hidden="false" customHeight="false" outlineLevel="0" collapsed="false">
      <c r="A714" s="10" t="s">
        <v>73</v>
      </c>
      <c r="B714" s="10" t="s">
        <v>292</v>
      </c>
      <c r="C714" s="10" t="s">
        <v>293</v>
      </c>
      <c r="D714" s="10" t="s">
        <v>258</v>
      </c>
      <c r="E714" s="10"/>
      <c r="F714" s="10"/>
      <c r="G714" s="10"/>
      <c r="H714" s="10" t="s">
        <v>294</v>
      </c>
      <c r="I714" s="10" t="n">
        <f aca="false">COUNTA(werkingsgebied!F$2:F$2000)</f>
        <v>11</v>
      </c>
      <c r="J714" s="10" t="n">
        <f aca="false">IF(D714="ja",COUNTA(werkingsgebied!$A$2:$A$2000)-I714,"")</f>
        <v>0</v>
      </c>
    </row>
    <row r="715" customFormat="false" ht="15" hidden="false" customHeight="false" outlineLevel="0" collapsed="false">
      <c r="A715" s="10" t="s">
        <v>73</v>
      </c>
      <c r="B715" s="10" t="s">
        <v>295</v>
      </c>
      <c r="C715" s="10" t="s">
        <v>296</v>
      </c>
      <c r="D715" s="10" t="s">
        <v>258</v>
      </c>
      <c r="E715" s="10"/>
      <c r="F715" s="10"/>
      <c r="G715" s="10"/>
      <c r="H715" s="10" t="s">
        <v>297</v>
      </c>
      <c r="I715" s="10" t="n">
        <f aca="false">COUNTA(werkingsgebied!G$2:G$2000)</f>
        <v>11</v>
      </c>
      <c r="J715" s="10" t="n">
        <f aca="false">IF(D715="ja",COUNTA(werkingsgebied!$A$2:$A$2000)-I715,"")</f>
        <v>0</v>
      </c>
    </row>
    <row r="716" customFormat="false" ht="15" hidden="false" customHeight="false" outlineLevel="0" collapsed="false">
      <c r="A716" s="10" t="s">
        <v>73</v>
      </c>
      <c r="B716" s="10" t="s">
        <v>298</v>
      </c>
      <c r="C716" s="10" t="s">
        <v>293</v>
      </c>
      <c r="D716" s="10" t="s">
        <v>258</v>
      </c>
      <c r="E716" s="10"/>
      <c r="F716" s="10"/>
      <c r="G716" s="10"/>
      <c r="H716" s="10" t="s">
        <v>299</v>
      </c>
      <c r="I716" s="10" t="n">
        <f aca="false">COUNTA(werkingsgebied!H$2:H$2000)</f>
        <v>11</v>
      </c>
      <c r="J716" s="10" t="n">
        <f aca="false">IF(D716="ja",COUNTA(werkingsgebied!$A$2:$A$2000)-I716,"")</f>
        <v>0</v>
      </c>
    </row>
    <row r="717" customFormat="false" ht="15" hidden="false" customHeight="false" outlineLevel="0" collapsed="false">
      <c r="A717" s="10" t="s">
        <v>73</v>
      </c>
      <c r="B717" s="10" t="s">
        <v>300</v>
      </c>
      <c r="C717" s="10" t="s">
        <v>296</v>
      </c>
      <c r="D717" s="10" t="s">
        <v>258</v>
      </c>
      <c r="E717" s="10"/>
      <c r="F717" s="10"/>
      <c r="G717" s="10"/>
      <c r="H717" s="10" t="s">
        <v>301</v>
      </c>
      <c r="I717" s="10" t="n">
        <f aca="false">COUNTA(werkingsgebied!I$2:I$2000)</f>
        <v>11</v>
      </c>
      <c r="J717" s="10" t="n">
        <f aca="false">IF(D717="ja",COUNTA(werkingsgebied!$A$2:$A$2000)-I717,"")</f>
        <v>0</v>
      </c>
    </row>
    <row r="718" customFormat="false" ht="15" hidden="false" customHeight="false" outlineLevel="0" collapsed="false">
      <c r="A718" s="10" t="s">
        <v>73</v>
      </c>
      <c r="B718" s="10" t="s">
        <v>302</v>
      </c>
      <c r="C718" s="10" t="s">
        <v>279</v>
      </c>
      <c r="D718" s="10" t="s">
        <v>258</v>
      </c>
      <c r="E718" s="10"/>
      <c r="F718" s="10"/>
      <c r="G718" s="10" t="s">
        <v>303</v>
      </c>
      <c r="H718" s="10" t="s">
        <v>304</v>
      </c>
      <c r="I718" s="10" t="n">
        <f aca="false">COUNTA(werkingsgebied!J$2:J$2000)</f>
        <v>11</v>
      </c>
      <c r="J718" s="10" t="n">
        <f aca="false">IF(D718="ja",COUNTA(werkingsgebied!$A$2:$A$2000)-I718,"")</f>
        <v>0</v>
      </c>
    </row>
    <row r="719" customFormat="false" ht="15" hidden="false" customHeight="false" outlineLevel="0" collapsed="false">
      <c r="A719" s="10" t="s">
        <v>73</v>
      </c>
      <c r="B719" s="10" t="s">
        <v>305</v>
      </c>
      <c r="C719" s="10" t="s">
        <v>286</v>
      </c>
      <c r="D719" s="10" t="s">
        <v>258</v>
      </c>
      <c r="E719" s="10"/>
      <c r="F719" s="10"/>
      <c r="G719" s="10"/>
      <c r="H719" s="10" t="s">
        <v>306</v>
      </c>
      <c r="I719" s="10" t="n">
        <f aca="false">COUNTA(werkingsgebied!K$2:K$2000)</f>
        <v>11</v>
      </c>
      <c r="J719" s="10" t="n">
        <f aca="false">IF(D719="ja",COUNTA(werkingsgebied!$A$2:$A$2000)-I719,"")</f>
        <v>0</v>
      </c>
    </row>
    <row r="720" customFormat="false" ht="15" hidden="false" customHeight="false" outlineLevel="0" collapsed="false">
      <c r="A720" s="10" t="s">
        <v>73</v>
      </c>
      <c r="B720" s="10" t="s">
        <v>307</v>
      </c>
      <c r="C720" s="10" t="s">
        <v>308</v>
      </c>
      <c r="D720" s="10" t="s">
        <v>272</v>
      </c>
      <c r="E720" s="10"/>
      <c r="F720" s="10"/>
      <c r="G720" s="10"/>
      <c r="H720" s="10" t="s">
        <v>309</v>
      </c>
      <c r="I720" s="10" t="n">
        <f aca="false">COUNTA(werkingsgebied!L$2:L$2000)</f>
        <v>0</v>
      </c>
      <c r="J720" s="10" t="str">
        <f aca="false">IF(D720="ja",COUNTA(werkingsgebied!$A$2:$A$2000)-I720,"")</f>
        <v/>
      </c>
    </row>
    <row r="721" customFormat="false" ht="15" hidden="false" customHeight="false" outlineLevel="0" collapsed="false">
      <c r="A721" s="10" t="s">
        <v>73</v>
      </c>
      <c r="B721" s="10" t="s">
        <v>310</v>
      </c>
      <c r="C721" s="10" t="s">
        <v>308</v>
      </c>
      <c r="D721" s="10" t="s">
        <v>272</v>
      </c>
      <c r="E721" s="10"/>
      <c r="F721" s="10"/>
      <c r="G721" s="10"/>
      <c r="H721" s="10" t="s">
        <v>311</v>
      </c>
      <c r="I721" s="10" t="n">
        <f aca="false">COUNTA(werkingsgebied!M$2:M$2000)</f>
        <v>0</v>
      </c>
      <c r="J721" s="10" t="str">
        <f aca="false">IF(D721="ja",COUNTA(werkingsgebied!$A$2:$A$2000)-I721,"")</f>
        <v/>
      </c>
    </row>
    <row r="722" customFormat="false" ht="15" hidden="false" customHeight="false" outlineLevel="0" collapsed="false">
      <c r="A722" s="10" t="s">
        <v>73</v>
      </c>
      <c r="B722" s="10" t="s">
        <v>312</v>
      </c>
      <c r="C722" s="10" t="s">
        <v>271</v>
      </c>
      <c r="D722" s="10" t="s">
        <v>272</v>
      </c>
      <c r="E722" s="10"/>
      <c r="F722" s="10"/>
      <c r="G722" s="10"/>
      <c r="H722" s="10" t="s">
        <v>313</v>
      </c>
      <c r="I722" s="10" t="n">
        <f aca="false">COUNTA(werkingsgebied!N$2:N$2000)</f>
        <v>6</v>
      </c>
      <c r="J722" s="10" t="str">
        <f aca="false">IF(D722="ja",COUNTA(werkingsgebied!$A$2:$A$2000)-I722,"")</f>
        <v/>
      </c>
    </row>
    <row r="723" customFormat="false" ht="15" hidden="false" customHeight="false" outlineLevel="0" collapsed="false">
      <c r="A723" s="9" t="s">
        <v>74</v>
      </c>
      <c r="B723" s="9" t="s">
        <v>621</v>
      </c>
      <c r="C723" s="9" t="s">
        <v>257</v>
      </c>
      <c r="D723" s="9" t="s">
        <v>258</v>
      </c>
      <c r="E723" s="9" t="s">
        <v>259</v>
      </c>
      <c r="F723" s="9"/>
      <c r="G723" s="9"/>
      <c r="H723" s="9"/>
      <c r="I723" s="9" t="n">
        <f aca="false">COUNTA(instrument_werkingsgebied!A$2:A$2000)</f>
        <v>83</v>
      </c>
      <c r="J723" s="9" t="n">
        <f aca="false">IF(D723="ja",COUNTA(instrument_werkingsgebied!$A$2:$A$2000)-I723,"")</f>
        <v>0</v>
      </c>
    </row>
    <row r="724" customFormat="false" ht="15" hidden="false" customHeight="false" outlineLevel="0" collapsed="false">
      <c r="A724" s="9" t="s">
        <v>74</v>
      </c>
      <c r="B724" s="9" t="s">
        <v>469</v>
      </c>
      <c r="C724" s="9" t="s">
        <v>323</v>
      </c>
      <c r="D724" s="9" t="s">
        <v>258</v>
      </c>
      <c r="E724" s="9" t="s">
        <v>324</v>
      </c>
      <c r="F724" s="9" t="s">
        <v>443</v>
      </c>
      <c r="G724" s="9"/>
      <c r="H724" s="9"/>
      <c r="I724" s="9" t="n">
        <f aca="false">COUNTA(instrument_werkingsgebied!B$2:B$2000)</f>
        <v>83</v>
      </c>
      <c r="J724" s="9" t="n">
        <f aca="false">IF(D724="ja",COUNTA(instrument_werkingsgebied!$A$2:$A$2000)-I724,"")</f>
        <v>0</v>
      </c>
    </row>
    <row r="725" customFormat="false" ht="15" hidden="false" customHeight="false" outlineLevel="0" collapsed="false">
      <c r="A725" s="9" t="s">
        <v>74</v>
      </c>
      <c r="B725" s="9" t="s">
        <v>614</v>
      </c>
      <c r="C725" s="9" t="s">
        <v>323</v>
      </c>
      <c r="D725" s="9" t="s">
        <v>258</v>
      </c>
      <c r="E725" s="9" t="s">
        <v>324</v>
      </c>
      <c r="F725" s="9" t="s">
        <v>620</v>
      </c>
      <c r="G725" s="9"/>
      <c r="H725" s="9"/>
      <c r="I725" s="9" t="n">
        <f aca="false">COUNTA(instrument_werkingsgebied!C$2:C$2000)</f>
        <v>83</v>
      </c>
      <c r="J725" s="9" t="n">
        <f aca="false">IF(D725="ja",COUNTA(instrument_werkingsgebied!$A$2:$A$2000)-I725,"")</f>
        <v>0</v>
      </c>
    </row>
    <row r="726" customFormat="false" ht="15" hidden="false" customHeight="false" outlineLevel="0" collapsed="false">
      <c r="A726" s="9" t="s">
        <v>74</v>
      </c>
      <c r="B726" s="9" t="s">
        <v>554</v>
      </c>
      <c r="C726" s="9" t="s">
        <v>289</v>
      </c>
      <c r="D726" s="9" t="s">
        <v>258</v>
      </c>
      <c r="E726" s="9"/>
      <c r="F726" s="9"/>
      <c r="G726" s="9" t="s">
        <v>290</v>
      </c>
      <c r="H726" s="9"/>
      <c r="I726" s="9" t="n">
        <f aca="false">COUNTA(instrument_werkingsgebied!D$2:D$2000)</f>
        <v>83</v>
      </c>
      <c r="J726" s="9" t="n">
        <f aca="false">IF(D726="ja",COUNTA(instrument_werkingsgebied!$A$2:$A$2000)-I726,"")</f>
        <v>0</v>
      </c>
    </row>
    <row r="727" customFormat="false" ht="15" hidden="false" customHeight="false" outlineLevel="0" collapsed="false">
      <c r="A727" s="9" t="s">
        <v>74</v>
      </c>
      <c r="B727" s="9" t="s">
        <v>410</v>
      </c>
      <c r="C727" s="9" t="s">
        <v>271</v>
      </c>
      <c r="D727" s="9" t="s">
        <v>272</v>
      </c>
      <c r="E727" s="9"/>
      <c r="F727" s="9"/>
      <c r="G727" s="9"/>
      <c r="H727" s="9"/>
      <c r="I727" s="9" t="n">
        <f aca="false">COUNTA(instrument_werkingsgebied!E$2:E$2000)</f>
        <v>6</v>
      </c>
      <c r="J727" s="9" t="str">
        <f aca="false">IF(D727="ja",COUNTA(instrument_werkingsgebied!$A$2:$A$2000)-I727,"")</f>
        <v/>
      </c>
    </row>
    <row r="728" customFormat="false" ht="15" hidden="false" customHeight="false" outlineLevel="0" collapsed="false">
      <c r="A728" s="10" t="s">
        <v>74</v>
      </c>
      <c r="B728" s="10" t="s">
        <v>292</v>
      </c>
      <c r="C728" s="10" t="s">
        <v>293</v>
      </c>
      <c r="D728" s="10" t="s">
        <v>258</v>
      </c>
      <c r="E728" s="10"/>
      <c r="F728" s="10"/>
      <c r="G728" s="10"/>
      <c r="H728" s="10" t="s">
        <v>294</v>
      </c>
      <c r="I728" s="10" t="n">
        <f aca="false">COUNTA(instrument_werkingsgebied!F$2:F$2000)</f>
        <v>83</v>
      </c>
      <c r="J728" s="10" t="n">
        <f aca="false">IF(D728="ja",COUNTA(instrument_werkingsgebied!$A$2:$A$2000)-I728,"")</f>
        <v>0</v>
      </c>
    </row>
    <row r="729" customFormat="false" ht="15" hidden="false" customHeight="false" outlineLevel="0" collapsed="false">
      <c r="A729" s="10" t="s">
        <v>74</v>
      </c>
      <c r="B729" s="10" t="s">
        <v>295</v>
      </c>
      <c r="C729" s="10" t="s">
        <v>296</v>
      </c>
      <c r="D729" s="10" t="s">
        <v>258</v>
      </c>
      <c r="E729" s="10"/>
      <c r="F729" s="10"/>
      <c r="G729" s="10"/>
      <c r="H729" s="10" t="s">
        <v>297</v>
      </c>
      <c r="I729" s="10" t="n">
        <f aca="false">COUNTA(instrument_werkingsgebied!G$2:G$2000)</f>
        <v>83</v>
      </c>
      <c r="J729" s="10" t="n">
        <f aca="false">IF(D729="ja",COUNTA(instrument_werkingsgebied!$A$2:$A$2000)-I729,"")</f>
        <v>0</v>
      </c>
    </row>
    <row r="730" customFormat="false" ht="15" hidden="false" customHeight="false" outlineLevel="0" collapsed="false">
      <c r="A730" s="10" t="s">
        <v>74</v>
      </c>
      <c r="B730" s="10" t="s">
        <v>298</v>
      </c>
      <c r="C730" s="10" t="s">
        <v>293</v>
      </c>
      <c r="D730" s="10" t="s">
        <v>258</v>
      </c>
      <c r="E730" s="10"/>
      <c r="F730" s="10"/>
      <c r="G730" s="10"/>
      <c r="H730" s="10" t="s">
        <v>299</v>
      </c>
      <c r="I730" s="10" t="n">
        <f aca="false">COUNTA(instrument_werkingsgebied!H$2:H$2000)</f>
        <v>83</v>
      </c>
      <c r="J730" s="10" t="n">
        <f aca="false">IF(D730="ja",COUNTA(instrument_werkingsgebied!$A$2:$A$2000)-I730,"")</f>
        <v>0</v>
      </c>
    </row>
    <row r="731" customFormat="false" ht="15" hidden="false" customHeight="false" outlineLevel="0" collapsed="false">
      <c r="A731" s="10" t="s">
        <v>74</v>
      </c>
      <c r="B731" s="10" t="s">
        <v>300</v>
      </c>
      <c r="C731" s="10" t="s">
        <v>296</v>
      </c>
      <c r="D731" s="10" t="s">
        <v>258</v>
      </c>
      <c r="E731" s="10"/>
      <c r="F731" s="10"/>
      <c r="G731" s="10"/>
      <c r="H731" s="10" t="s">
        <v>301</v>
      </c>
      <c r="I731" s="10" t="n">
        <f aca="false">COUNTA(instrument_werkingsgebied!I$2:I$2000)</f>
        <v>83</v>
      </c>
      <c r="J731" s="10" t="n">
        <f aca="false">IF(D731="ja",COUNTA(instrument_werkingsgebied!$A$2:$A$2000)-I731,"")</f>
        <v>0</v>
      </c>
    </row>
    <row r="732" customFormat="false" ht="15" hidden="false" customHeight="false" outlineLevel="0" collapsed="false">
      <c r="A732" s="10" t="s">
        <v>74</v>
      </c>
      <c r="B732" s="10" t="s">
        <v>302</v>
      </c>
      <c r="C732" s="10" t="s">
        <v>279</v>
      </c>
      <c r="D732" s="10" t="s">
        <v>258</v>
      </c>
      <c r="E732" s="10"/>
      <c r="F732" s="10"/>
      <c r="G732" s="10" t="s">
        <v>303</v>
      </c>
      <c r="H732" s="10" t="s">
        <v>304</v>
      </c>
      <c r="I732" s="10" t="n">
        <f aca="false">COUNTA(instrument_werkingsgebied!J$2:J$2000)</f>
        <v>83</v>
      </c>
      <c r="J732" s="10" t="n">
        <f aca="false">IF(D732="ja",COUNTA(instrument_werkingsgebied!$A$2:$A$2000)-I732,"")</f>
        <v>0</v>
      </c>
    </row>
    <row r="733" customFormat="false" ht="15" hidden="false" customHeight="false" outlineLevel="0" collapsed="false">
      <c r="A733" s="10" t="s">
        <v>74</v>
      </c>
      <c r="B733" s="10" t="s">
        <v>305</v>
      </c>
      <c r="C733" s="10" t="s">
        <v>286</v>
      </c>
      <c r="D733" s="10" t="s">
        <v>258</v>
      </c>
      <c r="E733" s="10"/>
      <c r="F733" s="10"/>
      <c r="G733" s="10"/>
      <c r="H733" s="10" t="s">
        <v>306</v>
      </c>
      <c r="I733" s="10" t="n">
        <f aca="false">COUNTA(instrument_werkingsgebied!K$2:K$2000)</f>
        <v>83</v>
      </c>
      <c r="J733" s="10" t="n">
        <f aca="false">IF(D733="ja",COUNTA(instrument_werkingsgebied!$A$2:$A$2000)-I733,"")</f>
        <v>0</v>
      </c>
    </row>
    <row r="734" customFormat="false" ht="15" hidden="false" customHeight="false" outlineLevel="0" collapsed="false">
      <c r="A734" s="10" t="s">
        <v>74</v>
      </c>
      <c r="B734" s="10" t="s">
        <v>307</v>
      </c>
      <c r="C734" s="10" t="s">
        <v>308</v>
      </c>
      <c r="D734" s="10" t="s">
        <v>272</v>
      </c>
      <c r="E734" s="10"/>
      <c r="F734" s="10"/>
      <c r="G734" s="10"/>
      <c r="H734" s="10" t="s">
        <v>309</v>
      </c>
      <c r="I734" s="10" t="n">
        <f aca="false">COUNTA(instrument_werkingsgebied!L$2:L$2000)</f>
        <v>0</v>
      </c>
      <c r="J734" s="10" t="str">
        <f aca="false">IF(D734="ja",COUNTA(instrument_werkingsgebied!$A$2:$A$2000)-I734,"")</f>
        <v/>
      </c>
    </row>
    <row r="735" customFormat="false" ht="15" hidden="false" customHeight="false" outlineLevel="0" collapsed="false">
      <c r="A735" s="10" t="s">
        <v>74</v>
      </c>
      <c r="B735" s="10" t="s">
        <v>310</v>
      </c>
      <c r="C735" s="10" t="s">
        <v>308</v>
      </c>
      <c r="D735" s="10" t="s">
        <v>272</v>
      </c>
      <c r="E735" s="10"/>
      <c r="F735" s="10"/>
      <c r="G735" s="10"/>
      <c r="H735" s="10" t="s">
        <v>311</v>
      </c>
      <c r="I735" s="10" t="n">
        <f aca="false">COUNTA(instrument_werkingsgebied!M$2:M$2000)</f>
        <v>0</v>
      </c>
      <c r="J735" s="10" t="str">
        <f aca="false">IF(D735="ja",COUNTA(instrument_werkingsgebied!$A$2:$A$2000)-I735,"")</f>
        <v/>
      </c>
    </row>
    <row r="736" customFormat="false" ht="15" hidden="false" customHeight="false" outlineLevel="0" collapsed="false">
      <c r="A736" s="10" t="s">
        <v>74</v>
      </c>
      <c r="B736" s="10" t="s">
        <v>312</v>
      </c>
      <c r="C736" s="10" t="s">
        <v>271</v>
      </c>
      <c r="D736" s="10" t="s">
        <v>272</v>
      </c>
      <c r="E736" s="10"/>
      <c r="F736" s="10"/>
      <c r="G736" s="10"/>
      <c r="H736" s="10" t="s">
        <v>313</v>
      </c>
      <c r="I736" s="10" t="n">
        <f aca="false">COUNTA(instrument_werkingsgebied!N$2:N$2000)</f>
        <v>12</v>
      </c>
      <c r="J736" s="10" t="str">
        <f aca="false">IF(D736="ja",COUNTA(instrument_werkingsgebied!$A$2:$A$2000)-I736,"")</f>
        <v/>
      </c>
    </row>
    <row r="737" customFormat="false" ht="15" hidden="false" customHeight="false" outlineLevel="0" collapsed="false">
      <c r="A737" s="9" t="s">
        <v>75</v>
      </c>
      <c r="B737" s="9" t="s">
        <v>622</v>
      </c>
      <c r="C737" s="9" t="s">
        <v>257</v>
      </c>
      <c r="D737" s="9" t="s">
        <v>258</v>
      </c>
      <c r="E737" s="9" t="s">
        <v>259</v>
      </c>
      <c r="F737" s="9"/>
      <c r="G737" s="9"/>
      <c r="H737" s="9"/>
      <c r="I737" s="9" t="n">
        <f aca="false">COUNTA(openstelling!A$2:A$2000)</f>
        <v>32</v>
      </c>
      <c r="J737" s="9" t="n">
        <f aca="false">IF(D737="ja",COUNTA(openstelling!$A$2:$A$2000)-I737,"")</f>
        <v>0</v>
      </c>
    </row>
    <row r="738" customFormat="false" ht="15" hidden="false" customHeight="false" outlineLevel="0" collapsed="false">
      <c r="A738" s="9" t="s">
        <v>75</v>
      </c>
      <c r="B738" s="9" t="s">
        <v>469</v>
      </c>
      <c r="C738" s="9" t="s">
        <v>323</v>
      </c>
      <c r="D738" s="9" t="s">
        <v>258</v>
      </c>
      <c r="E738" s="9" t="s">
        <v>324</v>
      </c>
      <c r="F738" s="9" t="s">
        <v>443</v>
      </c>
      <c r="G738" s="9"/>
      <c r="H738" s="9"/>
      <c r="I738" s="9" t="n">
        <f aca="false">COUNTA(openstelling!B$2:B$2000)</f>
        <v>32</v>
      </c>
      <c r="J738" s="9" t="n">
        <f aca="false">IF(D738="ja",COUNTA(openstelling!$A$2:$A$2000)-I738,"")</f>
        <v>0</v>
      </c>
    </row>
    <row r="739" customFormat="false" ht="23.85" hidden="false" customHeight="false" outlineLevel="0" collapsed="false">
      <c r="A739" s="9" t="s">
        <v>75</v>
      </c>
      <c r="B739" s="9" t="s">
        <v>623</v>
      </c>
      <c r="C739" s="9" t="s">
        <v>279</v>
      </c>
      <c r="D739" s="9" t="s">
        <v>258</v>
      </c>
      <c r="E739" s="9"/>
      <c r="F739" s="9"/>
      <c r="G739" s="9" t="s">
        <v>624</v>
      </c>
      <c r="H739" s="9"/>
      <c r="I739" s="9" t="n">
        <f aca="false">COUNTA(openstelling!C$2:C$2000)</f>
        <v>32</v>
      </c>
      <c r="J739" s="9" t="n">
        <f aca="false">IF(D739="ja",COUNTA(openstelling!$A$2:$A$2000)-I739,"")</f>
        <v>0</v>
      </c>
    </row>
    <row r="740" customFormat="false" ht="15" hidden="false" customHeight="false" outlineLevel="0" collapsed="false">
      <c r="A740" s="9" t="s">
        <v>75</v>
      </c>
      <c r="B740" s="9" t="s">
        <v>625</v>
      </c>
      <c r="C740" s="9" t="s">
        <v>308</v>
      </c>
      <c r="D740" s="9" t="s">
        <v>272</v>
      </c>
      <c r="E740" s="9"/>
      <c r="F740" s="9"/>
      <c r="G740" s="9"/>
      <c r="H740" s="9"/>
      <c r="I740" s="9" t="n">
        <f aca="false">COUNTA(openstelling!D$2:D$2000)</f>
        <v>6</v>
      </c>
      <c r="J740" s="9" t="str">
        <f aca="false">IF(D740="ja",COUNTA(openstelling!$A$2:$A$2000)-I740,"")</f>
        <v/>
      </c>
    </row>
    <row r="741" customFormat="false" ht="15" hidden="false" customHeight="false" outlineLevel="0" collapsed="false">
      <c r="A741" s="9" t="s">
        <v>75</v>
      </c>
      <c r="B741" s="9" t="s">
        <v>626</v>
      </c>
      <c r="C741" s="9" t="s">
        <v>308</v>
      </c>
      <c r="D741" s="9" t="s">
        <v>272</v>
      </c>
      <c r="E741" s="9"/>
      <c r="F741" s="9"/>
      <c r="G741" s="9"/>
      <c r="H741" s="9"/>
      <c r="I741" s="9" t="n">
        <f aca="false">COUNTA(openstelling!E$2:E$2000)</f>
        <v>12</v>
      </c>
      <c r="J741" s="9" t="str">
        <f aca="false">IF(D741="ja",COUNTA(openstelling!$A$2:$A$2000)-I741,"")</f>
        <v/>
      </c>
    </row>
    <row r="742" customFormat="false" ht="15" hidden="false" customHeight="false" outlineLevel="0" collapsed="false">
      <c r="A742" s="9" t="s">
        <v>75</v>
      </c>
      <c r="B742" s="9" t="s">
        <v>627</v>
      </c>
      <c r="C742" s="9" t="s">
        <v>308</v>
      </c>
      <c r="D742" s="9" t="s">
        <v>272</v>
      </c>
      <c r="E742" s="9"/>
      <c r="F742" s="9"/>
      <c r="G742" s="9"/>
      <c r="H742" s="9"/>
      <c r="I742" s="9" t="n">
        <f aca="false">COUNTA(openstelling!F$2:F$2000)</f>
        <v>10</v>
      </c>
      <c r="J742" s="9" t="str">
        <f aca="false">IF(D742="ja",COUNTA(openstelling!$A$2:$A$2000)-I742,"")</f>
        <v/>
      </c>
    </row>
    <row r="743" customFormat="false" ht="15" hidden="false" customHeight="false" outlineLevel="0" collapsed="false">
      <c r="A743" s="9" t="s">
        <v>75</v>
      </c>
      <c r="B743" s="9" t="s">
        <v>628</v>
      </c>
      <c r="C743" s="9" t="s">
        <v>453</v>
      </c>
      <c r="D743" s="9" t="s">
        <v>272</v>
      </c>
      <c r="E743" s="9"/>
      <c r="F743" s="9"/>
      <c r="G743" s="9" t="s">
        <v>433</v>
      </c>
      <c r="H743" s="9"/>
      <c r="I743" s="9" t="n">
        <f aca="false">COUNTA(openstelling!G$2:G$2000)</f>
        <v>20</v>
      </c>
      <c r="J743" s="9" t="str">
        <f aca="false">IF(D743="ja",COUNTA(openstelling!$A$2:$A$2000)-I743,"")</f>
        <v/>
      </c>
    </row>
    <row r="744" customFormat="false" ht="15" hidden="false" customHeight="false" outlineLevel="0" collapsed="false">
      <c r="A744" s="9" t="s">
        <v>75</v>
      </c>
      <c r="B744" s="9" t="s">
        <v>629</v>
      </c>
      <c r="C744" s="9" t="s">
        <v>592</v>
      </c>
      <c r="D744" s="9" t="s">
        <v>272</v>
      </c>
      <c r="E744" s="9"/>
      <c r="F744" s="9"/>
      <c r="G744" s="9"/>
      <c r="H744" s="9"/>
      <c r="I744" s="9" t="n">
        <f aca="false">COUNTA(openstelling!H$2:H$2000)</f>
        <v>0</v>
      </c>
      <c r="J744" s="9" t="str">
        <f aca="false">IF(D744="ja",COUNTA(openstelling!$A$2:$A$2000)-I744,"")</f>
        <v/>
      </c>
    </row>
    <row r="745" customFormat="false" ht="15" hidden="false" customHeight="false" outlineLevel="0" collapsed="false">
      <c r="A745" s="9" t="s">
        <v>75</v>
      </c>
      <c r="B745" s="9" t="s">
        <v>597</v>
      </c>
      <c r="C745" s="9" t="s">
        <v>598</v>
      </c>
      <c r="D745" s="9" t="s">
        <v>272</v>
      </c>
      <c r="E745" s="9"/>
      <c r="F745" s="9"/>
      <c r="G745" s="9"/>
      <c r="H745" s="9"/>
      <c r="I745" s="9" t="n">
        <f aca="false">COUNTA(openstelling!I$2:I$2000)</f>
        <v>0</v>
      </c>
      <c r="J745" s="9" t="str">
        <f aca="false">IF(D745="ja",COUNTA(openstelling!$A$2:$A$2000)-I745,"")</f>
        <v/>
      </c>
    </row>
    <row r="746" customFormat="false" ht="15" hidden="false" customHeight="false" outlineLevel="0" collapsed="false">
      <c r="A746" s="9" t="s">
        <v>75</v>
      </c>
      <c r="B746" s="9" t="s">
        <v>630</v>
      </c>
      <c r="C746" s="9" t="s">
        <v>271</v>
      </c>
      <c r="D746" s="9" t="s">
        <v>272</v>
      </c>
      <c r="E746" s="9"/>
      <c r="F746" s="9"/>
      <c r="G746" s="9"/>
      <c r="H746" s="9"/>
      <c r="I746" s="9" t="n">
        <f aca="false">COUNTA(openstelling!J$2:J$2000)</f>
        <v>20</v>
      </c>
      <c r="J746" s="9" t="str">
        <f aca="false">IF(D746="ja",COUNTA(openstelling!$A$2:$A$2000)-I746,"")</f>
        <v/>
      </c>
    </row>
    <row r="747" customFormat="false" ht="15" hidden="false" customHeight="false" outlineLevel="0" collapsed="false">
      <c r="A747" s="9" t="s">
        <v>75</v>
      </c>
      <c r="B747" s="9" t="s">
        <v>410</v>
      </c>
      <c r="C747" s="9" t="s">
        <v>271</v>
      </c>
      <c r="D747" s="9" t="s">
        <v>272</v>
      </c>
      <c r="E747" s="9"/>
      <c r="F747" s="9"/>
      <c r="G747" s="9"/>
      <c r="H747" s="9"/>
      <c r="I747" s="9" t="n">
        <f aca="false">COUNTA(openstelling!K$2:K$2000)</f>
        <v>32</v>
      </c>
      <c r="J747" s="9" t="str">
        <f aca="false">IF(D747="ja",COUNTA(openstelling!$A$2:$A$2000)-I747,"")</f>
        <v/>
      </c>
    </row>
    <row r="748" customFormat="false" ht="15" hidden="false" customHeight="false" outlineLevel="0" collapsed="false">
      <c r="A748" s="9" t="s">
        <v>75</v>
      </c>
      <c r="B748" s="9" t="s">
        <v>631</v>
      </c>
      <c r="C748" s="9" t="s">
        <v>308</v>
      </c>
      <c r="D748" s="9" t="s">
        <v>258</v>
      </c>
      <c r="E748" s="9"/>
      <c r="F748" s="9"/>
      <c r="G748" s="9"/>
      <c r="H748" s="9"/>
      <c r="I748" s="9" t="n">
        <f aca="false">COUNTA(openstelling!L$2:L$2000)</f>
        <v>32</v>
      </c>
      <c r="J748" s="9" t="n">
        <f aca="false">IF(D748="ja",COUNTA(openstelling!$A$2:$A$2000)-I748,"")</f>
        <v>0</v>
      </c>
    </row>
    <row r="749" customFormat="false" ht="15" hidden="false" customHeight="false" outlineLevel="0" collapsed="false">
      <c r="A749" s="10" t="s">
        <v>75</v>
      </c>
      <c r="B749" s="10" t="s">
        <v>292</v>
      </c>
      <c r="C749" s="10" t="s">
        <v>293</v>
      </c>
      <c r="D749" s="10" t="s">
        <v>258</v>
      </c>
      <c r="E749" s="10"/>
      <c r="F749" s="10"/>
      <c r="G749" s="10"/>
      <c r="H749" s="10" t="s">
        <v>294</v>
      </c>
      <c r="I749" s="10" t="n">
        <f aca="false">COUNTA(openstelling!M$2:M$2000)</f>
        <v>32</v>
      </c>
      <c r="J749" s="10" t="n">
        <f aca="false">IF(D749="ja",COUNTA(openstelling!$A$2:$A$2000)-I749,"")</f>
        <v>0</v>
      </c>
    </row>
    <row r="750" customFormat="false" ht="15" hidden="false" customHeight="false" outlineLevel="0" collapsed="false">
      <c r="A750" s="10" t="s">
        <v>75</v>
      </c>
      <c r="B750" s="10" t="s">
        <v>295</v>
      </c>
      <c r="C750" s="10" t="s">
        <v>296</v>
      </c>
      <c r="D750" s="10" t="s">
        <v>258</v>
      </c>
      <c r="E750" s="10"/>
      <c r="F750" s="10"/>
      <c r="G750" s="10"/>
      <c r="H750" s="10" t="s">
        <v>297</v>
      </c>
      <c r="I750" s="10" t="n">
        <f aca="false">COUNTA(openstelling!N$2:N$2000)</f>
        <v>32</v>
      </c>
      <c r="J750" s="10" t="n">
        <f aca="false">IF(D750="ja",COUNTA(openstelling!$A$2:$A$2000)-I750,"")</f>
        <v>0</v>
      </c>
    </row>
    <row r="751" customFormat="false" ht="15" hidden="false" customHeight="false" outlineLevel="0" collapsed="false">
      <c r="A751" s="10" t="s">
        <v>75</v>
      </c>
      <c r="B751" s="10" t="s">
        <v>298</v>
      </c>
      <c r="C751" s="10" t="s">
        <v>293</v>
      </c>
      <c r="D751" s="10" t="s">
        <v>258</v>
      </c>
      <c r="E751" s="10"/>
      <c r="F751" s="10"/>
      <c r="G751" s="10"/>
      <c r="H751" s="10" t="s">
        <v>299</v>
      </c>
      <c r="I751" s="10" t="n">
        <f aca="false">COUNTA(openstelling!O$2:O$2000)</f>
        <v>32</v>
      </c>
      <c r="J751" s="10" t="n">
        <f aca="false">IF(D751="ja",COUNTA(openstelling!$A$2:$A$2000)-I751,"")</f>
        <v>0</v>
      </c>
    </row>
    <row r="752" customFormat="false" ht="15" hidden="false" customHeight="false" outlineLevel="0" collapsed="false">
      <c r="A752" s="10" t="s">
        <v>75</v>
      </c>
      <c r="B752" s="10" t="s">
        <v>300</v>
      </c>
      <c r="C752" s="10" t="s">
        <v>296</v>
      </c>
      <c r="D752" s="10" t="s">
        <v>258</v>
      </c>
      <c r="E752" s="10"/>
      <c r="F752" s="10"/>
      <c r="G752" s="10"/>
      <c r="H752" s="10" t="s">
        <v>301</v>
      </c>
      <c r="I752" s="10" t="n">
        <f aca="false">COUNTA(openstelling!P$2:P$2000)</f>
        <v>32</v>
      </c>
      <c r="J752" s="10" t="n">
        <f aca="false">IF(D752="ja",COUNTA(openstelling!$A$2:$A$2000)-I752,"")</f>
        <v>0</v>
      </c>
    </row>
    <row r="753" customFormat="false" ht="15" hidden="false" customHeight="false" outlineLevel="0" collapsed="false">
      <c r="A753" s="10" t="s">
        <v>75</v>
      </c>
      <c r="B753" s="10" t="s">
        <v>302</v>
      </c>
      <c r="C753" s="10" t="s">
        <v>279</v>
      </c>
      <c r="D753" s="10" t="s">
        <v>258</v>
      </c>
      <c r="E753" s="10"/>
      <c r="F753" s="10"/>
      <c r="G753" s="10" t="s">
        <v>303</v>
      </c>
      <c r="H753" s="10" t="s">
        <v>304</v>
      </c>
      <c r="I753" s="10" t="n">
        <f aca="false">COUNTA(openstelling!Q$2:Q$2000)</f>
        <v>32</v>
      </c>
      <c r="J753" s="10" t="n">
        <f aca="false">IF(D753="ja",COUNTA(openstelling!$A$2:$A$2000)-I753,"")</f>
        <v>0</v>
      </c>
    </row>
    <row r="754" customFormat="false" ht="15" hidden="false" customHeight="false" outlineLevel="0" collapsed="false">
      <c r="A754" s="10" t="s">
        <v>75</v>
      </c>
      <c r="B754" s="10" t="s">
        <v>305</v>
      </c>
      <c r="C754" s="10" t="s">
        <v>286</v>
      </c>
      <c r="D754" s="10" t="s">
        <v>258</v>
      </c>
      <c r="E754" s="10"/>
      <c r="F754" s="10"/>
      <c r="G754" s="10"/>
      <c r="H754" s="10" t="s">
        <v>306</v>
      </c>
      <c r="I754" s="10" t="n">
        <f aca="false">COUNTA(openstelling!R$2:R$2000)</f>
        <v>32</v>
      </c>
      <c r="J754" s="10" t="n">
        <f aca="false">IF(D754="ja",COUNTA(openstelling!$A$2:$A$2000)-I754,"")</f>
        <v>0</v>
      </c>
    </row>
    <row r="755" customFormat="false" ht="15" hidden="false" customHeight="false" outlineLevel="0" collapsed="false">
      <c r="A755" s="10" t="s">
        <v>75</v>
      </c>
      <c r="B755" s="10" t="s">
        <v>307</v>
      </c>
      <c r="C755" s="10" t="s">
        <v>308</v>
      </c>
      <c r="D755" s="10" t="s">
        <v>272</v>
      </c>
      <c r="E755" s="10"/>
      <c r="F755" s="10"/>
      <c r="G755" s="10"/>
      <c r="H755" s="10" t="s">
        <v>309</v>
      </c>
      <c r="I755" s="10" t="n">
        <f aca="false">COUNTA(openstelling!S$2:S$2000)</f>
        <v>0</v>
      </c>
      <c r="J755" s="10" t="str">
        <f aca="false">IF(D755="ja",COUNTA(openstelling!$A$2:$A$2000)-I755,"")</f>
        <v/>
      </c>
    </row>
    <row r="756" customFormat="false" ht="15" hidden="false" customHeight="false" outlineLevel="0" collapsed="false">
      <c r="A756" s="10" t="s">
        <v>75</v>
      </c>
      <c r="B756" s="10" t="s">
        <v>310</v>
      </c>
      <c r="C756" s="10" t="s">
        <v>308</v>
      </c>
      <c r="D756" s="10" t="s">
        <v>272</v>
      </c>
      <c r="E756" s="10"/>
      <c r="F756" s="10"/>
      <c r="G756" s="10"/>
      <c r="H756" s="10" t="s">
        <v>311</v>
      </c>
      <c r="I756" s="10" t="n">
        <f aca="false">COUNTA(openstelling!T$2:T$2000)</f>
        <v>0</v>
      </c>
      <c r="J756" s="10" t="str">
        <f aca="false">IF(D756="ja",COUNTA(openstelling!$A$2:$A$2000)-I756,"")</f>
        <v/>
      </c>
    </row>
    <row r="757" customFormat="false" ht="15" hidden="false" customHeight="false" outlineLevel="0" collapsed="false">
      <c r="A757" s="10" t="s">
        <v>75</v>
      </c>
      <c r="B757" s="10" t="s">
        <v>312</v>
      </c>
      <c r="C757" s="10" t="s">
        <v>271</v>
      </c>
      <c r="D757" s="10" t="s">
        <v>272</v>
      </c>
      <c r="E757" s="10"/>
      <c r="F757" s="10"/>
      <c r="G757" s="10"/>
      <c r="H757" s="10" t="s">
        <v>313</v>
      </c>
      <c r="I757" s="10" t="n">
        <f aca="false">COUNTA(openstelling!U$2:U$2000)</f>
        <v>32</v>
      </c>
      <c r="J757" s="10" t="str">
        <f aca="false">IF(D757="ja",COUNTA(openstelling!$A$2:$A$2000)-I757,"")</f>
        <v/>
      </c>
    </row>
    <row r="758" customFormat="false" ht="15" hidden="false" customHeight="false" outlineLevel="0" collapsed="false">
      <c r="A758" s="9" t="s">
        <v>76</v>
      </c>
      <c r="B758" s="9" t="s">
        <v>379</v>
      </c>
      <c r="C758" s="9" t="s">
        <v>257</v>
      </c>
      <c r="D758" s="9" t="s">
        <v>258</v>
      </c>
      <c r="E758" s="9" t="s">
        <v>259</v>
      </c>
      <c r="F758" s="9"/>
      <c r="G758" s="9"/>
      <c r="H758" s="9"/>
      <c r="I758" s="9" t="n">
        <f aca="false">COUNTA(pc_moment!A$2:A$2000)</f>
        <v>13</v>
      </c>
      <c r="J758" s="9" t="n">
        <f aca="false">IF(D758="ja",COUNTA(pc_moment!$A$2:$A$2000)-I758,"")</f>
        <v>0</v>
      </c>
    </row>
    <row r="759" customFormat="false" ht="15" hidden="false" customHeight="false" outlineLevel="0" collapsed="false">
      <c r="A759" s="9" t="s">
        <v>76</v>
      </c>
      <c r="B759" s="9" t="s">
        <v>315</v>
      </c>
      <c r="C759" s="9" t="s">
        <v>262</v>
      </c>
      <c r="D759" s="9" t="s">
        <v>258</v>
      </c>
      <c r="E759" s="9"/>
      <c r="F759" s="9"/>
      <c r="G759" s="9"/>
      <c r="H759" s="9"/>
      <c r="I759" s="9" t="n">
        <f aca="false">COUNTA(pc_moment!B$2:B$2000)</f>
        <v>13</v>
      </c>
      <c r="J759" s="9" t="n">
        <f aca="false">IF(D759="ja",COUNTA(pc_moment!$A$2:$A$2000)-I759,"")</f>
        <v>0</v>
      </c>
    </row>
    <row r="760" customFormat="false" ht="15" hidden="false" customHeight="false" outlineLevel="0" collapsed="false">
      <c r="A760" s="9" t="s">
        <v>76</v>
      </c>
      <c r="B760" s="9" t="s">
        <v>264</v>
      </c>
      <c r="C760" s="9" t="s">
        <v>389</v>
      </c>
      <c r="D760" s="9" t="s">
        <v>258</v>
      </c>
      <c r="E760" s="9"/>
      <c r="F760" s="9"/>
      <c r="G760" s="9"/>
      <c r="H760" s="9"/>
      <c r="I760" s="9" t="n">
        <f aca="false">COUNTA(pc_moment!C$2:C$2000)</f>
        <v>13</v>
      </c>
      <c r="J760" s="9" t="n">
        <f aca="false">IF(D760="ja",COUNTA(pc_moment!$A$2:$A$2000)-I760,"")</f>
        <v>0</v>
      </c>
    </row>
    <row r="761" customFormat="false" ht="15" hidden="false" customHeight="false" outlineLevel="0" collapsed="false">
      <c r="A761" s="9" t="s">
        <v>76</v>
      </c>
      <c r="B761" s="9" t="s">
        <v>319</v>
      </c>
      <c r="C761" s="9" t="s">
        <v>271</v>
      </c>
      <c r="D761" s="9" t="s">
        <v>272</v>
      </c>
      <c r="E761" s="9"/>
      <c r="F761" s="9"/>
      <c r="G761" s="9"/>
      <c r="H761" s="9"/>
      <c r="I761" s="9" t="n">
        <f aca="false">COUNTA(pc_moment!D$2:D$2000)</f>
        <v>0</v>
      </c>
      <c r="J761" s="9" t="str">
        <f aca="false">IF(D761="ja",COUNTA(pc_moment!$A$2:$A$2000)-I761,"")</f>
        <v/>
      </c>
    </row>
    <row r="762" customFormat="false" ht="15" hidden="false" customHeight="false" outlineLevel="0" collapsed="false">
      <c r="A762" s="9" t="s">
        <v>76</v>
      </c>
      <c r="B762" s="9" t="s">
        <v>632</v>
      </c>
      <c r="C762" s="9" t="s">
        <v>453</v>
      </c>
      <c r="D762" s="9" t="s">
        <v>258</v>
      </c>
      <c r="E762" s="9"/>
      <c r="F762" s="9"/>
      <c r="G762" s="9" t="s">
        <v>433</v>
      </c>
      <c r="H762" s="9"/>
      <c r="I762" s="9" t="n">
        <f aca="false">COUNTA(pc_moment!E$2:E$2000)</f>
        <v>13</v>
      </c>
      <c r="J762" s="9" t="n">
        <f aca="false">IF(D762="ja",COUNTA(pc_moment!$A$2:$A$2000)-I762,"")</f>
        <v>0</v>
      </c>
    </row>
    <row r="763" customFormat="false" ht="15" hidden="false" customHeight="false" outlineLevel="0" collapsed="false">
      <c r="A763" s="9" t="s">
        <v>76</v>
      </c>
      <c r="B763" s="9" t="s">
        <v>628</v>
      </c>
      <c r="C763" s="9" t="s">
        <v>453</v>
      </c>
      <c r="D763" s="9" t="s">
        <v>272</v>
      </c>
      <c r="E763" s="9"/>
      <c r="F763" s="9"/>
      <c r="G763" s="9" t="s">
        <v>433</v>
      </c>
      <c r="H763" s="9"/>
      <c r="I763" s="9" t="n">
        <f aca="false">COUNTA(pc_moment!F$2:F$2000)</f>
        <v>9</v>
      </c>
      <c r="J763" s="9" t="str">
        <f aca="false">IF(D763="ja",COUNTA(pc_moment!$A$2:$A$2000)-I763,"")</f>
        <v/>
      </c>
    </row>
    <row r="764" customFormat="false" ht="15" hidden="false" customHeight="false" outlineLevel="0" collapsed="false">
      <c r="A764" s="9" t="s">
        <v>76</v>
      </c>
      <c r="B764" s="9" t="s">
        <v>285</v>
      </c>
      <c r="C764" s="9" t="s">
        <v>286</v>
      </c>
      <c r="D764" s="9" t="s">
        <v>258</v>
      </c>
      <c r="E764" s="9"/>
      <c r="F764" s="9"/>
      <c r="G764" s="9"/>
      <c r="H764" s="9"/>
      <c r="I764" s="9" t="n">
        <f aca="false">COUNTA(pc_moment!G$2:G$2000)</f>
        <v>13</v>
      </c>
      <c r="J764" s="9" t="n">
        <f aca="false">IF(D764="ja",COUNTA(pc_moment!$A$2:$A$2000)-I764,"")</f>
        <v>0</v>
      </c>
    </row>
    <row r="765" customFormat="false" ht="15" hidden="false" customHeight="false" outlineLevel="0" collapsed="false">
      <c r="A765" s="10" t="s">
        <v>76</v>
      </c>
      <c r="B765" s="10" t="s">
        <v>292</v>
      </c>
      <c r="C765" s="10" t="s">
        <v>293</v>
      </c>
      <c r="D765" s="10" t="s">
        <v>258</v>
      </c>
      <c r="E765" s="10"/>
      <c r="F765" s="10"/>
      <c r="G765" s="10"/>
      <c r="H765" s="10" t="s">
        <v>294</v>
      </c>
      <c r="I765" s="10" t="n">
        <f aca="false">COUNTA(pc_moment!H$2:H$2000)</f>
        <v>13</v>
      </c>
      <c r="J765" s="10" t="n">
        <f aca="false">IF(D765="ja",COUNTA(pc_moment!$A$2:$A$2000)-I765,"")</f>
        <v>0</v>
      </c>
    </row>
    <row r="766" customFormat="false" ht="15" hidden="false" customHeight="false" outlineLevel="0" collapsed="false">
      <c r="A766" s="10" t="s">
        <v>76</v>
      </c>
      <c r="B766" s="10" t="s">
        <v>295</v>
      </c>
      <c r="C766" s="10" t="s">
        <v>296</v>
      </c>
      <c r="D766" s="10" t="s">
        <v>258</v>
      </c>
      <c r="E766" s="10"/>
      <c r="F766" s="10"/>
      <c r="G766" s="10"/>
      <c r="H766" s="10" t="s">
        <v>297</v>
      </c>
      <c r="I766" s="10" t="n">
        <f aca="false">COUNTA(pc_moment!I$2:I$2000)</f>
        <v>13</v>
      </c>
      <c r="J766" s="10" t="n">
        <f aca="false">IF(D766="ja",COUNTA(pc_moment!$A$2:$A$2000)-I766,"")</f>
        <v>0</v>
      </c>
    </row>
    <row r="767" customFormat="false" ht="15" hidden="false" customHeight="false" outlineLevel="0" collapsed="false">
      <c r="A767" s="10" t="s">
        <v>76</v>
      </c>
      <c r="B767" s="10" t="s">
        <v>298</v>
      </c>
      <c r="C767" s="10" t="s">
        <v>293</v>
      </c>
      <c r="D767" s="10" t="s">
        <v>258</v>
      </c>
      <c r="E767" s="10"/>
      <c r="F767" s="10"/>
      <c r="G767" s="10"/>
      <c r="H767" s="10" t="s">
        <v>299</v>
      </c>
      <c r="I767" s="10" t="n">
        <f aca="false">COUNTA(pc_moment!J$2:J$2000)</f>
        <v>13</v>
      </c>
      <c r="J767" s="10" t="n">
        <f aca="false">IF(D767="ja",COUNTA(pc_moment!$A$2:$A$2000)-I767,"")</f>
        <v>0</v>
      </c>
    </row>
    <row r="768" customFormat="false" ht="15" hidden="false" customHeight="false" outlineLevel="0" collapsed="false">
      <c r="A768" s="10" t="s">
        <v>76</v>
      </c>
      <c r="B768" s="10" t="s">
        <v>300</v>
      </c>
      <c r="C768" s="10" t="s">
        <v>296</v>
      </c>
      <c r="D768" s="10" t="s">
        <v>258</v>
      </c>
      <c r="E768" s="10"/>
      <c r="F768" s="10"/>
      <c r="G768" s="10"/>
      <c r="H768" s="10" t="s">
        <v>301</v>
      </c>
      <c r="I768" s="10" t="n">
        <f aca="false">COUNTA(pc_moment!K$2:K$2000)</f>
        <v>13</v>
      </c>
      <c r="J768" s="10" t="n">
        <f aca="false">IF(D768="ja",COUNTA(pc_moment!$A$2:$A$2000)-I768,"")</f>
        <v>0</v>
      </c>
    </row>
    <row r="769" customFormat="false" ht="15" hidden="false" customHeight="false" outlineLevel="0" collapsed="false">
      <c r="A769" s="10" t="s">
        <v>76</v>
      </c>
      <c r="B769" s="10" t="s">
        <v>302</v>
      </c>
      <c r="C769" s="10" t="s">
        <v>279</v>
      </c>
      <c r="D769" s="10" t="s">
        <v>258</v>
      </c>
      <c r="E769" s="10"/>
      <c r="F769" s="10"/>
      <c r="G769" s="10" t="s">
        <v>303</v>
      </c>
      <c r="H769" s="10" t="s">
        <v>304</v>
      </c>
      <c r="I769" s="10" t="n">
        <f aca="false">COUNTA(pc_moment!L$2:L$2000)</f>
        <v>13</v>
      </c>
      <c r="J769" s="10" t="n">
        <f aca="false">IF(D769="ja",COUNTA(pc_moment!$A$2:$A$2000)-I769,"")</f>
        <v>0</v>
      </c>
    </row>
    <row r="770" customFormat="false" ht="15" hidden="false" customHeight="false" outlineLevel="0" collapsed="false">
      <c r="A770" s="10" t="s">
        <v>76</v>
      </c>
      <c r="B770" s="10" t="s">
        <v>305</v>
      </c>
      <c r="C770" s="10" t="s">
        <v>286</v>
      </c>
      <c r="D770" s="10" t="s">
        <v>258</v>
      </c>
      <c r="E770" s="10"/>
      <c r="F770" s="10"/>
      <c r="G770" s="10"/>
      <c r="H770" s="10" t="s">
        <v>306</v>
      </c>
      <c r="I770" s="10" t="n">
        <f aca="false">COUNTA(pc_moment!M$2:M$2000)</f>
        <v>13</v>
      </c>
      <c r="J770" s="10" t="n">
        <f aca="false">IF(D770="ja",COUNTA(pc_moment!$A$2:$A$2000)-I770,"")</f>
        <v>0</v>
      </c>
    </row>
    <row r="771" customFormat="false" ht="15" hidden="false" customHeight="false" outlineLevel="0" collapsed="false">
      <c r="A771" s="10" t="s">
        <v>76</v>
      </c>
      <c r="B771" s="10" t="s">
        <v>307</v>
      </c>
      <c r="C771" s="10" t="s">
        <v>308</v>
      </c>
      <c r="D771" s="10" t="s">
        <v>272</v>
      </c>
      <c r="E771" s="10"/>
      <c r="F771" s="10"/>
      <c r="G771" s="10"/>
      <c r="H771" s="10" t="s">
        <v>309</v>
      </c>
      <c r="I771" s="10" t="n">
        <f aca="false">COUNTA(pc_moment!N$2:N$2000)</f>
        <v>0</v>
      </c>
      <c r="J771" s="10" t="str">
        <f aca="false">IF(D771="ja",COUNTA(pc_moment!$A$2:$A$2000)-I771,"")</f>
        <v/>
      </c>
    </row>
    <row r="772" customFormat="false" ht="15" hidden="false" customHeight="false" outlineLevel="0" collapsed="false">
      <c r="A772" s="10" t="s">
        <v>76</v>
      </c>
      <c r="B772" s="10" t="s">
        <v>310</v>
      </c>
      <c r="C772" s="10" t="s">
        <v>308</v>
      </c>
      <c r="D772" s="10" t="s">
        <v>272</v>
      </c>
      <c r="E772" s="10"/>
      <c r="F772" s="10"/>
      <c r="G772" s="10"/>
      <c r="H772" s="10" t="s">
        <v>311</v>
      </c>
      <c r="I772" s="10" t="n">
        <f aca="false">COUNTA(pc_moment!O$2:O$2000)</f>
        <v>0</v>
      </c>
      <c r="J772" s="10" t="str">
        <f aca="false">IF(D772="ja",COUNTA(pc_moment!$A$2:$A$2000)-I772,"")</f>
        <v/>
      </c>
    </row>
    <row r="773" customFormat="false" ht="15" hidden="false" customHeight="false" outlineLevel="0" collapsed="false">
      <c r="A773" s="10" t="s">
        <v>76</v>
      </c>
      <c r="B773" s="10" t="s">
        <v>312</v>
      </c>
      <c r="C773" s="10" t="s">
        <v>271</v>
      </c>
      <c r="D773" s="10" t="s">
        <v>272</v>
      </c>
      <c r="E773" s="10"/>
      <c r="F773" s="10"/>
      <c r="G773" s="10"/>
      <c r="H773" s="10" t="s">
        <v>313</v>
      </c>
      <c r="I773" s="10" t="n">
        <f aca="false">COUNTA(pc_moment!P$2:P$2000)</f>
        <v>13</v>
      </c>
      <c r="J773" s="10" t="str">
        <f aca="false">IF(D773="ja",COUNTA(pc_moment!$A$2:$A$2000)-I773,"")</f>
        <v/>
      </c>
    </row>
    <row r="774" customFormat="false" ht="15" hidden="false" customHeight="false" outlineLevel="0" collapsed="false">
      <c r="A774" s="9" t="s">
        <v>77</v>
      </c>
      <c r="B774" s="9" t="s">
        <v>633</v>
      </c>
      <c r="C774" s="9" t="s">
        <v>257</v>
      </c>
      <c r="D774" s="9" t="s">
        <v>258</v>
      </c>
      <c r="E774" s="9" t="s">
        <v>259</v>
      </c>
      <c r="F774" s="9"/>
      <c r="G774" s="9"/>
      <c r="H774" s="9"/>
      <c r="I774" s="9" t="n">
        <f aca="false">COUNTA(beslismoment_rol!A$2:A$2000)</f>
        <v>64</v>
      </c>
      <c r="J774" s="9" t="n">
        <f aca="false">IF(D774="ja",COUNTA(beslismoment_rol!$A$2:$A$2000)-I774,"")</f>
        <v>0</v>
      </c>
    </row>
    <row r="775" customFormat="false" ht="23.85" hidden="false" customHeight="false" outlineLevel="0" collapsed="false">
      <c r="A775" s="9" t="s">
        <v>77</v>
      </c>
      <c r="B775" s="9" t="s">
        <v>353</v>
      </c>
      <c r="C775" s="9" t="s">
        <v>323</v>
      </c>
      <c r="D775" s="9" t="s">
        <v>258</v>
      </c>
      <c r="E775" s="9" t="s">
        <v>324</v>
      </c>
      <c r="F775" s="9" t="s">
        <v>460</v>
      </c>
      <c r="G775" s="9"/>
      <c r="H775" s="9"/>
      <c r="I775" s="9" t="n">
        <f aca="false">COUNTA(beslismoment_rol!B$2:B$2000)</f>
        <v>64</v>
      </c>
      <c r="J775" s="9" t="n">
        <f aca="false">IF(D775="ja",COUNTA(beslismoment_rol!$A$2:$A$2000)-I775,"")</f>
        <v>0</v>
      </c>
    </row>
    <row r="776" customFormat="false" ht="15" hidden="false" customHeight="false" outlineLevel="0" collapsed="false">
      <c r="A776" s="9" t="s">
        <v>77</v>
      </c>
      <c r="B776" s="9" t="s">
        <v>386</v>
      </c>
      <c r="C776" s="9" t="s">
        <v>323</v>
      </c>
      <c r="D776" s="9" t="s">
        <v>258</v>
      </c>
      <c r="E776" s="9" t="s">
        <v>324</v>
      </c>
      <c r="F776" s="9" t="s">
        <v>407</v>
      </c>
      <c r="G776" s="9"/>
      <c r="H776" s="9"/>
      <c r="I776" s="9" t="n">
        <f aca="false">COUNTA(beslismoment_rol!C$2:C$2000)</f>
        <v>64</v>
      </c>
      <c r="J776" s="9" t="n">
        <f aca="false">IF(D776="ja",COUNTA(beslismoment_rol!$A$2:$A$2000)-I776,"")</f>
        <v>0</v>
      </c>
    </row>
    <row r="777" customFormat="false" ht="23.85" hidden="false" customHeight="false" outlineLevel="0" collapsed="false">
      <c r="A777" s="9" t="s">
        <v>77</v>
      </c>
      <c r="B777" s="9" t="s">
        <v>634</v>
      </c>
      <c r="C777" s="9" t="s">
        <v>453</v>
      </c>
      <c r="D777" s="9" t="s">
        <v>258</v>
      </c>
      <c r="E777" s="9"/>
      <c r="F777" s="9"/>
      <c r="G777" s="9" t="s">
        <v>635</v>
      </c>
      <c r="H777" s="9"/>
      <c r="I777" s="9" t="n">
        <f aca="false">COUNTA(beslismoment_rol!D$2:D$2000)</f>
        <v>64</v>
      </c>
      <c r="J777" s="9" t="n">
        <f aca="false">IF(D777="ja",COUNTA(beslismoment_rol!$A$2:$A$2000)-I777,"")</f>
        <v>0</v>
      </c>
    </row>
    <row r="778" customFormat="false" ht="15" hidden="false" customHeight="false" outlineLevel="0" collapsed="false">
      <c r="A778" s="9" t="s">
        <v>77</v>
      </c>
      <c r="B778" s="9" t="s">
        <v>636</v>
      </c>
      <c r="C778" s="9" t="s">
        <v>637</v>
      </c>
      <c r="D778" s="9" t="s">
        <v>272</v>
      </c>
      <c r="E778" s="9"/>
      <c r="F778" s="9"/>
      <c r="G778" s="9" t="s">
        <v>638</v>
      </c>
      <c r="H778" s="9"/>
      <c r="I778" s="9" t="n">
        <f aca="false">COUNTA(beslismoment_rol!E$2:E$2000)</f>
        <v>64</v>
      </c>
      <c r="J778" s="9" t="str">
        <f aca="false">IF(D778="ja",COUNTA(beslismoment_rol!$A$2:$A$2000)-I778,"")</f>
        <v/>
      </c>
    </row>
    <row r="779" customFormat="false" ht="15" hidden="false" customHeight="false" outlineLevel="0" collapsed="false">
      <c r="A779" s="9" t="s">
        <v>77</v>
      </c>
      <c r="B779" s="9" t="s">
        <v>639</v>
      </c>
      <c r="C779" s="9" t="s">
        <v>286</v>
      </c>
      <c r="D779" s="9" t="s">
        <v>272</v>
      </c>
      <c r="E779" s="9"/>
      <c r="F779" s="9"/>
      <c r="G779" s="9"/>
      <c r="H779" s="9"/>
      <c r="I779" s="9" t="n">
        <f aca="false">COUNTA(beslismoment_rol!F$2:F$2000)</f>
        <v>64</v>
      </c>
      <c r="J779" s="9" t="str">
        <f aca="false">IF(D779="ja",COUNTA(beslismoment_rol!$A$2:$A$2000)-I779,"")</f>
        <v/>
      </c>
    </row>
    <row r="780" customFormat="false" ht="15" hidden="false" customHeight="false" outlineLevel="0" collapsed="false">
      <c r="A780" s="9" t="s">
        <v>77</v>
      </c>
      <c r="B780" s="9" t="s">
        <v>410</v>
      </c>
      <c r="C780" s="9" t="s">
        <v>271</v>
      </c>
      <c r="D780" s="9" t="s">
        <v>272</v>
      </c>
      <c r="E780" s="9"/>
      <c r="F780" s="9"/>
      <c r="G780" s="9"/>
      <c r="H780" s="9"/>
      <c r="I780" s="9" t="n">
        <f aca="false">COUNTA(beslismoment_rol!G$2:G$2000)</f>
        <v>0</v>
      </c>
      <c r="J780" s="9" t="str">
        <f aca="false">IF(D780="ja",COUNTA(beslismoment_rol!$A$2:$A$2000)-I780,"")</f>
        <v/>
      </c>
    </row>
    <row r="781" customFormat="false" ht="15" hidden="false" customHeight="false" outlineLevel="0" collapsed="false">
      <c r="A781" s="10" t="s">
        <v>77</v>
      </c>
      <c r="B781" s="10" t="s">
        <v>292</v>
      </c>
      <c r="C781" s="10" t="s">
        <v>293</v>
      </c>
      <c r="D781" s="10" t="s">
        <v>258</v>
      </c>
      <c r="E781" s="10"/>
      <c r="F781" s="10"/>
      <c r="G781" s="10"/>
      <c r="H781" s="10" t="s">
        <v>294</v>
      </c>
      <c r="I781" s="10" t="n">
        <f aca="false">COUNTA(beslismoment_rol!H$2:H$2000)</f>
        <v>64</v>
      </c>
      <c r="J781" s="10" t="n">
        <f aca="false">IF(D781="ja",COUNTA(beslismoment_rol!$A$2:$A$2000)-I781,"")</f>
        <v>0</v>
      </c>
    </row>
    <row r="782" customFormat="false" ht="15" hidden="false" customHeight="false" outlineLevel="0" collapsed="false">
      <c r="A782" s="10" t="s">
        <v>77</v>
      </c>
      <c r="B782" s="10" t="s">
        <v>295</v>
      </c>
      <c r="C782" s="10" t="s">
        <v>296</v>
      </c>
      <c r="D782" s="10" t="s">
        <v>258</v>
      </c>
      <c r="E782" s="10"/>
      <c r="F782" s="10"/>
      <c r="G782" s="10"/>
      <c r="H782" s="10" t="s">
        <v>297</v>
      </c>
      <c r="I782" s="10" t="n">
        <f aca="false">COUNTA(beslismoment_rol!I$2:I$2000)</f>
        <v>64</v>
      </c>
      <c r="J782" s="10" t="n">
        <f aca="false">IF(D782="ja",COUNTA(beslismoment_rol!$A$2:$A$2000)-I782,"")</f>
        <v>0</v>
      </c>
    </row>
    <row r="783" customFormat="false" ht="15" hidden="false" customHeight="false" outlineLevel="0" collapsed="false">
      <c r="A783" s="10" t="s">
        <v>77</v>
      </c>
      <c r="B783" s="10" t="s">
        <v>298</v>
      </c>
      <c r="C783" s="10" t="s">
        <v>293</v>
      </c>
      <c r="D783" s="10" t="s">
        <v>258</v>
      </c>
      <c r="E783" s="10"/>
      <c r="F783" s="10"/>
      <c r="G783" s="10"/>
      <c r="H783" s="10" t="s">
        <v>299</v>
      </c>
      <c r="I783" s="10" t="n">
        <f aca="false">COUNTA(beslismoment_rol!J$2:J$2000)</f>
        <v>64</v>
      </c>
      <c r="J783" s="10" t="n">
        <f aca="false">IF(D783="ja",COUNTA(beslismoment_rol!$A$2:$A$2000)-I783,"")</f>
        <v>0</v>
      </c>
    </row>
    <row r="784" customFormat="false" ht="15" hidden="false" customHeight="false" outlineLevel="0" collapsed="false">
      <c r="A784" s="10" t="s">
        <v>77</v>
      </c>
      <c r="B784" s="10" t="s">
        <v>300</v>
      </c>
      <c r="C784" s="10" t="s">
        <v>296</v>
      </c>
      <c r="D784" s="10" t="s">
        <v>258</v>
      </c>
      <c r="E784" s="10"/>
      <c r="F784" s="10"/>
      <c r="G784" s="10"/>
      <c r="H784" s="10" t="s">
        <v>301</v>
      </c>
      <c r="I784" s="10" t="n">
        <f aca="false">COUNTA(beslismoment_rol!K$2:K$2000)</f>
        <v>64</v>
      </c>
      <c r="J784" s="10" t="n">
        <f aca="false">IF(D784="ja",COUNTA(beslismoment_rol!$A$2:$A$2000)-I784,"")</f>
        <v>0</v>
      </c>
    </row>
    <row r="785" customFormat="false" ht="15" hidden="false" customHeight="false" outlineLevel="0" collapsed="false">
      <c r="A785" s="10" t="s">
        <v>77</v>
      </c>
      <c r="B785" s="10" t="s">
        <v>302</v>
      </c>
      <c r="C785" s="10" t="s">
        <v>279</v>
      </c>
      <c r="D785" s="10" t="s">
        <v>258</v>
      </c>
      <c r="E785" s="10"/>
      <c r="F785" s="10"/>
      <c r="G785" s="10" t="s">
        <v>303</v>
      </c>
      <c r="H785" s="10" t="s">
        <v>304</v>
      </c>
      <c r="I785" s="10" t="n">
        <f aca="false">COUNTA(beslismoment_rol!L$2:L$2000)</f>
        <v>64</v>
      </c>
      <c r="J785" s="10" t="n">
        <f aca="false">IF(D785="ja",COUNTA(beslismoment_rol!$A$2:$A$2000)-I785,"")</f>
        <v>0</v>
      </c>
    </row>
    <row r="786" customFormat="false" ht="15" hidden="false" customHeight="false" outlineLevel="0" collapsed="false">
      <c r="A786" s="10" t="s">
        <v>77</v>
      </c>
      <c r="B786" s="10" t="s">
        <v>305</v>
      </c>
      <c r="C786" s="10" t="s">
        <v>286</v>
      </c>
      <c r="D786" s="10" t="s">
        <v>258</v>
      </c>
      <c r="E786" s="10"/>
      <c r="F786" s="10"/>
      <c r="G786" s="10"/>
      <c r="H786" s="10" t="s">
        <v>306</v>
      </c>
      <c r="I786" s="10" t="n">
        <f aca="false">COUNTA(beslismoment_rol!M$2:M$2000)</f>
        <v>64</v>
      </c>
      <c r="J786" s="10" t="n">
        <f aca="false">IF(D786="ja",COUNTA(beslismoment_rol!$A$2:$A$2000)-I786,"")</f>
        <v>0</v>
      </c>
    </row>
    <row r="787" customFormat="false" ht="15" hidden="false" customHeight="false" outlineLevel="0" collapsed="false">
      <c r="A787" s="10" t="s">
        <v>77</v>
      </c>
      <c r="B787" s="10" t="s">
        <v>307</v>
      </c>
      <c r="C787" s="10" t="s">
        <v>308</v>
      </c>
      <c r="D787" s="10" t="s">
        <v>272</v>
      </c>
      <c r="E787" s="10"/>
      <c r="F787" s="10"/>
      <c r="G787" s="10"/>
      <c r="H787" s="10" t="s">
        <v>309</v>
      </c>
      <c r="I787" s="10" t="n">
        <f aca="false">COUNTA(beslismoment_rol!N$2:N$2000)</f>
        <v>0</v>
      </c>
      <c r="J787" s="10" t="str">
        <f aca="false">IF(D787="ja",COUNTA(beslismoment_rol!$A$2:$A$2000)-I787,"")</f>
        <v/>
      </c>
    </row>
    <row r="788" customFormat="false" ht="15" hidden="false" customHeight="false" outlineLevel="0" collapsed="false">
      <c r="A788" s="10" t="s">
        <v>77</v>
      </c>
      <c r="B788" s="10" t="s">
        <v>310</v>
      </c>
      <c r="C788" s="10" t="s">
        <v>308</v>
      </c>
      <c r="D788" s="10" t="s">
        <v>272</v>
      </c>
      <c r="E788" s="10"/>
      <c r="F788" s="10"/>
      <c r="G788" s="10"/>
      <c r="H788" s="10" t="s">
        <v>311</v>
      </c>
      <c r="I788" s="10" t="n">
        <f aca="false">COUNTA(beslismoment_rol!O$2:O$2000)</f>
        <v>0</v>
      </c>
      <c r="J788" s="10" t="str">
        <f aca="false">IF(D788="ja",COUNTA(beslismoment_rol!$A$2:$A$2000)-I788,"")</f>
        <v/>
      </c>
    </row>
    <row r="789" customFormat="false" ht="15" hidden="false" customHeight="false" outlineLevel="0" collapsed="false">
      <c r="A789" s="10" t="s">
        <v>77</v>
      </c>
      <c r="B789" s="10" t="s">
        <v>312</v>
      </c>
      <c r="C789" s="10" t="s">
        <v>271</v>
      </c>
      <c r="D789" s="10" t="s">
        <v>272</v>
      </c>
      <c r="E789" s="10"/>
      <c r="F789" s="10"/>
      <c r="G789" s="10"/>
      <c r="H789" s="10" t="s">
        <v>313</v>
      </c>
      <c r="I789" s="10" t="n">
        <f aca="false">COUNTA(beslismoment_rol!P$2:P$2000)</f>
        <v>64</v>
      </c>
      <c r="J789" s="10" t="str">
        <f aca="false">IF(D789="ja",COUNTA(beslismoment_rol!$A$2:$A$2000)-I789,"")</f>
        <v/>
      </c>
    </row>
    <row r="790" customFormat="false" ht="15" hidden="false" customHeight="false" outlineLevel="0" collapsed="false">
      <c r="A790" s="9" t="s">
        <v>78</v>
      </c>
      <c r="B790" s="9" t="s">
        <v>640</v>
      </c>
      <c r="C790" s="9" t="s">
        <v>257</v>
      </c>
      <c r="D790" s="9" t="s">
        <v>258</v>
      </c>
      <c r="E790" s="9" t="s">
        <v>259</v>
      </c>
      <c r="F790" s="9"/>
      <c r="G790" s="9"/>
      <c r="H790" s="9"/>
      <c r="I790" s="9" t="n">
        <f aca="false">COUNTA(beslismoment_informatiebehoefte!A$2:A$2000)</f>
        <v>45</v>
      </c>
      <c r="J790" s="9" t="n">
        <f aca="false">IF(D790="ja",COUNTA(beslismoment_informatiebehoefte!$A$2:$A$2000)-I790,"")</f>
        <v>0</v>
      </c>
    </row>
    <row r="791" customFormat="false" ht="23.85" hidden="false" customHeight="false" outlineLevel="0" collapsed="false">
      <c r="A791" s="9" t="s">
        <v>78</v>
      </c>
      <c r="B791" s="9" t="s">
        <v>353</v>
      </c>
      <c r="C791" s="9" t="s">
        <v>323</v>
      </c>
      <c r="D791" s="9" t="s">
        <v>258</v>
      </c>
      <c r="E791" s="9" t="s">
        <v>324</v>
      </c>
      <c r="F791" s="9" t="s">
        <v>460</v>
      </c>
      <c r="G791" s="9"/>
      <c r="H791" s="9"/>
      <c r="I791" s="9" t="n">
        <f aca="false">COUNTA(beslismoment_informatiebehoefte!B$2:B$2000)</f>
        <v>45</v>
      </c>
      <c r="J791" s="9" t="n">
        <f aca="false">IF(D791="ja",COUNTA(beslismoment_informatiebehoefte!$A$2:$A$2000)-I791,"")</f>
        <v>0</v>
      </c>
    </row>
    <row r="792" customFormat="false" ht="23.85" hidden="false" customHeight="false" outlineLevel="0" collapsed="false">
      <c r="A792" s="9" t="s">
        <v>78</v>
      </c>
      <c r="B792" s="9" t="s">
        <v>427</v>
      </c>
      <c r="C792" s="9" t="s">
        <v>323</v>
      </c>
      <c r="D792" s="9" t="s">
        <v>258</v>
      </c>
      <c r="E792" s="9" t="s">
        <v>324</v>
      </c>
      <c r="F792" s="9" t="s">
        <v>463</v>
      </c>
      <c r="G792" s="9"/>
      <c r="H792" s="9"/>
      <c r="I792" s="9" t="n">
        <f aca="false">COUNTA(beslismoment_informatiebehoefte!C$2:C$2000)</f>
        <v>45</v>
      </c>
      <c r="J792" s="9" t="n">
        <f aca="false">IF(D792="ja",COUNTA(beslismoment_informatiebehoefte!$A$2:$A$2000)-I792,"")</f>
        <v>0</v>
      </c>
    </row>
    <row r="793" customFormat="false" ht="15" hidden="false" customHeight="false" outlineLevel="0" collapsed="false">
      <c r="A793" s="9" t="s">
        <v>78</v>
      </c>
      <c r="B793" s="9" t="s">
        <v>386</v>
      </c>
      <c r="C793" s="9" t="s">
        <v>323</v>
      </c>
      <c r="D793" s="9" t="s">
        <v>272</v>
      </c>
      <c r="E793" s="9" t="s">
        <v>324</v>
      </c>
      <c r="F793" s="9" t="s">
        <v>407</v>
      </c>
      <c r="G793" s="9"/>
      <c r="H793" s="9"/>
      <c r="I793" s="9" t="n">
        <f aca="false">COUNTA(beslismoment_informatiebehoefte!D$2:D$2000)</f>
        <v>0</v>
      </c>
      <c r="J793" s="9" t="str">
        <f aca="false">IF(D793="ja",COUNTA(beslismoment_informatiebehoefte!$A$2:$A$2000)-I793,"")</f>
        <v/>
      </c>
    </row>
    <row r="794" customFormat="false" ht="15" hidden="false" customHeight="false" outlineLevel="0" collapsed="false">
      <c r="A794" s="9" t="s">
        <v>78</v>
      </c>
      <c r="B794" s="9" t="s">
        <v>641</v>
      </c>
      <c r="C794" s="9" t="s">
        <v>262</v>
      </c>
      <c r="D794" s="9" t="s">
        <v>258</v>
      </c>
      <c r="E794" s="9"/>
      <c r="F794" s="9"/>
      <c r="G794" s="9" t="s">
        <v>433</v>
      </c>
      <c r="H794" s="9"/>
      <c r="I794" s="9" t="n">
        <f aca="false">COUNTA(beslismoment_informatiebehoefte!E$2:E$2000)</f>
        <v>45</v>
      </c>
      <c r="J794" s="9" t="n">
        <f aca="false">IF(D794="ja",COUNTA(beslismoment_informatiebehoefte!$A$2:$A$2000)-I794,"")</f>
        <v>0</v>
      </c>
    </row>
    <row r="795" customFormat="false" ht="15" hidden="false" customHeight="false" outlineLevel="0" collapsed="false">
      <c r="A795" s="9" t="s">
        <v>78</v>
      </c>
      <c r="B795" s="9" t="s">
        <v>642</v>
      </c>
      <c r="C795" s="9" t="s">
        <v>289</v>
      </c>
      <c r="D795" s="9" t="s">
        <v>258</v>
      </c>
      <c r="E795" s="9"/>
      <c r="F795" s="9"/>
      <c r="G795" s="9" t="s">
        <v>290</v>
      </c>
      <c r="H795" s="9"/>
      <c r="I795" s="9" t="n">
        <f aca="false">COUNTA(beslismoment_informatiebehoefte!F$2:F$2000)</f>
        <v>45</v>
      </c>
      <c r="J795" s="9" t="n">
        <f aca="false">IF(D795="ja",COUNTA(beslismoment_informatiebehoefte!$A$2:$A$2000)-I795,"")</f>
        <v>0</v>
      </c>
    </row>
    <row r="796" customFormat="false" ht="15" hidden="false" customHeight="false" outlineLevel="0" collapsed="false">
      <c r="A796" s="9" t="s">
        <v>78</v>
      </c>
      <c r="B796" s="9" t="s">
        <v>643</v>
      </c>
      <c r="C796" s="9" t="s">
        <v>283</v>
      </c>
      <c r="D796" s="9" t="s">
        <v>272</v>
      </c>
      <c r="E796" s="9"/>
      <c r="F796" s="9"/>
      <c r="G796" s="9"/>
      <c r="H796" s="9"/>
      <c r="I796" s="9" t="n">
        <f aca="false">COUNTA(beslismoment_informatiebehoefte!G$2:G$2000)</f>
        <v>45</v>
      </c>
      <c r="J796" s="9" t="str">
        <f aca="false">IF(D796="ja",COUNTA(beslismoment_informatiebehoefte!$A$2:$A$2000)-I796,"")</f>
        <v/>
      </c>
    </row>
    <row r="797" customFormat="false" ht="15" hidden="false" customHeight="false" outlineLevel="0" collapsed="false">
      <c r="A797" s="9" t="s">
        <v>78</v>
      </c>
      <c r="B797" s="9" t="s">
        <v>410</v>
      </c>
      <c r="C797" s="9" t="s">
        <v>271</v>
      </c>
      <c r="D797" s="9" t="s">
        <v>272</v>
      </c>
      <c r="E797" s="9"/>
      <c r="F797" s="9"/>
      <c r="G797" s="9"/>
      <c r="H797" s="9"/>
      <c r="I797" s="9" t="n">
        <f aca="false">COUNTA(beslismoment_informatiebehoefte!H$2:H$2000)</f>
        <v>0</v>
      </c>
      <c r="J797" s="9" t="str">
        <f aca="false">IF(D797="ja",COUNTA(beslismoment_informatiebehoefte!$A$2:$A$2000)-I797,"")</f>
        <v/>
      </c>
    </row>
    <row r="798" customFormat="false" ht="15" hidden="false" customHeight="false" outlineLevel="0" collapsed="false">
      <c r="A798" s="10" t="s">
        <v>78</v>
      </c>
      <c r="B798" s="10" t="s">
        <v>292</v>
      </c>
      <c r="C798" s="10" t="s">
        <v>293</v>
      </c>
      <c r="D798" s="10" t="s">
        <v>258</v>
      </c>
      <c r="E798" s="10"/>
      <c r="F798" s="10"/>
      <c r="G798" s="10"/>
      <c r="H798" s="10" t="s">
        <v>294</v>
      </c>
      <c r="I798" s="10" t="n">
        <f aca="false">COUNTA(beslismoment_informatiebehoefte!I$2:I$2000)</f>
        <v>45</v>
      </c>
      <c r="J798" s="10" t="n">
        <f aca="false">IF(D798="ja",COUNTA(beslismoment_informatiebehoefte!$A$2:$A$2000)-I798,"")</f>
        <v>0</v>
      </c>
    </row>
    <row r="799" customFormat="false" ht="15" hidden="false" customHeight="false" outlineLevel="0" collapsed="false">
      <c r="A799" s="10" t="s">
        <v>78</v>
      </c>
      <c r="B799" s="10" t="s">
        <v>295</v>
      </c>
      <c r="C799" s="10" t="s">
        <v>296</v>
      </c>
      <c r="D799" s="10" t="s">
        <v>258</v>
      </c>
      <c r="E799" s="10"/>
      <c r="F799" s="10"/>
      <c r="G799" s="10"/>
      <c r="H799" s="10" t="s">
        <v>297</v>
      </c>
      <c r="I799" s="10" t="n">
        <f aca="false">COUNTA(beslismoment_informatiebehoefte!J$2:J$2000)</f>
        <v>45</v>
      </c>
      <c r="J799" s="10" t="n">
        <f aca="false">IF(D799="ja",COUNTA(beslismoment_informatiebehoefte!$A$2:$A$2000)-I799,"")</f>
        <v>0</v>
      </c>
    </row>
    <row r="800" customFormat="false" ht="15" hidden="false" customHeight="false" outlineLevel="0" collapsed="false">
      <c r="A800" s="10" t="s">
        <v>78</v>
      </c>
      <c r="B800" s="10" t="s">
        <v>298</v>
      </c>
      <c r="C800" s="10" t="s">
        <v>293</v>
      </c>
      <c r="D800" s="10" t="s">
        <v>258</v>
      </c>
      <c r="E800" s="10"/>
      <c r="F800" s="10"/>
      <c r="G800" s="10"/>
      <c r="H800" s="10" t="s">
        <v>299</v>
      </c>
      <c r="I800" s="10" t="n">
        <f aca="false">COUNTA(beslismoment_informatiebehoefte!K$2:K$2000)</f>
        <v>45</v>
      </c>
      <c r="J800" s="10" t="n">
        <f aca="false">IF(D800="ja",COUNTA(beslismoment_informatiebehoefte!$A$2:$A$2000)-I800,"")</f>
        <v>0</v>
      </c>
    </row>
    <row r="801" customFormat="false" ht="15" hidden="false" customHeight="false" outlineLevel="0" collapsed="false">
      <c r="A801" s="10" t="s">
        <v>78</v>
      </c>
      <c r="B801" s="10" t="s">
        <v>300</v>
      </c>
      <c r="C801" s="10" t="s">
        <v>296</v>
      </c>
      <c r="D801" s="10" t="s">
        <v>258</v>
      </c>
      <c r="E801" s="10"/>
      <c r="F801" s="10"/>
      <c r="G801" s="10"/>
      <c r="H801" s="10" t="s">
        <v>301</v>
      </c>
      <c r="I801" s="10" t="n">
        <f aca="false">COUNTA(beslismoment_informatiebehoefte!L$2:L$2000)</f>
        <v>45</v>
      </c>
      <c r="J801" s="10" t="n">
        <f aca="false">IF(D801="ja",COUNTA(beslismoment_informatiebehoefte!$A$2:$A$2000)-I801,"")</f>
        <v>0</v>
      </c>
    </row>
    <row r="802" customFormat="false" ht="15" hidden="false" customHeight="false" outlineLevel="0" collapsed="false">
      <c r="A802" s="10" t="s">
        <v>78</v>
      </c>
      <c r="B802" s="10" t="s">
        <v>302</v>
      </c>
      <c r="C802" s="10" t="s">
        <v>279</v>
      </c>
      <c r="D802" s="10" t="s">
        <v>258</v>
      </c>
      <c r="E802" s="10"/>
      <c r="F802" s="10"/>
      <c r="G802" s="10" t="s">
        <v>303</v>
      </c>
      <c r="H802" s="10" t="s">
        <v>304</v>
      </c>
      <c r="I802" s="10" t="n">
        <f aca="false">COUNTA(beslismoment_informatiebehoefte!M$2:M$2000)</f>
        <v>45</v>
      </c>
      <c r="J802" s="10" t="n">
        <f aca="false">IF(D802="ja",COUNTA(beslismoment_informatiebehoefte!$A$2:$A$2000)-I802,"")</f>
        <v>0</v>
      </c>
    </row>
    <row r="803" customFormat="false" ht="15" hidden="false" customHeight="false" outlineLevel="0" collapsed="false">
      <c r="A803" s="10" t="s">
        <v>78</v>
      </c>
      <c r="B803" s="10" t="s">
        <v>305</v>
      </c>
      <c r="C803" s="10" t="s">
        <v>286</v>
      </c>
      <c r="D803" s="10" t="s">
        <v>258</v>
      </c>
      <c r="E803" s="10"/>
      <c r="F803" s="10"/>
      <c r="G803" s="10"/>
      <c r="H803" s="10" t="s">
        <v>306</v>
      </c>
      <c r="I803" s="10" t="n">
        <f aca="false">COUNTA(beslismoment_informatiebehoefte!N$2:N$2000)</f>
        <v>45</v>
      </c>
      <c r="J803" s="10" t="n">
        <f aca="false">IF(D803="ja",COUNTA(beslismoment_informatiebehoefte!$A$2:$A$2000)-I803,"")</f>
        <v>0</v>
      </c>
    </row>
    <row r="804" customFormat="false" ht="15" hidden="false" customHeight="false" outlineLevel="0" collapsed="false">
      <c r="A804" s="10" t="s">
        <v>78</v>
      </c>
      <c r="B804" s="10" t="s">
        <v>307</v>
      </c>
      <c r="C804" s="10" t="s">
        <v>308</v>
      </c>
      <c r="D804" s="10" t="s">
        <v>272</v>
      </c>
      <c r="E804" s="10"/>
      <c r="F804" s="10"/>
      <c r="G804" s="10"/>
      <c r="H804" s="10" t="s">
        <v>309</v>
      </c>
      <c r="I804" s="10" t="n">
        <f aca="false">COUNTA(beslismoment_informatiebehoefte!O$2:O$2000)</f>
        <v>0</v>
      </c>
      <c r="J804" s="10" t="str">
        <f aca="false">IF(D804="ja",COUNTA(beslismoment_informatiebehoefte!$A$2:$A$2000)-I804,"")</f>
        <v/>
      </c>
    </row>
    <row r="805" customFormat="false" ht="15" hidden="false" customHeight="false" outlineLevel="0" collapsed="false">
      <c r="A805" s="10" t="s">
        <v>78</v>
      </c>
      <c r="B805" s="10" t="s">
        <v>310</v>
      </c>
      <c r="C805" s="10" t="s">
        <v>308</v>
      </c>
      <c r="D805" s="10" t="s">
        <v>272</v>
      </c>
      <c r="E805" s="10"/>
      <c r="F805" s="10"/>
      <c r="G805" s="10"/>
      <c r="H805" s="10" t="s">
        <v>311</v>
      </c>
      <c r="I805" s="10" t="n">
        <f aca="false">COUNTA(beslismoment_informatiebehoefte!P$2:P$2000)</f>
        <v>0</v>
      </c>
      <c r="J805" s="10" t="str">
        <f aca="false">IF(D805="ja",COUNTA(beslismoment_informatiebehoefte!$A$2:$A$2000)-I805,"")</f>
        <v/>
      </c>
    </row>
    <row r="806" customFormat="false" ht="15" hidden="false" customHeight="false" outlineLevel="0" collapsed="false">
      <c r="A806" s="10" t="s">
        <v>78</v>
      </c>
      <c r="B806" s="10" t="s">
        <v>312</v>
      </c>
      <c r="C806" s="10" t="s">
        <v>271</v>
      </c>
      <c r="D806" s="10" t="s">
        <v>272</v>
      </c>
      <c r="E806" s="10"/>
      <c r="F806" s="10"/>
      <c r="G806" s="10"/>
      <c r="H806" s="10" t="s">
        <v>313</v>
      </c>
      <c r="I806" s="10" t="n">
        <f aca="false">COUNTA(beslismoment_informatiebehoefte!Q$2:Q$2000)</f>
        <v>45</v>
      </c>
      <c r="J806" s="10" t="str">
        <f aca="false">IF(D806="ja",COUNTA(beslismoment_informatiebehoefte!$A$2:$A$2000)-I806,"")</f>
        <v/>
      </c>
    </row>
    <row r="807" customFormat="false" ht="15" hidden="false" customHeight="false" outlineLevel="0" collapsed="false">
      <c r="A807" s="9" t="s">
        <v>79</v>
      </c>
      <c r="B807" s="9" t="s">
        <v>644</v>
      </c>
      <c r="C807" s="9" t="s">
        <v>257</v>
      </c>
      <c r="D807" s="9" t="s">
        <v>258</v>
      </c>
      <c r="E807" s="9" t="s">
        <v>259</v>
      </c>
      <c r="F807" s="9"/>
      <c r="G807" s="9"/>
      <c r="H807" s="9"/>
      <c r="I807" s="9" t="n">
        <f aca="false">COUNTA(beslismoment_financiele_vraag!A$2:A$2000)</f>
        <v>31</v>
      </c>
      <c r="J807" s="9" t="n">
        <f aca="false">IF(D807="ja",COUNTA(beslismoment_financiele_vraag!$A$2:$A$2000)-I807,"")</f>
        <v>0</v>
      </c>
    </row>
    <row r="808" customFormat="false" ht="23.85" hidden="false" customHeight="false" outlineLevel="0" collapsed="false">
      <c r="A808" s="9" t="s">
        <v>79</v>
      </c>
      <c r="B808" s="9" t="s">
        <v>353</v>
      </c>
      <c r="C808" s="9" t="s">
        <v>323</v>
      </c>
      <c r="D808" s="9" t="s">
        <v>258</v>
      </c>
      <c r="E808" s="9" t="s">
        <v>324</v>
      </c>
      <c r="F808" s="9" t="s">
        <v>460</v>
      </c>
      <c r="G808" s="9"/>
      <c r="H808" s="9"/>
      <c r="I808" s="9" t="n">
        <f aca="false">COUNTA(beslismoment_financiele_vraag!B$2:B$2000)</f>
        <v>31</v>
      </c>
      <c r="J808" s="9" t="n">
        <f aca="false">IF(D808="ja",COUNTA(beslismoment_financiele_vraag!$A$2:$A$2000)-I808,"")</f>
        <v>0</v>
      </c>
    </row>
    <row r="809" customFormat="false" ht="15" hidden="false" customHeight="false" outlineLevel="0" collapsed="false">
      <c r="A809" s="9" t="s">
        <v>79</v>
      </c>
      <c r="B809" s="9" t="s">
        <v>418</v>
      </c>
      <c r="C809" s="9" t="s">
        <v>323</v>
      </c>
      <c r="D809" s="9" t="s">
        <v>258</v>
      </c>
      <c r="E809" s="9" t="s">
        <v>324</v>
      </c>
      <c r="F809" s="9" t="s">
        <v>569</v>
      </c>
      <c r="G809" s="9"/>
      <c r="H809" s="9"/>
      <c r="I809" s="9" t="n">
        <f aca="false">COUNTA(beslismoment_financiele_vraag!C$2:C$2000)</f>
        <v>31</v>
      </c>
      <c r="J809" s="9" t="n">
        <f aca="false">IF(D809="ja",COUNTA(beslismoment_financiele_vraag!$A$2:$A$2000)-I809,"")</f>
        <v>0</v>
      </c>
    </row>
    <row r="810" customFormat="false" ht="15" hidden="false" customHeight="false" outlineLevel="0" collapsed="false">
      <c r="A810" s="9" t="s">
        <v>79</v>
      </c>
      <c r="B810" s="9" t="s">
        <v>641</v>
      </c>
      <c r="C810" s="9" t="s">
        <v>262</v>
      </c>
      <c r="D810" s="9" t="s">
        <v>258</v>
      </c>
      <c r="E810" s="9"/>
      <c r="F810" s="9"/>
      <c r="G810" s="9" t="s">
        <v>433</v>
      </c>
      <c r="H810" s="9"/>
      <c r="I810" s="9" t="n">
        <f aca="false">COUNTA(beslismoment_financiele_vraag!D$2:D$2000)</f>
        <v>31</v>
      </c>
      <c r="J810" s="9" t="n">
        <f aca="false">IF(D810="ja",COUNTA(beslismoment_financiele_vraag!$A$2:$A$2000)-I810,"")</f>
        <v>0</v>
      </c>
    </row>
    <row r="811" customFormat="false" ht="15" hidden="false" customHeight="false" outlineLevel="0" collapsed="false">
      <c r="A811" s="9" t="s">
        <v>79</v>
      </c>
      <c r="B811" s="9" t="s">
        <v>410</v>
      </c>
      <c r="C811" s="9" t="s">
        <v>271</v>
      </c>
      <c r="D811" s="9" t="s">
        <v>272</v>
      </c>
      <c r="E811" s="9"/>
      <c r="F811" s="9"/>
      <c r="G811" s="9"/>
      <c r="H811" s="9"/>
      <c r="I811" s="9" t="n">
        <f aca="false">COUNTA(beslismoment_financiele_vraag!E$2:E$2000)</f>
        <v>0</v>
      </c>
      <c r="J811" s="9" t="str">
        <f aca="false">IF(D811="ja",COUNTA(beslismoment_financiele_vraag!$A$2:$A$2000)-I811,"")</f>
        <v/>
      </c>
    </row>
    <row r="812" customFormat="false" ht="15" hidden="false" customHeight="false" outlineLevel="0" collapsed="false">
      <c r="A812" s="10" t="s">
        <v>79</v>
      </c>
      <c r="B812" s="10" t="s">
        <v>292</v>
      </c>
      <c r="C812" s="10" t="s">
        <v>293</v>
      </c>
      <c r="D812" s="10" t="s">
        <v>258</v>
      </c>
      <c r="E812" s="10"/>
      <c r="F812" s="10"/>
      <c r="G812" s="10"/>
      <c r="H812" s="10" t="s">
        <v>294</v>
      </c>
      <c r="I812" s="10" t="n">
        <f aca="false">COUNTA(beslismoment_financiele_vraag!F$2:F$2000)</f>
        <v>31</v>
      </c>
      <c r="J812" s="10" t="n">
        <f aca="false">IF(D812="ja",COUNTA(beslismoment_financiele_vraag!$A$2:$A$2000)-I812,"")</f>
        <v>0</v>
      </c>
    </row>
    <row r="813" customFormat="false" ht="15" hidden="false" customHeight="false" outlineLevel="0" collapsed="false">
      <c r="A813" s="10" t="s">
        <v>79</v>
      </c>
      <c r="B813" s="10" t="s">
        <v>295</v>
      </c>
      <c r="C813" s="10" t="s">
        <v>296</v>
      </c>
      <c r="D813" s="10" t="s">
        <v>258</v>
      </c>
      <c r="E813" s="10"/>
      <c r="F813" s="10"/>
      <c r="G813" s="10"/>
      <c r="H813" s="10" t="s">
        <v>297</v>
      </c>
      <c r="I813" s="10" t="n">
        <f aca="false">COUNTA(beslismoment_financiele_vraag!G$2:G$2000)</f>
        <v>31</v>
      </c>
      <c r="J813" s="10" t="n">
        <f aca="false">IF(D813="ja",COUNTA(beslismoment_financiele_vraag!$A$2:$A$2000)-I813,"")</f>
        <v>0</v>
      </c>
    </row>
    <row r="814" customFormat="false" ht="15" hidden="false" customHeight="false" outlineLevel="0" collapsed="false">
      <c r="A814" s="10" t="s">
        <v>79</v>
      </c>
      <c r="B814" s="10" t="s">
        <v>298</v>
      </c>
      <c r="C814" s="10" t="s">
        <v>293</v>
      </c>
      <c r="D814" s="10" t="s">
        <v>258</v>
      </c>
      <c r="E814" s="10"/>
      <c r="F814" s="10"/>
      <c r="G814" s="10"/>
      <c r="H814" s="10" t="s">
        <v>299</v>
      </c>
      <c r="I814" s="10" t="n">
        <f aca="false">COUNTA(beslismoment_financiele_vraag!H$2:H$2000)</f>
        <v>31</v>
      </c>
      <c r="J814" s="10" t="n">
        <f aca="false">IF(D814="ja",COUNTA(beslismoment_financiele_vraag!$A$2:$A$2000)-I814,"")</f>
        <v>0</v>
      </c>
    </row>
    <row r="815" customFormat="false" ht="15" hidden="false" customHeight="false" outlineLevel="0" collapsed="false">
      <c r="A815" s="10" t="s">
        <v>79</v>
      </c>
      <c r="B815" s="10" t="s">
        <v>300</v>
      </c>
      <c r="C815" s="10" t="s">
        <v>296</v>
      </c>
      <c r="D815" s="10" t="s">
        <v>258</v>
      </c>
      <c r="E815" s="10"/>
      <c r="F815" s="10"/>
      <c r="G815" s="10"/>
      <c r="H815" s="10" t="s">
        <v>301</v>
      </c>
      <c r="I815" s="10" t="n">
        <f aca="false">COUNTA(beslismoment_financiele_vraag!I$2:I$2000)</f>
        <v>31</v>
      </c>
      <c r="J815" s="10" t="n">
        <f aca="false">IF(D815="ja",COUNTA(beslismoment_financiele_vraag!$A$2:$A$2000)-I815,"")</f>
        <v>0</v>
      </c>
    </row>
    <row r="816" customFormat="false" ht="15" hidden="false" customHeight="false" outlineLevel="0" collapsed="false">
      <c r="A816" s="10" t="s">
        <v>79</v>
      </c>
      <c r="B816" s="10" t="s">
        <v>302</v>
      </c>
      <c r="C816" s="10" t="s">
        <v>279</v>
      </c>
      <c r="D816" s="10" t="s">
        <v>258</v>
      </c>
      <c r="E816" s="10"/>
      <c r="F816" s="10"/>
      <c r="G816" s="10" t="s">
        <v>303</v>
      </c>
      <c r="H816" s="10" t="s">
        <v>304</v>
      </c>
      <c r="I816" s="10" t="n">
        <f aca="false">COUNTA(beslismoment_financiele_vraag!J$2:J$2000)</f>
        <v>31</v>
      </c>
      <c r="J816" s="10" t="n">
        <f aca="false">IF(D816="ja",COUNTA(beslismoment_financiele_vraag!$A$2:$A$2000)-I816,"")</f>
        <v>0</v>
      </c>
    </row>
    <row r="817" customFormat="false" ht="15" hidden="false" customHeight="false" outlineLevel="0" collapsed="false">
      <c r="A817" s="10" t="s">
        <v>79</v>
      </c>
      <c r="B817" s="10" t="s">
        <v>305</v>
      </c>
      <c r="C817" s="10" t="s">
        <v>286</v>
      </c>
      <c r="D817" s="10" t="s">
        <v>258</v>
      </c>
      <c r="E817" s="10"/>
      <c r="F817" s="10"/>
      <c r="G817" s="10"/>
      <c r="H817" s="10" t="s">
        <v>306</v>
      </c>
      <c r="I817" s="10" t="n">
        <f aca="false">COUNTA(beslismoment_financiele_vraag!K$2:K$2000)</f>
        <v>31</v>
      </c>
      <c r="J817" s="10" t="n">
        <f aca="false">IF(D817="ja",COUNTA(beslismoment_financiele_vraag!$A$2:$A$2000)-I817,"")</f>
        <v>0</v>
      </c>
    </row>
    <row r="818" customFormat="false" ht="15" hidden="false" customHeight="false" outlineLevel="0" collapsed="false">
      <c r="A818" s="10" t="s">
        <v>79</v>
      </c>
      <c r="B818" s="10" t="s">
        <v>307</v>
      </c>
      <c r="C818" s="10" t="s">
        <v>308</v>
      </c>
      <c r="D818" s="10" t="s">
        <v>272</v>
      </c>
      <c r="E818" s="10"/>
      <c r="F818" s="10"/>
      <c r="G818" s="10"/>
      <c r="H818" s="10" t="s">
        <v>309</v>
      </c>
      <c r="I818" s="10" t="n">
        <f aca="false">COUNTA(beslismoment_financiele_vraag!L$2:L$2000)</f>
        <v>0</v>
      </c>
      <c r="J818" s="10" t="str">
        <f aca="false">IF(D818="ja",COUNTA(beslismoment_financiele_vraag!$A$2:$A$2000)-I818,"")</f>
        <v/>
      </c>
    </row>
    <row r="819" customFormat="false" ht="15" hidden="false" customHeight="false" outlineLevel="0" collapsed="false">
      <c r="A819" s="10" t="s">
        <v>79</v>
      </c>
      <c r="B819" s="10" t="s">
        <v>310</v>
      </c>
      <c r="C819" s="10" t="s">
        <v>308</v>
      </c>
      <c r="D819" s="10" t="s">
        <v>272</v>
      </c>
      <c r="E819" s="10"/>
      <c r="F819" s="10"/>
      <c r="G819" s="10"/>
      <c r="H819" s="10" t="s">
        <v>311</v>
      </c>
      <c r="I819" s="10" t="n">
        <f aca="false">COUNTA(beslismoment_financiele_vraag!M$2:M$2000)</f>
        <v>0</v>
      </c>
      <c r="J819" s="10" t="str">
        <f aca="false">IF(D819="ja",COUNTA(beslismoment_financiele_vraag!$A$2:$A$2000)-I819,"")</f>
        <v/>
      </c>
    </row>
    <row r="820" customFormat="false" ht="15" hidden="false" customHeight="false" outlineLevel="0" collapsed="false">
      <c r="A820" s="10" t="s">
        <v>79</v>
      </c>
      <c r="B820" s="10" t="s">
        <v>312</v>
      </c>
      <c r="C820" s="10" t="s">
        <v>271</v>
      </c>
      <c r="D820" s="10" t="s">
        <v>272</v>
      </c>
      <c r="E820" s="10"/>
      <c r="F820" s="10"/>
      <c r="G820" s="10"/>
      <c r="H820" s="10" t="s">
        <v>313</v>
      </c>
      <c r="I820" s="10" t="n">
        <f aca="false">COUNTA(beslismoment_financiele_vraag!N$2:N$2000)</f>
        <v>31</v>
      </c>
      <c r="J820" s="10" t="str">
        <f aca="false">IF(D820="ja",COUNTA(beslismoment_financiele_vraag!$A$2:$A$2000)-I820,"")</f>
        <v/>
      </c>
    </row>
    <row r="821" customFormat="false" ht="15" hidden="false" customHeight="false" outlineLevel="0" collapsed="false">
      <c r="A821" s="9" t="s">
        <v>80</v>
      </c>
      <c r="B821" s="9" t="s">
        <v>645</v>
      </c>
      <c r="C821" s="9" t="s">
        <v>257</v>
      </c>
      <c r="D821" s="9" t="s">
        <v>258</v>
      </c>
      <c r="E821" s="9" t="s">
        <v>259</v>
      </c>
      <c r="F821" s="9"/>
      <c r="G821" s="9"/>
      <c r="H821" s="9"/>
      <c r="I821" s="9" t="n">
        <f aca="false">COUNTA(beslismoment_beslisproduct!A$2:A$2000)</f>
        <v>24</v>
      </c>
      <c r="J821" s="9" t="n">
        <f aca="false">IF(D821="ja",COUNTA(beslismoment_beslisproduct!$A$2:$A$2000)-I821,"")</f>
        <v>0</v>
      </c>
    </row>
    <row r="822" customFormat="false" ht="23.85" hidden="false" customHeight="false" outlineLevel="0" collapsed="false">
      <c r="A822" s="9" t="s">
        <v>80</v>
      </c>
      <c r="B822" s="9" t="s">
        <v>353</v>
      </c>
      <c r="C822" s="9" t="s">
        <v>323</v>
      </c>
      <c r="D822" s="9" t="s">
        <v>258</v>
      </c>
      <c r="E822" s="9" t="s">
        <v>324</v>
      </c>
      <c r="F822" s="9" t="s">
        <v>460</v>
      </c>
      <c r="G822" s="9"/>
      <c r="H822" s="9"/>
      <c r="I822" s="9" t="n">
        <f aca="false">COUNTA(beslismoment_beslisproduct!B$2:B$2000)</f>
        <v>24</v>
      </c>
      <c r="J822" s="9" t="n">
        <f aca="false">IF(D822="ja",COUNTA(beslismoment_beslisproduct!$A$2:$A$2000)-I822,"")</f>
        <v>0</v>
      </c>
    </row>
    <row r="823" customFormat="false" ht="15" hidden="false" customHeight="false" outlineLevel="0" collapsed="false">
      <c r="A823" s="9" t="s">
        <v>80</v>
      </c>
      <c r="B823" s="9" t="s">
        <v>439</v>
      </c>
      <c r="C823" s="9" t="s">
        <v>323</v>
      </c>
      <c r="D823" s="9" t="s">
        <v>258</v>
      </c>
      <c r="E823" s="9" t="s">
        <v>324</v>
      </c>
      <c r="F823" s="9" t="s">
        <v>464</v>
      </c>
      <c r="G823" s="9"/>
      <c r="H823" s="9"/>
      <c r="I823" s="9" t="n">
        <f aca="false">COUNTA(beslismoment_beslisproduct!C$2:C$2000)</f>
        <v>24</v>
      </c>
      <c r="J823" s="9" t="n">
        <f aca="false">IF(D823="ja",COUNTA(beslismoment_beslisproduct!$A$2:$A$2000)-I823,"")</f>
        <v>0</v>
      </c>
    </row>
    <row r="824" customFormat="false" ht="23.85" hidden="false" customHeight="false" outlineLevel="0" collapsed="false">
      <c r="A824" s="9" t="s">
        <v>80</v>
      </c>
      <c r="B824" s="9" t="s">
        <v>646</v>
      </c>
      <c r="C824" s="9" t="s">
        <v>279</v>
      </c>
      <c r="D824" s="9" t="s">
        <v>258</v>
      </c>
      <c r="E824" s="9"/>
      <c r="F824" s="9"/>
      <c r="G824" s="9" t="s">
        <v>647</v>
      </c>
      <c r="H824" s="9"/>
      <c r="I824" s="9" t="n">
        <f aca="false">COUNTA(beslismoment_beslisproduct!D$2:D$2000)</f>
        <v>24</v>
      </c>
      <c r="J824" s="9" t="n">
        <f aca="false">IF(D824="ja",COUNTA(beslismoment_beslisproduct!$A$2:$A$2000)-I824,"")</f>
        <v>0</v>
      </c>
    </row>
    <row r="825" customFormat="false" ht="15" hidden="false" customHeight="false" outlineLevel="0" collapsed="false">
      <c r="A825" s="9" t="s">
        <v>80</v>
      </c>
      <c r="B825" s="9" t="s">
        <v>642</v>
      </c>
      <c r="C825" s="9" t="s">
        <v>289</v>
      </c>
      <c r="D825" s="9" t="s">
        <v>258</v>
      </c>
      <c r="E825" s="9"/>
      <c r="F825" s="9"/>
      <c r="G825" s="9" t="s">
        <v>290</v>
      </c>
      <c r="H825" s="9"/>
      <c r="I825" s="9" t="n">
        <f aca="false">COUNTA(beslismoment_beslisproduct!E$2:E$2000)</f>
        <v>24</v>
      </c>
      <c r="J825" s="9" t="n">
        <f aca="false">IF(D825="ja",COUNTA(beslismoment_beslisproduct!$A$2:$A$2000)-I825,"")</f>
        <v>0</v>
      </c>
    </row>
    <row r="826" customFormat="false" ht="15" hidden="false" customHeight="false" outlineLevel="0" collapsed="false">
      <c r="A826" s="9" t="s">
        <v>80</v>
      </c>
      <c r="B826" s="9" t="s">
        <v>410</v>
      </c>
      <c r="C826" s="9" t="s">
        <v>271</v>
      </c>
      <c r="D826" s="9" t="s">
        <v>272</v>
      </c>
      <c r="E826" s="9"/>
      <c r="F826" s="9"/>
      <c r="G826" s="9"/>
      <c r="H826" s="9"/>
      <c r="I826" s="9" t="n">
        <f aca="false">COUNTA(beslismoment_beslisproduct!F$2:F$2000)</f>
        <v>0</v>
      </c>
      <c r="J826" s="9" t="str">
        <f aca="false">IF(D826="ja",COUNTA(beslismoment_beslisproduct!$A$2:$A$2000)-I826,"")</f>
        <v/>
      </c>
    </row>
    <row r="827" customFormat="false" ht="15" hidden="false" customHeight="false" outlineLevel="0" collapsed="false">
      <c r="A827" s="10" t="s">
        <v>80</v>
      </c>
      <c r="B827" s="10" t="s">
        <v>292</v>
      </c>
      <c r="C827" s="10" t="s">
        <v>293</v>
      </c>
      <c r="D827" s="10" t="s">
        <v>258</v>
      </c>
      <c r="E827" s="10"/>
      <c r="F827" s="10"/>
      <c r="G827" s="10"/>
      <c r="H827" s="10" t="s">
        <v>294</v>
      </c>
      <c r="I827" s="10" t="n">
        <f aca="false">COUNTA(beslismoment_beslisproduct!G$2:G$2000)</f>
        <v>24</v>
      </c>
      <c r="J827" s="10" t="n">
        <f aca="false">IF(D827="ja",COUNTA(beslismoment_beslisproduct!$A$2:$A$2000)-I827,"")</f>
        <v>0</v>
      </c>
    </row>
    <row r="828" customFormat="false" ht="15" hidden="false" customHeight="false" outlineLevel="0" collapsed="false">
      <c r="A828" s="10" t="s">
        <v>80</v>
      </c>
      <c r="B828" s="10" t="s">
        <v>295</v>
      </c>
      <c r="C828" s="10" t="s">
        <v>296</v>
      </c>
      <c r="D828" s="10" t="s">
        <v>258</v>
      </c>
      <c r="E828" s="10"/>
      <c r="F828" s="10"/>
      <c r="G828" s="10"/>
      <c r="H828" s="10" t="s">
        <v>297</v>
      </c>
      <c r="I828" s="10" t="n">
        <f aca="false">COUNTA(beslismoment_beslisproduct!H$2:H$2000)</f>
        <v>24</v>
      </c>
      <c r="J828" s="10" t="n">
        <f aca="false">IF(D828="ja",COUNTA(beslismoment_beslisproduct!$A$2:$A$2000)-I828,"")</f>
        <v>0</v>
      </c>
    </row>
    <row r="829" customFormat="false" ht="15" hidden="false" customHeight="false" outlineLevel="0" collapsed="false">
      <c r="A829" s="10" t="s">
        <v>80</v>
      </c>
      <c r="B829" s="10" t="s">
        <v>298</v>
      </c>
      <c r="C829" s="10" t="s">
        <v>293</v>
      </c>
      <c r="D829" s="10" t="s">
        <v>258</v>
      </c>
      <c r="E829" s="10"/>
      <c r="F829" s="10"/>
      <c r="G829" s="10"/>
      <c r="H829" s="10" t="s">
        <v>299</v>
      </c>
      <c r="I829" s="10" t="n">
        <f aca="false">COUNTA(beslismoment_beslisproduct!I$2:I$2000)</f>
        <v>24</v>
      </c>
      <c r="J829" s="10" t="n">
        <f aca="false">IF(D829="ja",COUNTA(beslismoment_beslisproduct!$A$2:$A$2000)-I829,"")</f>
        <v>0</v>
      </c>
    </row>
    <row r="830" customFormat="false" ht="15" hidden="false" customHeight="false" outlineLevel="0" collapsed="false">
      <c r="A830" s="10" t="s">
        <v>80</v>
      </c>
      <c r="B830" s="10" t="s">
        <v>300</v>
      </c>
      <c r="C830" s="10" t="s">
        <v>296</v>
      </c>
      <c r="D830" s="10" t="s">
        <v>258</v>
      </c>
      <c r="E830" s="10"/>
      <c r="F830" s="10"/>
      <c r="G830" s="10"/>
      <c r="H830" s="10" t="s">
        <v>301</v>
      </c>
      <c r="I830" s="10" t="n">
        <f aca="false">COUNTA(beslismoment_beslisproduct!J$2:J$2000)</f>
        <v>24</v>
      </c>
      <c r="J830" s="10" t="n">
        <f aca="false">IF(D830="ja",COUNTA(beslismoment_beslisproduct!$A$2:$A$2000)-I830,"")</f>
        <v>0</v>
      </c>
    </row>
    <row r="831" customFormat="false" ht="15" hidden="false" customHeight="false" outlineLevel="0" collapsed="false">
      <c r="A831" s="10" t="s">
        <v>80</v>
      </c>
      <c r="B831" s="10" t="s">
        <v>302</v>
      </c>
      <c r="C831" s="10" t="s">
        <v>279</v>
      </c>
      <c r="D831" s="10" t="s">
        <v>258</v>
      </c>
      <c r="E831" s="10"/>
      <c r="F831" s="10"/>
      <c r="G831" s="10" t="s">
        <v>303</v>
      </c>
      <c r="H831" s="10" t="s">
        <v>304</v>
      </c>
      <c r="I831" s="10" t="n">
        <f aca="false">COUNTA(beslismoment_beslisproduct!K$2:K$2000)</f>
        <v>24</v>
      </c>
      <c r="J831" s="10" t="n">
        <f aca="false">IF(D831="ja",COUNTA(beslismoment_beslisproduct!$A$2:$A$2000)-I831,"")</f>
        <v>0</v>
      </c>
    </row>
    <row r="832" customFormat="false" ht="15" hidden="false" customHeight="false" outlineLevel="0" collapsed="false">
      <c r="A832" s="10" t="s">
        <v>80</v>
      </c>
      <c r="B832" s="10" t="s">
        <v>305</v>
      </c>
      <c r="C832" s="10" t="s">
        <v>286</v>
      </c>
      <c r="D832" s="10" t="s">
        <v>258</v>
      </c>
      <c r="E832" s="10"/>
      <c r="F832" s="10"/>
      <c r="G832" s="10"/>
      <c r="H832" s="10" t="s">
        <v>306</v>
      </c>
      <c r="I832" s="10" t="n">
        <f aca="false">COUNTA(beslismoment_beslisproduct!L$2:L$2000)</f>
        <v>24</v>
      </c>
      <c r="J832" s="10" t="n">
        <f aca="false">IF(D832="ja",COUNTA(beslismoment_beslisproduct!$A$2:$A$2000)-I832,"")</f>
        <v>0</v>
      </c>
    </row>
    <row r="833" customFormat="false" ht="15" hidden="false" customHeight="false" outlineLevel="0" collapsed="false">
      <c r="A833" s="10" t="s">
        <v>80</v>
      </c>
      <c r="B833" s="10" t="s">
        <v>307</v>
      </c>
      <c r="C833" s="10" t="s">
        <v>308</v>
      </c>
      <c r="D833" s="10" t="s">
        <v>272</v>
      </c>
      <c r="E833" s="10"/>
      <c r="F833" s="10"/>
      <c r="G833" s="10"/>
      <c r="H833" s="10" t="s">
        <v>309</v>
      </c>
      <c r="I833" s="10" t="n">
        <f aca="false">COUNTA(beslismoment_beslisproduct!M$2:M$2000)</f>
        <v>0</v>
      </c>
      <c r="J833" s="10" t="str">
        <f aca="false">IF(D833="ja",COUNTA(beslismoment_beslisproduct!$A$2:$A$2000)-I833,"")</f>
        <v/>
      </c>
    </row>
    <row r="834" customFormat="false" ht="15" hidden="false" customHeight="false" outlineLevel="0" collapsed="false">
      <c r="A834" s="10" t="s">
        <v>80</v>
      </c>
      <c r="B834" s="10" t="s">
        <v>310</v>
      </c>
      <c r="C834" s="10" t="s">
        <v>308</v>
      </c>
      <c r="D834" s="10" t="s">
        <v>272</v>
      </c>
      <c r="E834" s="10"/>
      <c r="F834" s="10"/>
      <c r="G834" s="10"/>
      <c r="H834" s="10" t="s">
        <v>311</v>
      </c>
      <c r="I834" s="10" t="n">
        <f aca="false">COUNTA(beslismoment_beslisproduct!N$2:N$2000)</f>
        <v>0</v>
      </c>
      <c r="J834" s="10" t="str">
        <f aca="false">IF(D834="ja",COUNTA(beslismoment_beslisproduct!$A$2:$A$2000)-I834,"")</f>
        <v/>
      </c>
    </row>
    <row r="835" customFormat="false" ht="15" hidden="false" customHeight="false" outlineLevel="0" collapsed="false">
      <c r="A835" s="10" t="s">
        <v>80</v>
      </c>
      <c r="B835" s="10" t="s">
        <v>312</v>
      </c>
      <c r="C835" s="10" t="s">
        <v>271</v>
      </c>
      <c r="D835" s="10" t="s">
        <v>272</v>
      </c>
      <c r="E835" s="10"/>
      <c r="F835" s="10"/>
      <c r="G835" s="10"/>
      <c r="H835" s="10" t="s">
        <v>313</v>
      </c>
      <c r="I835" s="10" t="n">
        <f aca="false">COUNTA(beslismoment_beslisproduct!O$2:O$2000)</f>
        <v>24</v>
      </c>
      <c r="J835" s="10" t="str">
        <f aca="false">IF(D835="ja",COUNTA(beslismoment_beslisproduct!$A$2:$A$2000)-I835,"")</f>
        <v/>
      </c>
    </row>
    <row r="836" customFormat="false" ht="15" hidden="false" customHeight="false" outlineLevel="0" collapsed="false">
      <c r="A836" s="9" t="s">
        <v>81</v>
      </c>
      <c r="B836" s="9" t="s">
        <v>648</v>
      </c>
      <c r="C836" s="9" t="s">
        <v>257</v>
      </c>
      <c r="D836" s="9" t="s">
        <v>258</v>
      </c>
      <c r="E836" s="9" t="s">
        <v>259</v>
      </c>
      <c r="F836" s="9"/>
      <c r="G836" s="9"/>
      <c r="H836" s="9"/>
      <c r="I836" s="9" t="n">
        <f aca="false">COUNTA(beslismoment_handelingspersp!A$2:A$2000)</f>
        <v>21</v>
      </c>
      <c r="J836" s="9" t="n">
        <f aca="false">IF(D836="ja",COUNTA(beslismoment_handelingspersp!$A$2:$A$2000)-I836,"")</f>
        <v>0</v>
      </c>
    </row>
    <row r="837" customFormat="false" ht="23.85" hidden="false" customHeight="false" outlineLevel="0" collapsed="false">
      <c r="A837" s="9" t="s">
        <v>81</v>
      </c>
      <c r="B837" s="9" t="s">
        <v>353</v>
      </c>
      <c r="C837" s="9" t="s">
        <v>323</v>
      </c>
      <c r="D837" s="9" t="s">
        <v>258</v>
      </c>
      <c r="E837" s="9" t="s">
        <v>324</v>
      </c>
      <c r="F837" s="9" t="s">
        <v>460</v>
      </c>
      <c r="G837" s="9"/>
      <c r="H837" s="9"/>
      <c r="I837" s="9" t="n">
        <f aca="false">COUNTA(beslismoment_handelingspersp!B$2:B$2000)</f>
        <v>21</v>
      </c>
      <c r="J837" s="9" t="n">
        <f aca="false">IF(D837="ja",COUNTA(beslismoment_handelingspersp!$A$2:$A$2000)-I837,"")</f>
        <v>0</v>
      </c>
    </row>
    <row r="838" customFormat="false" ht="15" hidden="false" customHeight="false" outlineLevel="0" collapsed="false">
      <c r="A838" s="9" t="s">
        <v>81</v>
      </c>
      <c r="B838" s="9" t="s">
        <v>444</v>
      </c>
      <c r="C838" s="9" t="s">
        <v>323</v>
      </c>
      <c r="D838" s="9" t="s">
        <v>258</v>
      </c>
      <c r="E838" s="9" t="s">
        <v>324</v>
      </c>
      <c r="F838" s="9" t="s">
        <v>649</v>
      </c>
      <c r="G838" s="9"/>
      <c r="H838" s="9"/>
      <c r="I838" s="9" t="n">
        <f aca="false">COUNTA(beslismoment_handelingspersp!C$2:C$2000)</f>
        <v>21</v>
      </c>
      <c r="J838" s="9" t="n">
        <f aca="false">IF(D838="ja",COUNTA(beslismoment_handelingspersp!$A$2:$A$2000)-I838,"")</f>
        <v>0</v>
      </c>
    </row>
    <row r="839" customFormat="false" ht="15" hidden="false" customHeight="false" outlineLevel="0" collapsed="false">
      <c r="A839" s="9" t="s">
        <v>81</v>
      </c>
      <c r="B839" s="9" t="s">
        <v>386</v>
      </c>
      <c r="C839" s="9" t="s">
        <v>323</v>
      </c>
      <c r="D839" s="9" t="s">
        <v>272</v>
      </c>
      <c r="E839" s="9" t="s">
        <v>324</v>
      </c>
      <c r="F839" s="9" t="s">
        <v>407</v>
      </c>
      <c r="G839" s="9"/>
      <c r="H839" s="9"/>
      <c r="I839" s="9" t="n">
        <f aca="false">COUNTA(beslismoment_handelingspersp!D$2:D$2000)</f>
        <v>0</v>
      </c>
      <c r="J839" s="9" t="str">
        <f aca="false">IF(D839="ja",COUNTA(beslismoment_handelingspersp!$A$2:$A$2000)-I839,"")</f>
        <v/>
      </c>
    </row>
    <row r="840" customFormat="false" ht="15" hidden="false" customHeight="false" outlineLevel="0" collapsed="false">
      <c r="A840" s="9" t="s">
        <v>81</v>
      </c>
      <c r="B840" s="9" t="s">
        <v>285</v>
      </c>
      <c r="C840" s="9" t="s">
        <v>286</v>
      </c>
      <c r="D840" s="9" t="s">
        <v>258</v>
      </c>
      <c r="E840" s="9"/>
      <c r="F840" s="9"/>
      <c r="G840" s="9"/>
      <c r="H840" s="9"/>
      <c r="I840" s="9" t="n">
        <f aca="false">COUNTA(beslismoment_handelingspersp!E$2:E$2000)</f>
        <v>21</v>
      </c>
      <c r="J840" s="9" t="n">
        <f aca="false">IF(D840="ja",COUNTA(beslismoment_handelingspersp!$A$2:$A$2000)-I840,"")</f>
        <v>0</v>
      </c>
    </row>
    <row r="841" customFormat="false" ht="15" hidden="false" customHeight="false" outlineLevel="0" collapsed="false">
      <c r="A841" s="9" t="s">
        <v>81</v>
      </c>
      <c r="B841" s="9" t="s">
        <v>410</v>
      </c>
      <c r="C841" s="9" t="s">
        <v>271</v>
      </c>
      <c r="D841" s="9" t="s">
        <v>272</v>
      </c>
      <c r="E841" s="9"/>
      <c r="F841" s="9"/>
      <c r="G841" s="9"/>
      <c r="H841" s="9"/>
      <c r="I841" s="9" t="n">
        <f aca="false">COUNTA(beslismoment_handelingspersp!F$2:F$2000)</f>
        <v>0</v>
      </c>
      <c r="J841" s="9" t="str">
        <f aca="false">IF(D841="ja",COUNTA(beslismoment_handelingspersp!$A$2:$A$2000)-I841,"")</f>
        <v/>
      </c>
    </row>
    <row r="842" customFormat="false" ht="15" hidden="false" customHeight="false" outlineLevel="0" collapsed="false">
      <c r="A842" s="10" t="s">
        <v>81</v>
      </c>
      <c r="B842" s="10" t="s">
        <v>292</v>
      </c>
      <c r="C842" s="10" t="s">
        <v>293</v>
      </c>
      <c r="D842" s="10" t="s">
        <v>258</v>
      </c>
      <c r="E842" s="10"/>
      <c r="F842" s="10"/>
      <c r="G842" s="10"/>
      <c r="H842" s="10" t="s">
        <v>294</v>
      </c>
      <c r="I842" s="10" t="n">
        <f aca="false">COUNTA(beslismoment_handelingspersp!G$2:G$2000)</f>
        <v>21</v>
      </c>
      <c r="J842" s="10" t="n">
        <f aca="false">IF(D842="ja",COUNTA(beslismoment_handelingspersp!$A$2:$A$2000)-I842,"")</f>
        <v>0</v>
      </c>
    </row>
    <row r="843" customFormat="false" ht="15" hidden="false" customHeight="false" outlineLevel="0" collapsed="false">
      <c r="A843" s="10" t="s">
        <v>81</v>
      </c>
      <c r="B843" s="10" t="s">
        <v>295</v>
      </c>
      <c r="C843" s="10" t="s">
        <v>296</v>
      </c>
      <c r="D843" s="10" t="s">
        <v>258</v>
      </c>
      <c r="E843" s="10"/>
      <c r="F843" s="10"/>
      <c r="G843" s="10"/>
      <c r="H843" s="10" t="s">
        <v>297</v>
      </c>
      <c r="I843" s="10" t="n">
        <f aca="false">COUNTA(beslismoment_handelingspersp!H$2:H$2000)</f>
        <v>21</v>
      </c>
      <c r="J843" s="10" t="n">
        <f aca="false">IF(D843="ja",COUNTA(beslismoment_handelingspersp!$A$2:$A$2000)-I843,"")</f>
        <v>0</v>
      </c>
    </row>
    <row r="844" customFormat="false" ht="15" hidden="false" customHeight="false" outlineLevel="0" collapsed="false">
      <c r="A844" s="10" t="s">
        <v>81</v>
      </c>
      <c r="B844" s="10" t="s">
        <v>298</v>
      </c>
      <c r="C844" s="10" t="s">
        <v>293</v>
      </c>
      <c r="D844" s="10" t="s">
        <v>258</v>
      </c>
      <c r="E844" s="10"/>
      <c r="F844" s="10"/>
      <c r="G844" s="10"/>
      <c r="H844" s="10" t="s">
        <v>299</v>
      </c>
      <c r="I844" s="10" t="n">
        <f aca="false">COUNTA(beslismoment_handelingspersp!I$2:I$2000)</f>
        <v>21</v>
      </c>
      <c r="J844" s="10" t="n">
        <f aca="false">IF(D844="ja",COUNTA(beslismoment_handelingspersp!$A$2:$A$2000)-I844,"")</f>
        <v>0</v>
      </c>
    </row>
    <row r="845" customFormat="false" ht="15" hidden="false" customHeight="false" outlineLevel="0" collapsed="false">
      <c r="A845" s="10" t="s">
        <v>81</v>
      </c>
      <c r="B845" s="10" t="s">
        <v>300</v>
      </c>
      <c r="C845" s="10" t="s">
        <v>296</v>
      </c>
      <c r="D845" s="10" t="s">
        <v>258</v>
      </c>
      <c r="E845" s="10"/>
      <c r="F845" s="10"/>
      <c r="G845" s="10"/>
      <c r="H845" s="10" t="s">
        <v>301</v>
      </c>
      <c r="I845" s="10" t="n">
        <f aca="false">COUNTA(beslismoment_handelingspersp!J$2:J$2000)</f>
        <v>21</v>
      </c>
      <c r="J845" s="10" t="n">
        <f aca="false">IF(D845="ja",COUNTA(beslismoment_handelingspersp!$A$2:$A$2000)-I845,"")</f>
        <v>0</v>
      </c>
    </row>
    <row r="846" customFormat="false" ht="15" hidden="false" customHeight="false" outlineLevel="0" collapsed="false">
      <c r="A846" s="10" t="s">
        <v>81</v>
      </c>
      <c r="B846" s="10" t="s">
        <v>302</v>
      </c>
      <c r="C846" s="10" t="s">
        <v>279</v>
      </c>
      <c r="D846" s="10" t="s">
        <v>258</v>
      </c>
      <c r="E846" s="10"/>
      <c r="F846" s="10"/>
      <c r="G846" s="10" t="s">
        <v>303</v>
      </c>
      <c r="H846" s="10" t="s">
        <v>304</v>
      </c>
      <c r="I846" s="10" t="n">
        <f aca="false">COUNTA(beslismoment_handelingspersp!K$2:K$2000)</f>
        <v>21</v>
      </c>
      <c r="J846" s="10" t="n">
        <f aca="false">IF(D846="ja",COUNTA(beslismoment_handelingspersp!$A$2:$A$2000)-I846,"")</f>
        <v>0</v>
      </c>
    </row>
    <row r="847" customFormat="false" ht="15" hidden="false" customHeight="false" outlineLevel="0" collapsed="false">
      <c r="A847" s="10" t="s">
        <v>81</v>
      </c>
      <c r="B847" s="10" t="s">
        <v>305</v>
      </c>
      <c r="C847" s="10" t="s">
        <v>286</v>
      </c>
      <c r="D847" s="10" t="s">
        <v>258</v>
      </c>
      <c r="E847" s="10"/>
      <c r="F847" s="10"/>
      <c r="G847" s="10"/>
      <c r="H847" s="10" t="s">
        <v>306</v>
      </c>
      <c r="I847" s="10" t="n">
        <f aca="false">COUNTA(beslismoment_handelingspersp!L$2:L$2000)</f>
        <v>21</v>
      </c>
      <c r="J847" s="10" t="n">
        <f aca="false">IF(D847="ja",COUNTA(beslismoment_handelingspersp!$A$2:$A$2000)-I847,"")</f>
        <v>0</v>
      </c>
    </row>
    <row r="848" customFormat="false" ht="15" hidden="false" customHeight="false" outlineLevel="0" collapsed="false">
      <c r="A848" s="10" t="s">
        <v>81</v>
      </c>
      <c r="B848" s="10" t="s">
        <v>307</v>
      </c>
      <c r="C848" s="10" t="s">
        <v>308</v>
      </c>
      <c r="D848" s="10" t="s">
        <v>272</v>
      </c>
      <c r="E848" s="10"/>
      <c r="F848" s="10"/>
      <c r="G848" s="10"/>
      <c r="H848" s="10" t="s">
        <v>309</v>
      </c>
      <c r="I848" s="10" t="n">
        <f aca="false">COUNTA(beslismoment_handelingspersp!M$2:M$2000)</f>
        <v>0</v>
      </c>
      <c r="J848" s="10" t="str">
        <f aca="false">IF(D848="ja",COUNTA(beslismoment_handelingspersp!$A$2:$A$2000)-I848,"")</f>
        <v/>
      </c>
    </row>
    <row r="849" customFormat="false" ht="15" hidden="false" customHeight="false" outlineLevel="0" collapsed="false">
      <c r="A849" s="10" t="s">
        <v>81</v>
      </c>
      <c r="B849" s="10" t="s">
        <v>310</v>
      </c>
      <c r="C849" s="10" t="s">
        <v>308</v>
      </c>
      <c r="D849" s="10" t="s">
        <v>272</v>
      </c>
      <c r="E849" s="10"/>
      <c r="F849" s="10"/>
      <c r="G849" s="10"/>
      <c r="H849" s="10" t="s">
        <v>311</v>
      </c>
      <c r="I849" s="10" t="n">
        <f aca="false">COUNTA(beslismoment_handelingspersp!N$2:N$2000)</f>
        <v>0</v>
      </c>
      <c r="J849" s="10" t="str">
        <f aca="false">IF(D849="ja",COUNTA(beslismoment_handelingspersp!$A$2:$A$2000)-I849,"")</f>
        <v/>
      </c>
    </row>
    <row r="850" customFormat="false" ht="15" hidden="false" customHeight="false" outlineLevel="0" collapsed="false">
      <c r="A850" s="10" t="s">
        <v>81</v>
      </c>
      <c r="B850" s="10" t="s">
        <v>312</v>
      </c>
      <c r="C850" s="10" t="s">
        <v>271</v>
      </c>
      <c r="D850" s="10" t="s">
        <v>272</v>
      </c>
      <c r="E850" s="10"/>
      <c r="F850" s="10"/>
      <c r="G850" s="10"/>
      <c r="H850" s="10" t="s">
        <v>313</v>
      </c>
      <c r="I850" s="10" t="n">
        <f aca="false">COUNTA(beslismoment_handelingspersp!O$2:O$2000)</f>
        <v>21</v>
      </c>
      <c r="J850" s="10" t="str">
        <f aca="false">IF(D850="ja",COUNTA(beslismoment_handelingspersp!$A$2:$A$2000)-I850,"")</f>
        <v/>
      </c>
    </row>
    <row r="851" customFormat="false" ht="15" hidden="false" customHeight="false" outlineLevel="0" collapsed="false">
      <c r="A851" s="9" t="s">
        <v>82</v>
      </c>
      <c r="B851" s="9" t="s">
        <v>650</v>
      </c>
      <c r="C851" s="9" t="s">
        <v>257</v>
      </c>
      <c r="D851" s="9" t="s">
        <v>258</v>
      </c>
      <c r="E851" s="9" t="s">
        <v>259</v>
      </c>
      <c r="F851" s="9"/>
      <c r="G851" s="9"/>
      <c r="H851" s="9"/>
      <c r="I851" s="9" t="n">
        <f aca="false">COUNTA(beslismoment_knelpunt!A$2:A$2000)</f>
        <v>22</v>
      </c>
      <c r="J851" s="9" t="n">
        <f aca="false">IF(D851="ja",COUNTA(beslismoment_knelpunt!$A$2:$A$2000)-I851,"")</f>
        <v>0</v>
      </c>
    </row>
    <row r="852" customFormat="false" ht="23.85" hidden="false" customHeight="false" outlineLevel="0" collapsed="false">
      <c r="A852" s="9" t="s">
        <v>82</v>
      </c>
      <c r="B852" s="9" t="s">
        <v>353</v>
      </c>
      <c r="C852" s="9" t="s">
        <v>323</v>
      </c>
      <c r="D852" s="9" t="s">
        <v>258</v>
      </c>
      <c r="E852" s="9" t="s">
        <v>324</v>
      </c>
      <c r="F852" s="9" t="s">
        <v>460</v>
      </c>
      <c r="G852" s="9"/>
      <c r="H852" s="9"/>
      <c r="I852" s="9" t="n">
        <f aca="false">COUNTA(beslismoment_knelpunt!B$2:B$2000)</f>
        <v>22</v>
      </c>
      <c r="J852" s="9" t="n">
        <f aca="false">IF(D852="ja",COUNTA(beslismoment_knelpunt!$A$2:$A$2000)-I852,"")</f>
        <v>0</v>
      </c>
    </row>
    <row r="853" customFormat="false" ht="15" hidden="false" customHeight="false" outlineLevel="0" collapsed="false">
      <c r="A853" s="9" t="s">
        <v>82</v>
      </c>
      <c r="B853" s="9" t="s">
        <v>451</v>
      </c>
      <c r="C853" s="9" t="s">
        <v>323</v>
      </c>
      <c r="D853" s="9" t="s">
        <v>258</v>
      </c>
      <c r="E853" s="9" t="s">
        <v>324</v>
      </c>
      <c r="F853" s="9" t="s">
        <v>651</v>
      </c>
      <c r="G853" s="9"/>
      <c r="H853" s="9"/>
      <c r="I853" s="9" t="n">
        <f aca="false">COUNTA(beslismoment_knelpunt!C$2:C$2000)</f>
        <v>22</v>
      </c>
      <c r="J853" s="9" t="n">
        <f aca="false">IF(D853="ja",COUNTA(beslismoment_knelpunt!$A$2:$A$2000)-I853,"")</f>
        <v>0</v>
      </c>
    </row>
    <row r="854" customFormat="false" ht="15" hidden="false" customHeight="false" outlineLevel="0" collapsed="false">
      <c r="A854" s="9" t="s">
        <v>82</v>
      </c>
      <c r="B854" s="9" t="s">
        <v>386</v>
      </c>
      <c r="C854" s="9" t="s">
        <v>323</v>
      </c>
      <c r="D854" s="9" t="s">
        <v>272</v>
      </c>
      <c r="E854" s="9" t="s">
        <v>324</v>
      </c>
      <c r="F854" s="9" t="s">
        <v>407</v>
      </c>
      <c r="G854" s="9"/>
      <c r="H854" s="9"/>
      <c r="I854" s="9" t="n">
        <f aca="false">COUNTA(beslismoment_knelpunt!D$2:D$2000)</f>
        <v>0</v>
      </c>
      <c r="J854" s="9" t="str">
        <f aca="false">IF(D854="ja",COUNTA(beslismoment_knelpunt!$A$2:$A$2000)-I854,"")</f>
        <v/>
      </c>
    </row>
    <row r="855" customFormat="false" ht="15" hidden="false" customHeight="false" outlineLevel="0" collapsed="false">
      <c r="A855" s="9" t="s">
        <v>82</v>
      </c>
      <c r="B855" s="9" t="s">
        <v>652</v>
      </c>
      <c r="C855" s="9" t="s">
        <v>262</v>
      </c>
      <c r="D855" s="9" t="s">
        <v>272</v>
      </c>
      <c r="E855" s="9"/>
      <c r="F855" s="9"/>
      <c r="G855" s="9" t="s">
        <v>433</v>
      </c>
      <c r="H855" s="9"/>
      <c r="I855" s="9" t="n">
        <f aca="false">COUNTA(beslismoment_knelpunt!E$2:E$2000)</f>
        <v>22</v>
      </c>
      <c r="J855" s="9" t="str">
        <f aca="false">IF(D855="ja",COUNTA(beslismoment_knelpunt!$A$2:$A$2000)-I855,"")</f>
        <v/>
      </c>
    </row>
    <row r="856" customFormat="false" ht="15" hidden="false" customHeight="false" outlineLevel="0" collapsed="false">
      <c r="A856" s="9" t="s">
        <v>82</v>
      </c>
      <c r="B856" s="9" t="s">
        <v>410</v>
      </c>
      <c r="C856" s="9" t="s">
        <v>271</v>
      </c>
      <c r="D856" s="9" t="s">
        <v>272</v>
      </c>
      <c r="E856" s="9"/>
      <c r="F856" s="9"/>
      <c r="G856" s="9"/>
      <c r="H856" s="9"/>
      <c r="I856" s="9" t="n">
        <f aca="false">COUNTA(beslismoment_knelpunt!F$2:F$2000)</f>
        <v>0</v>
      </c>
      <c r="J856" s="9" t="str">
        <f aca="false">IF(D856="ja",COUNTA(beslismoment_knelpunt!$A$2:$A$2000)-I856,"")</f>
        <v/>
      </c>
    </row>
    <row r="857" customFormat="false" ht="15" hidden="false" customHeight="false" outlineLevel="0" collapsed="false">
      <c r="A857" s="10" t="s">
        <v>82</v>
      </c>
      <c r="B857" s="10" t="s">
        <v>292</v>
      </c>
      <c r="C857" s="10" t="s">
        <v>293</v>
      </c>
      <c r="D857" s="10" t="s">
        <v>258</v>
      </c>
      <c r="E857" s="10"/>
      <c r="F857" s="10"/>
      <c r="G857" s="10"/>
      <c r="H857" s="10" t="s">
        <v>294</v>
      </c>
      <c r="I857" s="10" t="n">
        <f aca="false">COUNTA(beslismoment_knelpunt!G$2:G$2000)</f>
        <v>22</v>
      </c>
      <c r="J857" s="10" t="n">
        <f aca="false">IF(D857="ja",COUNTA(beslismoment_knelpunt!$A$2:$A$2000)-I857,"")</f>
        <v>0</v>
      </c>
    </row>
    <row r="858" customFormat="false" ht="15" hidden="false" customHeight="false" outlineLevel="0" collapsed="false">
      <c r="A858" s="10" t="s">
        <v>82</v>
      </c>
      <c r="B858" s="10" t="s">
        <v>295</v>
      </c>
      <c r="C858" s="10" t="s">
        <v>296</v>
      </c>
      <c r="D858" s="10" t="s">
        <v>258</v>
      </c>
      <c r="E858" s="10"/>
      <c r="F858" s="10"/>
      <c r="G858" s="10"/>
      <c r="H858" s="10" t="s">
        <v>297</v>
      </c>
      <c r="I858" s="10" t="n">
        <f aca="false">COUNTA(beslismoment_knelpunt!H$2:H$2000)</f>
        <v>22</v>
      </c>
      <c r="J858" s="10" t="n">
        <f aca="false">IF(D858="ja",COUNTA(beslismoment_knelpunt!$A$2:$A$2000)-I858,"")</f>
        <v>0</v>
      </c>
    </row>
    <row r="859" customFormat="false" ht="15" hidden="false" customHeight="false" outlineLevel="0" collapsed="false">
      <c r="A859" s="10" t="s">
        <v>82</v>
      </c>
      <c r="B859" s="10" t="s">
        <v>298</v>
      </c>
      <c r="C859" s="10" t="s">
        <v>293</v>
      </c>
      <c r="D859" s="10" t="s">
        <v>258</v>
      </c>
      <c r="E859" s="10"/>
      <c r="F859" s="10"/>
      <c r="G859" s="10"/>
      <c r="H859" s="10" t="s">
        <v>299</v>
      </c>
      <c r="I859" s="10" t="n">
        <f aca="false">COUNTA(beslismoment_knelpunt!I$2:I$2000)</f>
        <v>22</v>
      </c>
      <c r="J859" s="10" t="n">
        <f aca="false">IF(D859="ja",COUNTA(beslismoment_knelpunt!$A$2:$A$2000)-I859,"")</f>
        <v>0</v>
      </c>
    </row>
    <row r="860" customFormat="false" ht="15" hidden="false" customHeight="false" outlineLevel="0" collapsed="false">
      <c r="A860" s="10" t="s">
        <v>82</v>
      </c>
      <c r="B860" s="10" t="s">
        <v>300</v>
      </c>
      <c r="C860" s="10" t="s">
        <v>296</v>
      </c>
      <c r="D860" s="10" t="s">
        <v>258</v>
      </c>
      <c r="E860" s="10"/>
      <c r="F860" s="10"/>
      <c r="G860" s="10"/>
      <c r="H860" s="10" t="s">
        <v>301</v>
      </c>
      <c r="I860" s="10" t="n">
        <f aca="false">COUNTA(beslismoment_knelpunt!J$2:J$2000)</f>
        <v>22</v>
      </c>
      <c r="J860" s="10" t="n">
        <f aca="false">IF(D860="ja",COUNTA(beslismoment_knelpunt!$A$2:$A$2000)-I860,"")</f>
        <v>0</v>
      </c>
    </row>
    <row r="861" customFormat="false" ht="15" hidden="false" customHeight="false" outlineLevel="0" collapsed="false">
      <c r="A861" s="10" t="s">
        <v>82</v>
      </c>
      <c r="B861" s="10" t="s">
        <v>302</v>
      </c>
      <c r="C861" s="10" t="s">
        <v>279</v>
      </c>
      <c r="D861" s="10" t="s">
        <v>258</v>
      </c>
      <c r="E861" s="10"/>
      <c r="F861" s="10"/>
      <c r="G861" s="10" t="s">
        <v>303</v>
      </c>
      <c r="H861" s="10" t="s">
        <v>304</v>
      </c>
      <c r="I861" s="10" t="n">
        <f aca="false">COUNTA(beslismoment_knelpunt!K$2:K$2000)</f>
        <v>22</v>
      </c>
      <c r="J861" s="10" t="n">
        <f aca="false">IF(D861="ja",COUNTA(beslismoment_knelpunt!$A$2:$A$2000)-I861,"")</f>
        <v>0</v>
      </c>
    </row>
    <row r="862" customFormat="false" ht="15" hidden="false" customHeight="false" outlineLevel="0" collapsed="false">
      <c r="A862" s="10" t="s">
        <v>82</v>
      </c>
      <c r="B862" s="10" t="s">
        <v>305</v>
      </c>
      <c r="C862" s="10" t="s">
        <v>286</v>
      </c>
      <c r="D862" s="10" t="s">
        <v>258</v>
      </c>
      <c r="E862" s="10"/>
      <c r="F862" s="10"/>
      <c r="G862" s="10"/>
      <c r="H862" s="10" t="s">
        <v>306</v>
      </c>
      <c r="I862" s="10" t="n">
        <f aca="false">COUNTA(beslismoment_knelpunt!L$2:L$2000)</f>
        <v>22</v>
      </c>
      <c r="J862" s="10" t="n">
        <f aca="false">IF(D862="ja",COUNTA(beslismoment_knelpunt!$A$2:$A$2000)-I862,"")</f>
        <v>0</v>
      </c>
    </row>
    <row r="863" customFormat="false" ht="15" hidden="false" customHeight="false" outlineLevel="0" collapsed="false">
      <c r="A863" s="10" t="s">
        <v>82</v>
      </c>
      <c r="B863" s="10" t="s">
        <v>307</v>
      </c>
      <c r="C863" s="10" t="s">
        <v>308</v>
      </c>
      <c r="D863" s="10" t="s">
        <v>272</v>
      </c>
      <c r="E863" s="10"/>
      <c r="F863" s="10"/>
      <c r="G863" s="10"/>
      <c r="H863" s="10" t="s">
        <v>309</v>
      </c>
      <c r="I863" s="10" t="n">
        <f aca="false">COUNTA(beslismoment_knelpunt!M$2:M$2000)</f>
        <v>0</v>
      </c>
      <c r="J863" s="10" t="str">
        <f aca="false">IF(D863="ja",COUNTA(beslismoment_knelpunt!$A$2:$A$2000)-I863,"")</f>
        <v/>
      </c>
    </row>
    <row r="864" customFormat="false" ht="15" hidden="false" customHeight="false" outlineLevel="0" collapsed="false">
      <c r="A864" s="10" t="s">
        <v>82</v>
      </c>
      <c r="B864" s="10" t="s">
        <v>310</v>
      </c>
      <c r="C864" s="10" t="s">
        <v>308</v>
      </c>
      <c r="D864" s="10" t="s">
        <v>272</v>
      </c>
      <c r="E864" s="10"/>
      <c r="F864" s="10"/>
      <c r="G864" s="10"/>
      <c r="H864" s="10" t="s">
        <v>311</v>
      </c>
      <c r="I864" s="10" t="n">
        <f aca="false">COUNTA(beslismoment_knelpunt!N$2:N$2000)</f>
        <v>0</v>
      </c>
      <c r="J864" s="10" t="str">
        <f aca="false">IF(D864="ja",COUNTA(beslismoment_knelpunt!$A$2:$A$2000)-I864,"")</f>
        <v/>
      </c>
    </row>
    <row r="865" customFormat="false" ht="15" hidden="false" customHeight="false" outlineLevel="0" collapsed="false">
      <c r="A865" s="10" t="s">
        <v>82</v>
      </c>
      <c r="B865" s="10" t="s">
        <v>312</v>
      </c>
      <c r="C865" s="10" t="s">
        <v>271</v>
      </c>
      <c r="D865" s="10" t="s">
        <v>272</v>
      </c>
      <c r="E865" s="10"/>
      <c r="F865" s="10"/>
      <c r="G865" s="10"/>
      <c r="H865" s="10" t="s">
        <v>313</v>
      </c>
      <c r="I865" s="10" t="n">
        <f aca="false">COUNTA(beslismoment_knelpunt!O$2:O$2000)</f>
        <v>22</v>
      </c>
      <c r="J865" s="10" t="str">
        <f aca="false">IF(D865="ja",COUNTA(beslismoment_knelpunt!$A$2:$A$2000)-I865,"")</f>
        <v/>
      </c>
    </row>
    <row r="866" customFormat="false" ht="15" hidden="false" customHeight="false" outlineLevel="0" collapsed="false">
      <c r="A866" s="9" t="s">
        <v>83</v>
      </c>
      <c r="B866" s="9" t="s">
        <v>653</v>
      </c>
      <c r="C866" s="9" t="s">
        <v>257</v>
      </c>
      <c r="D866" s="9" t="s">
        <v>258</v>
      </c>
      <c r="E866" s="9" t="s">
        <v>259</v>
      </c>
      <c r="F866" s="9"/>
      <c r="G866" s="9"/>
      <c r="H866" s="9"/>
      <c r="I866" s="9" t="n">
        <f aca="false">COUNTA(instrument_relatie!A$2:A$2000)</f>
        <v>17</v>
      </c>
      <c r="J866" s="9" t="n">
        <f aca="false">IF(D866="ja",COUNTA(instrument_relatie!$A$2:$A$2000)-I866,"")</f>
        <v>0</v>
      </c>
    </row>
    <row r="867" customFormat="false" ht="15" hidden="false" customHeight="false" outlineLevel="0" collapsed="false">
      <c r="A867" s="9" t="s">
        <v>83</v>
      </c>
      <c r="B867" s="9" t="s">
        <v>654</v>
      </c>
      <c r="C867" s="9" t="s">
        <v>323</v>
      </c>
      <c r="D867" s="9" t="s">
        <v>258</v>
      </c>
      <c r="E867" s="9" t="s">
        <v>324</v>
      </c>
      <c r="F867" s="9" t="s">
        <v>443</v>
      </c>
      <c r="G867" s="9"/>
      <c r="H867" s="9"/>
      <c r="I867" s="9" t="n">
        <f aca="false">COUNTA(instrument_relatie!B$2:B$2000)</f>
        <v>17</v>
      </c>
      <c r="J867" s="9" t="n">
        <f aca="false">IF(D867="ja",COUNTA(instrument_relatie!$A$2:$A$2000)-I867,"")</f>
        <v>0</v>
      </c>
    </row>
    <row r="868" customFormat="false" ht="15" hidden="false" customHeight="false" outlineLevel="0" collapsed="false">
      <c r="A868" s="9" t="s">
        <v>83</v>
      </c>
      <c r="B868" s="9" t="s">
        <v>655</v>
      </c>
      <c r="C868" s="9" t="s">
        <v>323</v>
      </c>
      <c r="D868" s="9" t="s">
        <v>258</v>
      </c>
      <c r="E868" s="9" t="s">
        <v>324</v>
      </c>
      <c r="F868" s="9" t="s">
        <v>443</v>
      </c>
      <c r="G868" s="9"/>
      <c r="H868" s="9"/>
      <c r="I868" s="9" t="n">
        <f aca="false">COUNTA(instrument_relatie!C$2:C$2000)</f>
        <v>17</v>
      </c>
      <c r="J868" s="9" t="n">
        <f aca="false">IF(D868="ja",COUNTA(instrument_relatie!$A$2:$A$2000)-I868,"")</f>
        <v>0</v>
      </c>
    </row>
    <row r="869" customFormat="false" ht="15" hidden="false" customHeight="false" outlineLevel="0" collapsed="false">
      <c r="A869" s="9" t="s">
        <v>83</v>
      </c>
      <c r="B869" s="9" t="s">
        <v>656</v>
      </c>
      <c r="C869" s="9" t="s">
        <v>323</v>
      </c>
      <c r="D869" s="9" t="s">
        <v>258</v>
      </c>
      <c r="E869" s="9" t="s">
        <v>324</v>
      </c>
      <c r="F869" s="9" t="s">
        <v>657</v>
      </c>
      <c r="G869" s="9"/>
      <c r="H869" s="9"/>
      <c r="I869" s="9" t="n">
        <f aca="false">COUNTA(instrument_relatie!D$2:D$2000)</f>
        <v>17</v>
      </c>
      <c r="J869" s="9" t="n">
        <f aca="false">IF(D869="ja",COUNTA(instrument_relatie!$A$2:$A$2000)-I869,"")</f>
        <v>0</v>
      </c>
    </row>
    <row r="870" customFormat="false" ht="15" hidden="false" customHeight="false" outlineLevel="0" collapsed="false">
      <c r="A870" s="9" t="s">
        <v>83</v>
      </c>
      <c r="B870" s="9" t="s">
        <v>658</v>
      </c>
      <c r="C870" s="9" t="s">
        <v>262</v>
      </c>
      <c r="D870" s="9" t="s">
        <v>272</v>
      </c>
      <c r="E870" s="9"/>
      <c r="F870" s="9"/>
      <c r="G870" s="9" t="s">
        <v>433</v>
      </c>
      <c r="H870" s="9"/>
      <c r="I870" s="9" t="n">
        <f aca="false">COUNTA(instrument_relatie!E$2:E$2000)</f>
        <v>17</v>
      </c>
      <c r="J870" s="9" t="str">
        <f aca="false">IF(D870="ja",COUNTA(instrument_relatie!$A$2:$A$2000)-I870,"")</f>
        <v/>
      </c>
    </row>
    <row r="871" customFormat="false" ht="15" hidden="false" customHeight="false" outlineLevel="0" collapsed="false">
      <c r="A871" s="9" t="s">
        <v>83</v>
      </c>
      <c r="B871" s="9" t="s">
        <v>410</v>
      </c>
      <c r="C871" s="9" t="s">
        <v>271</v>
      </c>
      <c r="D871" s="9" t="s">
        <v>272</v>
      </c>
      <c r="E871" s="9"/>
      <c r="F871" s="9"/>
      <c r="G871" s="9"/>
      <c r="H871" s="9"/>
      <c r="I871" s="9" t="n">
        <f aca="false">COUNTA(instrument_relatie!F$2:F$2000)</f>
        <v>17</v>
      </c>
      <c r="J871" s="9" t="str">
        <f aca="false">IF(D871="ja",COUNTA(instrument_relatie!$A$2:$A$2000)-I871,"")</f>
        <v/>
      </c>
    </row>
    <row r="872" customFormat="false" ht="15" hidden="false" customHeight="false" outlineLevel="0" collapsed="false">
      <c r="A872" s="9" t="s">
        <v>83</v>
      </c>
      <c r="B872" s="9" t="s">
        <v>458</v>
      </c>
      <c r="C872" s="9" t="s">
        <v>289</v>
      </c>
      <c r="D872" s="9" t="s">
        <v>258</v>
      </c>
      <c r="E872" s="9"/>
      <c r="F872" s="9"/>
      <c r="G872" s="9" t="s">
        <v>290</v>
      </c>
      <c r="H872" s="9"/>
      <c r="I872" s="9" t="n">
        <f aca="false">COUNTA(instrument_relatie!G$2:G$2000)</f>
        <v>17</v>
      </c>
      <c r="J872" s="9" t="n">
        <f aca="false">IF(D872="ja",COUNTA(instrument_relatie!$A$2:$A$2000)-I872,"")</f>
        <v>0</v>
      </c>
    </row>
    <row r="873" customFormat="false" ht="15" hidden="false" customHeight="false" outlineLevel="0" collapsed="false">
      <c r="A873" s="10" t="s">
        <v>83</v>
      </c>
      <c r="B873" s="10" t="s">
        <v>292</v>
      </c>
      <c r="C873" s="10" t="s">
        <v>293</v>
      </c>
      <c r="D873" s="10" t="s">
        <v>258</v>
      </c>
      <c r="E873" s="10"/>
      <c r="F873" s="10"/>
      <c r="G873" s="10"/>
      <c r="H873" s="10" t="s">
        <v>294</v>
      </c>
      <c r="I873" s="10" t="n">
        <f aca="false">COUNTA(instrument_relatie!H$2:H$2000)</f>
        <v>17</v>
      </c>
      <c r="J873" s="10" t="n">
        <f aca="false">IF(D873="ja",COUNTA(instrument_relatie!$A$2:$A$2000)-I873,"")</f>
        <v>0</v>
      </c>
    </row>
    <row r="874" customFormat="false" ht="15" hidden="false" customHeight="false" outlineLevel="0" collapsed="false">
      <c r="A874" s="10" t="s">
        <v>83</v>
      </c>
      <c r="B874" s="10" t="s">
        <v>295</v>
      </c>
      <c r="C874" s="10" t="s">
        <v>296</v>
      </c>
      <c r="D874" s="10" t="s">
        <v>258</v>
      </c>
      <c r="E874" s="10"/>
      <c r="F874" s="10"/>
      <c r="G874" s="10"/>
      <c r="H874" s="10" t="s">
        <v>297</v>
      </c>
      <c r="I874" s="10" t="n">
        <f aca="false">COUNTA(instrument_relatie!I$2:I$2000)</f>
        <v>17</v>
      </c>
      <c r="J874" s="10" t="n">
        <f aca="false">IF(D874="ja",COUNTA(instrument_relatie!$A$2:$A$2000)-I874,"")</f>
        <v>0</v>
      </c>
    </row>
    <row r="875" customFormat="false" ht="15" hidden="false" customHeight="false" outlineLevel="0" collapsed="false">
      <c r="A875" s="10" t="s">
        <v>83</v>
      </c>
      <c r="B875" s="10" t="s">
        <v>298</v>
      </c>
      <c r="C875" s="10" t="s">
        <v>293</v>
      </c>
      <c r="D875" s="10" t="s">
        <v>258</v>
      </c>
      <c r="E875" s="10"/>
      <c r="F875" s="10"/>
      <c r="G875" s="10"/>
      <c r="H875" s="10" t="s">
        <v>299</v>
      </c>
      <c r="I875" s="10" t="n">
        <f aca="false">COUNTA(instrument_relatie!J$2:J$2000)</f>
        <v>17</v>
      </c>
      <c r="J875" s="10" t="n">
        <f aca="false">IF(D875="ja",COUNTA(instrument_relatie!$A$2:$A$2000)-I875,"")</f>
        <v>0</v>
      </c>
    </row>
    <row r="876" customFormat="false" ht="15" hidden="false" customHeight="false" outlineLevel="0" collapsed="false">
      <c r="A876" s="10" t="s">
        <v>83</v>
      </c>
      <c r="B876" s="10" t="s">
        <v>300</v>
      </c>
      <c r="C876" s="10" t="s">
        <v>296</v>
      </c>
      <c r="D876" s="10" t="s">
        <v>258</v>
      </c>
      <c r="E876" s="10"/>
      <c r="F876" s="10"/>
      <c r="G876" s="10"/>
      <c r="H876" s="10" t="s">
        <v>301</v>
      </c>
      <c r="I876" s="10" t="n">
        <f aca="false">COUNTA(instrument_relatie!K$2:K$2000)</f>
        <v>17</v>
      </c>
      <c r="J876" s="10" t="n">
        <f aca="false">IF(D876="ja",COUNTA(instrument_relatie!$A$2:$A$2000)-I876,"")</f>
        <v>0</v>
      </c>
    </row>
    <row r="877" customFormat="false" ht="15" hidden="false" customHeight="false" outlineLevel="0" collapsed="false">
      <c r="A877" s="10" t="s">
        <v>83</v>
      </c>
      <c r="B877" s="10" t="s">
        <v>302</v>
      </c>
      <c r="C877" s="10" t="s">
        <v>279</v>
      </c>
      <c r="D877" s="10" t="s">
        <v>258</v>
      </c>
      <c r="E877" s="10"/>
      <c r="F877" s="10"/>
      <c r="G877" s="10" t="s">
        <v>303</v>
      </c>
      <c r="H877" s="10" t="s">
        <v>304</v>
      </c>
      <c r="I877" s="10" t="n">
        <f aca="false">COUNTA(instrument_relatie!L$2:L$2000)</f>
        <v>17</v>
      </c>
      <c r="J877" s="10" t="n">
        <f aca="false">IF(D877="ja",COUNTA(instrument_relatie!$A$2:$A$2000)-I877,"")</f>
        <v>0</v>
      </c>
    </row>
    <row r="878" customFormat="false" ht="15" hidden="false" customHeight="false" outlineLevel="0" collapsed="false">
      <c r="A878" s="10" t="s">
        <v>83</v>
      </c>
      <c r="B878" s="10" t="s">
        <v>305</v>
      </c>
      <c r="C878" s="10" t="s">
        <v>286</v>
      </c>
      <c r="D878" s="10" t="s">
        <v>258</v>
      </c>
      <c r="E878" s="10"/>
      <c r="F878" s="10"/>
      <c r="G878" s="10"/>
      <c r="H878" s="10" t="s">
        <v>306</v>
      </c>
      <c r="I878" s="10" t="n">
        <f aca="false">COUNTA(instrument_relatie!M$2:M$2000)</f>
        <v>17</v>
      </c>
      <c r="J878" s="10" t="n">
        <f aca="false">IF(D878="ja",COUNTA(instrument_relatie!$A$2:$A$2000)-I878,"")</f>
        <v>0</v>
      </c>
    </row>
    <row r="879" customFormat="false" ht="15" hidden="false" customHeight="false" outlineLevel="0" collapsed="false">
      <c r="A879" s="10" t="s">
        <v>83</v>
      </c>
      <c r="B879" s="10" t="s">
        <v>307</v>
      </c>
      <c r="C879" s="10" t="s">
        <v>308</v>
      </c>
      <c r="D879" s="10" t="s">
        <v>272</v>
      </c>
      <c r="E879" s="10"/>
      <c r="F879" s="10"/>
      <c r="G879" s="10"/>
      <c r="H879" s="10" t="s">
        <v>309</v>
      </c>
      <c r="I879" s="10" t="n">
        <f aca="false">COUNTA(instrument_relatie!N$2:N$2000)</f>
        <v>0</v>
      </c>
      <c r="J879" s="10" t="str">
        <f aca="false">IF(D879="ja",COUNTA(instrument_relatie!$A$2:$A$2000)-I879,"")</f>
        <v/>
      </c>
    </row>
    <row r="880" customFormat="false" ht="15" hidden="false" customHeight="false" outlineLevel="0" collapsed="false">
      <c r="A880" s="10" t="s">
        <v>83</v>
      </c>
      <c r="B880" s="10" t="s">
        <v>310</v>
      </c>
      <c r="C880" s="10" t="s">
        <v>308</v>
      </c>
      <c r="D880" s="10" t="s">
        <v>272</v>
      </c>
      <c r="E880" s="10"/>
      <c r="F880" s="10"/>
      <c r="G880" s="10"/>
      <c r="H880" s="10" t="s">
        <v>311</v>
      </c>
      <c r="I880" s="10" t="n">
        <f aca="false">COUNTA(instrument_relatie!O$2:O$2000)</f>
        <v>0</v>
      </c>
      <c r="J880" s="10" t="str">
        <f aca="false">IF(D880="ja",COUNTA(instrument_relatie!$A$2:$A$2000)-I880,"")</f>
        <v/>
      </c>
    </row>
    <row r="881" customFormat="false" ht="15" hidden="false" customHeight="false" outlineLevel="0" collapsed="false">
      <c r="A881" s="10" t="s">
        <v>83</v>
      </c>
      <c r="B881" s="10" t="s">
        <v>312</v>
      </c>
      <c r="C881" s="10" t="s">
        <v>271</v>
      </c>
      <c r="D881" s="10" t="s">
        <v>272</v>
      </c>
      <c r="E881" s="10"/>
      <c r="F881" s="10"/>
      <c r="G881" s="10"/>
      <c r="H881" s="10" t="s">
        <v>313</v>
      </c>
      <c r="I881" s="10" t="n">
        <f aca="false">COUNTA(instrument_relatie!P$2:P$2000)</f>
        <v>17</v>
      </c>
      <c r="J881" s="10" t="str">
        <f aca="false">IF(D881="ja",COUNTA(instrument_relatie!$A$2:$A$2000)-I881,"")</f>
        <v/>
      </c>
    </row>
    <row r="882" customFormat="false" ht="15" hidden="false" customHeight="false" outlineLevel="0" collapsed="false">
      <c r="A882" s="9" t="s">
        <v>84</v>
      </c>
      <c r="B882" s="9" t="s">
        <v>656</v>
      </c>
      <c r="C882" s="9" t="s">
        <v>257</v>
      </c>
      <c r="D882" s="9" t="s">
        <v>258</v>
      </c>
      <c r="E882" s="9" t="s">
        <v>259</v>
      </c>
      <c r="F882" s="9"/>
      <c r="G882" s="9"/>
      <c r="H882" s="9" t="s">
        <v>260</v>
      </c>
      <c r="I882" s="9" t="n">
        <f aca="false">COUNTA(instrument_relatietype!A$2:A$2000)</f>
        <v>15</v>
      </c>
      <c r="J882" s="9" t="n">
        <f aca="false">IF(D882="ja",COUNTA(instrument_relatietype!$A$2:$A$2000)-I882,"")</f>
        <v>0</v>
      </c>
    </row>
    <row r="883" customFormat="false" ht="15" hidden="false" customHeight="false" outlineLevel="0" collapsed="false">
      <c r="A883" s="9" t="s">
        <v>84</v>
      </c>
      <c r="B883" s="9" t="s">
        <v>315</v>
      </c>
      <c r="C883" s="9" t="s">
        <v>279</v>
      </c>
      <c r="D883" s="9" t="s">
        <v>258</v>
      </c>
      <c r="E883" s="9"/>
      <c r="F883" s="9"/>
      <c r="G883" s="9"/>
      <c r="H883" s="9"/>
      <c r="I883" s="9" t="n">
        <f aca="false">COUNTA(instrument_relatietype!B$2:B$2000)</f>
        <v>15</v>
      </c>
      <c r="J883" s="9" t="n">
        <f aca="false">IF(D883="ja",COUNTA(instrument_relatietype!$A$2:$A$2000)-I883,"")</f>
        <v>0</v>
      </c>
    </row>
    <row r="884" customFormat="false" ht="15" hidden="false" customHeight="false" outlineLevel="0" collapsed="false">
      <c r="A884" s="9" t="s">
        <v>84</v>
      </c>
      <c r="B884" s="9" t="s">
        <v>264</v>
      </c>
      <c r="C884" s="9" t="s">
        <v>283</v>
      </c>
      <c r="D884" s="9" t="s">
        <v>258</v>
      </c>
      <c r="E884" s="9"/>
      <c r="F884" s="9"/>
      <c r="G884" s="9"/>
      <c r="H884" s="9"/>
      <c r="I884" s="9" t="n">
        <f aca="false">COUNTA(instrument_relatietype!C$2:C$2000)</f>
        <v>15</v>
      </c>
      <c r="J884" s="9" t="n">
        <f aca="false">IF(D884="ja",COUNTA(instrument_relatietype!$A$2:$A$2000)-I884,"")</f>
        <v>0</v>
      </c>
    </row>
    <row r="885" customFormat="false" ht="15" hidden="false" customHeight="false" outlineLevel="0" collapsed="false">
      <c r="A885" s="9" t="s">
        <v>84</v>
      </c>
      <c r="B885" s="9" t="s">
        <v>319</v>
      </c>
      <c r="C885" s="9" t="s">
        <v>271</v>
      </c>
      <c r="D885" s="9" t="s">
        <v>272</v>
      </c>
      <c r="E885" s="9"/>
      <c r="F885" s="9"/>
      <c r="G885" s="9"/>
      <c r="H885" s="9"/>
      <c r="I885" s="9" t="n">
        <f aca="false">COUNTA(instrument_relatietype!D$2:D$2000)</f>
        <v>0</v>
      </c>
      <c r="J885" s="9" t="str">
        <f aca="false">IF(D885="ja",COUNTA(instrument_relatietype!$A$2:$A$2000)-I885,"")</f>
        <v/>
      </c>
    </row>
    <row r="886" customFormat="false" ht="15" hidden="false" customHeight="false" outlineLevel="0" collapsed="false">
      <c r="A886" s="9" t="s">
        <v>84</v>
      </c>
      <c r="B886" s="9" t="s">
        <v>285</v>
      </c>
      <c r="C886" s="9" t="s">
        <v>286</v>
      </c>
      <c r="D886" s="9" t="s">
        <v>258</v>
      </c>
      <c r="E886" s="9"/>
      <c r="F886" s="9"/>
      <c r="G886" s="9"/>
      <c r="H886" s="9"/>
      <c r="I886" s="9" t="n">
        <f aca="false">COUNTA(instrument_relatietype!E$2:E$2000)</f>
        <v>15</v>
      </c>
      <c r="J886" s="9" t="n">
        <f aca="false">IF(D886="ja",COUNTA(instrument_relatietype!$A$2:$A$2000)-I886,"")</f>
        <v>0</v>
      </c>
    </row>
    <row r="887" customFormat="false" ht="15" hidden="false" customHeight="false" outlineLevel="0" collapsed="false">
      <c r="A887" s="10" t="s">
        <v>84</v>
      </c>
      <c r="B887" s="10" t="s">
        <v>292</v>
      </c>
      <c r="C887" s="10" t="s">
        <v>293</v>
      </c>
      <c r="D887" s="10" t="s">
        <v>258</v>
      </c>
      <c r="E887" s="10"/>
      <c r="F887" s="10"/>
      <c r="G887" s="10"/>
      <c r="H887" s="10" t="s">
        <v>294</v>
      </c>
      <c r="I887" s="10" t="n">
        <f aca="false">COUNTA(instrument_relatietype!F$2:F$2000)</f>
        <v>15</v>
      </c>
      <c r="J887" s="10" t="n">
        <f aca="false">IF(D887="ja",COUNTA(instrument_relatietype!$A$2:$A$2000)-I887,"")</f>
        <v>0</v>
      </c>
    </row>
    <row r="888" customFormat="false" ht="15" hidden="false" customHeight="false" outlineLevel="0" collapsed="false">
      <c r="A888" s="10" t="s">
        <v>84</v>
      </c>
      <c r="B888" s="10" t="s">
        <v>295</v>
      </c>
      <c r="C888" s="10" t="s">
        <v>296</v>
      </c>
      <c r="D888" s="10" t="s">
        <v>258</v>
      </c>
      <c r="E888" s="10"/>
      <c r="F888" s="10"/>
      <c r="G888" s="10"/>
      <c r="H888" s="10" t="s">
        <v>297</v>
      </c>
      <c r="I888" s="10" t="n">
        <f aca="false">COUNTA(instrument_relatietype!G$2:G$2000)</f>
        <v>15</v>
      </c>
      <c r="J888" s="10" t="n">
        <f aca="false">IF(D888="ja",COUNTA(instrument_relatietype!$A$2:$A$2000)-I888,"")</f>
        <v>0</v>
      </c>
    </row>
    <row r="889" customFormat="false" ht="15" hidden="false" customHeight="false" outlineLevel="0" collapsed="false">
      <c r="A889" s="10" t="s">
        <v>84</v>
      </c>
      <c r="B889" s="10" t="s">
        <v>298</v>
      </c>
      <c r="C889" s="10" t="s">
        <v>293</v>
      </c>
      <c r="D889" s="10" t="s">
        <v>258</v>
      </c>
      <c r="E889" s="10"/>
      <c r="F889" s="10"/>
      <c r="G889" s="10"/>
      <c r="H889" s="10" t="s">
        <v>299</v>
      </c>
      <c r="I889" s="10" t="n">
        <f aca="false">COUNTA(instrument_relatietype!H$2:H$2000)</f>
        <v>15</v>
      </c>
      <c r="J889" s="10" t="n">
        <f aca="false">IF(D889="ja",COUNTA(instrument_relatietype!$A$2:$A$2000)-I889,"")</f>
        <v>0</v>
      </c>
    </row>
    <row r="890" customFormat="false" ht="15" hidden="false" customHeight="false" outlineLevel="0" collapsed="false">
      <c r="A890" s="10" t="s">
        <v>84</v>
      </c>
      <c r="B890" s="10" t="s">
        <v>300</v>
      </c>
      <c r="C890" s="10" t="s">
        <v>296</v>
      </c>
      <c r="D890" s="10" t="s">
        <v>258</v>
      </c>
      <c r="E890" s="10"/>
      <c r="F890" s="10"/>
      <c r="G890" s="10"/>
      <c r="H890" s="10" t="s">
        <v>301</v>
      </c>
      <c r="I890" s="10" t="n">
        <f aca="false">COUNTA(instrument_relatietype!I$2:I$2000)</f>
        <v>15</v>
      </c>
      <c r="J890" s="10" t="n">
        <f aca="false">IF(D890="ja",COUNTA(instrument_relatietype!$A$2:$A$2000)-I890,"")</f>
        <v>0</v>
      </c>
    </row>
    <row r="891" customFormat="false" ht="15" hidden="false" customHeight="false" outlineLevel="0" collapsed="false">
      <c r="A891" s="10" t="s">
        <v>84</v>
      </c>
      <c r="B891" s="10" t="s">
        <v>302</v>
      </c>
      <c r="C891" s="10" t="s">
        <v>279</v>
      </c>
      <c r="D891" s="10" t="s">
        <v>258</v>
      </c>
      <c r="E891" s="10"/>
      <c r="F891" s="10"/>
      <c r="G891" s="10" t="s">
        <v>303</v>
      </c>
      <c r="H891" s="10" t="s">
        <v>304</v>
      </c>
      <c r="I891" s="10" t="n">
        <f aca="false">COUNTA(instrument_relatietype!J$2:J$2000)</f>
        <v>15</v>
      </c>
      <c r="J891" s="10" t="n">
        <f aca="false">IF(D891="ja",COUNTA(instrument_relatietype!$A$2:$A$2000)-I891,"")</f>
        <v>0</v>
      </c>
    </row>
    <row r="892" customFormat="false" ht="15" hidden="false" customHeight="false" outlineLevel="0" collapsed="false">
      <c r="A892" s="10" t="s">
        <v>84</v>
      </c>
      <c r="B892" s="10" t="s">
        <v>305</v>
      </c>
      <c r="C892" s="10" t="s">
        <v>286</v>
      </c>
      <c r="D892" s="10" t="s">
        <v>258</v>
      </c>
      <c r="E892" s="10"/>
      <c r="F892" s="10"/>
      <c r="G892" s="10"/>
      <c r="H892" s="10" t="s">
        <v>306</v>
      </c>
      <c r="I892" s="10" t="n">
        <f aca="false">COUNTA(instrument_relatietype!K$2:K$2000)</f>
        <v>15</v>
      </c>
      <c r="J892" s="10" t="n">
        <f aca="false">IF(D892="ja",COUNTA(instrument_relatietype!$A$2:$A$2000)-I892,"")</f>
        <v>0</v>
      </c>
    </row>
    <row r="893" customFormat="false" ht="15" hidden="false" customHeight="false" outlineLevel="0" collapsed="false">
      <c r="A893" s="10" t="s">
        <v>84</v>
      </c>
      <c r="B893" s="10" t="s">
        <v>307</v>
      </c>
      <c r="C893" s="10" t="s">
        <v>308</v>
      </c>
      <c r="D893" s="10" t="s">
        <v>272</v>
      </c>
      <c r="E893" s="10"/>
      <c r="F893" s="10"/>
      <c r="G893" s="10"/>
      <c r="H893" s="10" t="s">
        <v>309</v>
      </c>
      <c r="I893" s="10" t="n">
        <f aca="false">COUNTA(instrument_relatietype!L$2:L$2000)</f>
        <v>0</v>
      </c>
      <c r="J893" s="10" t="str">
        <f aca="false">IF(D893="ja",COUNTA(instrument_relatietype!$A$2:$A$2000)-I893,"")</f>
        <v/>
      </c>
    </row>
    <row r="894" customFormat="false" ht="15" hidden="false" customHeight="false" outlineLevel="0" collapsed="false">
      <c r="A894" s="10" t="s">
        <v>84</v>
      </c>
      <c r="B894" s="10" t="s">
        <v>310</v>
      </c>
      <c r="C894" s="10" t="s">
        <v>308</v>
      </c>
      <c r="D894" s="10" t="s">
        <v>272</v>
      </c>
      <c r="E894" s="10"/>
      <c r="F894" s="10"/>
      <c r="G894" s="10"/>
      <c r="H894" s="10" t="s">
        <v>311</v>
      </c>
      <c r="I894" s="10" t="n">
        <f aca="false">COUNTA(instrument_relatietype!M$2:M$2000)</f>
        <v>0</v>
      </c>
      <c r="J894" s="10" t="str">
        <f aca="false">IF(D894="ja",COUNTA(instrument_relatietype!$A$2:$A$2000)-I894,"")</f>
        <v/>
      </c>
    </row>
    <row r="895" customFormat="false" ht="15" hidden="false" customHeight="false" outlineLevel="0" collapsed="false">
      <c r="A895" s="10" t="s">
        <v>84</v>
      </c>
      <c r="B895" s="10" t="s">
        <v>312</v>
      </c>
      <c r="C895" s="10" t="s">
        <v>271</v>
      </c>
      <c r="D895" s="10" t="s">
        <v>272</v>
      </c>
      <c r="E895" s="10"/>
      <c r="F895" s="10"/>
      <c r="G895" s="10"/>
      <c r="H895" s="10" t="s">
        <v>313</v>
      </c>
      <c r="I895" s="10" t="n">
        <f aca="false">COUNTA(instrument_relatietype!N$2:N$2000)</f>
        <v>0</v>
      </c>
      <c r="J895" s="10" t="str">
        <f aca="false">IF(D895="ja",COUNTA(instrument_relatietype!$A$2:$A$2000)-I895,"")</f>
        <v/>
      </c>
    </row>
    <row r="896" customFormat="false" ht="15" hidden="false" customHeight="false" outlineLevel="0" collapsed="false">
      <c r="A896" s="9" t="s">
        <v>85</v>
      </c>
      <c r="B896" s="9" t="s">
        <v>659</v>
      </c>
      <c r="C896" s="9" t="s">
        <v>257</v>
      </c>
      <c r="D896" s="9" t="s">
        <v>258</v>
      </c>
      <c r="E896" s="9" t="s">
        <v>259</v>
      </c>
      <c r="F896" s="9"/>
      <c r="G896" s="9"/>
      <c r="H896" s="9"/>
      <c r="I896" s="9" t="n">
        <f aca="false">COUNTA(kennisproduct!A$2:A$2000)</f>
        <v>6</v>
      </c>
      <c r="J896" s="9" t="n">
        <f aca="false">IF(D896="ja",COUNTA(kennisproduct!$A$2:$A$2000)-I896,"")</f>
        <v>0</v>
      </c>
    </row>
    <row r="897" customFormat="false" ht="15" hidden="false" customHeight="false" outlineLevel="0" collapsed="false">
      <c r="A897" s="9" t="s">
        <v>85</v>
      </c>
      <c r="B897" s="9" t="s">
        <v>660</v>
      </c>
      <c r="C897" s="9" t="s">
        <v>262</v>
      </c>
      <c r="D897" s="9" t="s">
        <v>258</v>
      </c>
      <c r="E897" s="9"/>
      <c r="F897" s="9"/>
      <c r="G897" s="9"/>
      <c r="H897" s="9"/>
      <c r="I897" s="9" t="n">
        <f aca="false">COUNTA(kennisproduct!B$2:B$2000)</f>
        <v>6</v>
      </c>
      <c r="J897" s="9" t="n">
        <f aca="false">IF(D897="ja",COUNTA(kennisproduct!$A$2:$A$2000)-I897,"")</f>
        <v>0</v>
      </c>
    </row>
    <row r="898" customFormat="false" ht="15" hidden="false" customHeight="false" outlineLevel="0" collapsed="false">
      <c r="A898" s="9" t="s">
        <v>85</v>
      </c>
      <c r="B898" s="9" t="s">
        <v>264</v>
      </c>
      <c r="C898" s="9" t="s">
        <v>473</v>
      </c>
      <c r="D898" s="9" t="s">
        <v>258</v>
      </c>
      <c r="E898" s="9"/>
      <c r="F898" s="9"/>
      <c r="G898" s="9"/>
      <c r="H898" s="9"/>
      <c r="I898" s="9" t="n">
        <f aca="false">COUNTA(kennisproduct!C$2:C$2000)</f>
        <v>6</v>
      </c>
      <c r="J898" s="9" t="n">
        <f aca="false">IF(D898="ja",COUNTA(kennisproduct!$A$2:$A$2000)-I898,"")</f>
        <v>0</v>
      </c>
    </row>
    <row r="899" customFormat="false" ht="15" hidden="false" customHeight="false" outlineLevel="0" collapsed="false">
      <c r="A899" s="9" t="s">
        <v>85</v>
      </c>
      <c r="B899" s="9" t="s">
        <v>440</v>
      </c>
      <c r="C899" s="9" t="s">
        <v>283</v>
      </c>
      <c r="D899" s="9" t="s">
        <v>258</v>
      </c>
      <c r="E899" s="9"/>
      <c r="F899" s="9"/>
      <c r="G899" s="9" t="s">
        <v>433</v>
      </c>
      <c r="H899" s="9"/>
      <c r="I899" s="9" t="n">
        <f aca="false">COUNTA(kennisproduct!D$2:D$2000)</f>
        <v>6</v>
      </c>
      <c r="J899" s="9" t="n">
        <f aca="false">IF(D899="ja",COUNTA(kennisproduct!$A$2:$A$2000)-I899,"")</f>
        <v>0</v>
      </c>
    </row>
    <row r="900" customFormat="false" ht="15" hidden="false" customHeight="false" outlineLevel="0" collapsed="false">
      <c r="A900" s="9" t="s">
        <v>85</v>
      </c>
      <c r="B900" s="9" t="s">
        <v>661</v>
      </c>
      <c r="C900" s="9" t="s">
        <v>265</v>
      </c>
      <c r="D900" s="9" t="s">
        <v>272</v>
      </c>
      <c r="E900" s="9"/>
      <c r="F900" s="9"/>
      <c r="G900" s="9"/>
      <c r="H900" s="9"/>
      <c r="I900" s="9" t="n">
        <f aca="false">COUNTA(kennisproduct!E$2:E$2000)</f>
        <v>6</v>
      </c>
      <c r="J900" s="9" t="str">
        <f aca="false">IF(D900="ja",COUNTA(kennisproduct!$A$2:$A$2000)-I900,"")</f>
        <v/>
      </c>
    </row>
    <row r="901" customFormat="false" ht="15" hidden="false" customHeight="false" outlineLevel="0" collapsed="false">
      <c r="A901" s="9" t="s">
        <v>85</v>
      </c>
      <c r="B901" s="9" t="s">
        <v>522</v>
      </c>
      <c r="C901" s="9" t="s">
        <v>323</v>
      </c>
      <c r="D901" s="9" t="s">
        <v>272</v>
      </c>
      <c r="E901" s="9" t="s">
        <v>324</v>
      </c>
      <c r="F901" s="9" t="s">
        <v>532</v>
      </c>
      <c r="G901" s="9"/>
      <c r="H901" s="9"/>
      <c r="I901" s="9" t="n">
        <f aca="false">COUNTA(kennisproduct!F$2:F$2000)</f>
        <v>6</v>
      </c>
      <c r="J901" s="9" t="str">
        <f aca="false">IF(D901="ja",COUNTA(kennisproduct!$A$2:$A$2000)-I901,"")</f>
        <v/>
      </c>
    </row>
    <row r="902" customFormat="false" ht="15" hidden="false" customHeight="false" outlineLevel="0" collapsed="false">
      <c r="A902" s="9" t="s">
        <v>85</v>
      </c>
      <c r="B902" s="9" t="s">
        <v>319</v>
      </c>
      <c r="C902" s="9" t="s">
        <v>271</v>
      </c>
      <c r="D902" s="9" t="s">
        <v>272</v>
      </c>
      <c r="E902" s="9"/>
      <c r="F902" s="9"/>
      <c r="G902" s="9"/>
      <c r="H902" s="9"/>
      <c r="I902" s="9" t="n">
        <f aca="false">COUNTA(kennisproduct!G$2:G$2000)</f>
        <v>6</v>
      </c>
      <c r="J902" s="9" t="str">
        <f aca="false">IF(D902="ja",COUNTA(kennisproduct!$A$2:$A$2000)-I902,"")</f>
        <v/>
      </c>
    </row>
    <row r="903" customFormat="false" ht="15" hidden="false" customHeight="false" outlineLevel="0" collapsed="false">
      <c r="A903" s="9" t="s">
        <v>85</v>
      </c>
      <c r="B903" s="9" t="s">
        <v>540</v>
      </c>
      <c r="C903" s="9" t="s">
        <v>271</v>
      </c>
      <c r="D903" s="9" t="s">
        <v>272</v>
      </c>
      <c r="E903" s="9"/>
      <c r="F903" s="9"/>
      <c r="G903" s="9"/>
      <c r="H903" s="9"/>
      <c r="I903" s="9" t="n">
        <f aca="false">COUNTA(kennisproduct!H$2:H$2000)</f>
        <v>6</v>
      </c>
      <c r="J903" s="9" t="str">
        <f aca="false">IF(D903="ja",COUNTA(kennisproduct!$A$2:$A$2000)-I903,"")</f>
        <v/>
      </c>
    </row>
    <row r="904" customFormat="false" ht="15" hidden="false" customHeight="false" outlineLevel="0" collapsed="false">
      <c r="A904" s="9" t="s">
        <v>85</v>
      </c>
      <c r="B904" s="9" t="s">
        <v>662</v>
      </c>
      <c r="C904" s="9" t="s">
        <v>279</v>
      </c>
      <c r="D904" s="9" t="s">
        <v>258</v>
      </c>
      <c r="E904" s="9"/>
      <c r="F904" s="9"/>
      <c r="G904" s="9" t="s">
        <v>433</v>
      </c>
      <c r="H904" s="9"/>
      <c r="I904" s="9" t="n">
        <f aca="false">COUNTA(kennisproduct!I$2:I$2000)</f>
        <v>6</v>
      </c>
      <c r="J904" s="9" t="n">
        <f aca="false">IF(D904="ja",COUNTA(kennisproduct!$A$2:$A$2000)-I904,"")</f>
        <v>0</v>
      </c>
    </row>
    <row r="905" customFormat="false" ht="23.85" hidden="false" customHeight="false" outlineLevel="0" collapsed="false">
      <c r="A905" s="9" t="s">
        <v>85</v>
      </c>
      <c r="B905" s="9" t="s">
        <v>663</v>
      </c>
      <c r="C905" s="9" t="s">
        <v>279</v>
      </c>
      <c r="D905" s="9" t="s">
        <v>258</v>
      </c>
      <c r="E905" s="9"/>
      <c r="F905" s="9"/>
      <c r="G905" s="9" t="s">
        <v>664</v>
      </c>
      <c r="H905" s="9"/>
      <c r="I905" s="9" t="n">
        <f aca="false">COUNTA(kennisproduct!J$2:J$2000)</f>
        <v>6</v>
      </c>
      <c r="J905" s="9" t="n">
        <f aca="false">IF(D905="ja",COUNTA(kennisproduct!$A$2:$A$2000)-I905,"")</f>
        <v>0</v>
      </c>
    </row>
    <row r="906" customFormat="false" ht="15" hidden="false" customHeight="false" outlineLevel="0" collapsed="false">
      <c r="A906" s="9" t="s">
        <v>85</v>
      </c>
      <c r="B906" s="9" t="s">
        <v>665</v>
      </c>
      <c r="C906" s="9" t="s">
        <v>308</v>
      </c>
      <c r="D906" s="9" t="s">
        <v>272</v>
      </c>
      <c r="E906" s="9"/>
      <c r="F906" s="9"/>
      <c r="G906" s="9"/>
      <c r="H906" s="9"/>
      <c r="I906" s="9" t="n">
        <f aca="false">COUNTA(kennisproduct!K$2:K$2000)</f>
        <v>3</v>
      </c>
      <c r="J906" s="9" t="str">
        <f aca="false">IF(D906="ja",COUNTA(kennisproduct!$A$2:$A$2000)-I906,"")</f>
        <v/>
      </c>
    </row>
    <row r="907" customFormat="false" ht="15" hidden="false" customHeight="false" outlineLevel="0" collapsed="false">
      <c r="A907" s="10" t="s">
        <v>85</v>
      </c>
      <c r="B907" s="10" t="s">
        <v>292</v>
      </c>
      <c r="C907" s="10" t="s">
        <v>293</v>
      </c>
      <c r="D907" s="10" t="s">
        <v>258</v>
      </c>
      <c r="E907" s="10"/>
      <c r="F907" s="10"/>
      <c r="G907" s="10"/>
      <c r="H907" s="10" t="s">
        <v>294</v>
      </c>
      <c r="I907" s="10" t="n">
        <f aca="false">COUNTA(kennisproduct!L$2:L$2000)</f>
        <v>6</v>
      </c>
      <c r="J907" s="10" t="n">
        <f aca="false">IF(D907="ja",COUNTA(kennisproduct!$A$2:$A$2000)-I907,"")</f>
        <v>0</v>
      </c>
    </row>
    <row r="908" customFormat="false" ht="15" hidden="false" customHeight="false" outlineLevel="0" collapsed="false">
      <c r="A908" s="10" t="s">
        <v>85</v>
      </c>
      <c r="B908" s="10" t="s">
        <v>295</v>
      </c>
      <c r="C908" s="10" t="s">
        <v>296</v>
      </c>
      <c r="D908" s="10" t="s">
        <v>258</v>
      </c>
      <c r="E908" s="10"/>
      <c r="F908" s="10"/>
      <c r="G908" s="10"/>
      <c r="H908" s="10" t="s">
        <v>297</v>
      </c>
      <c r="I908" s="10" t="n">
        <f aca="false">COUNTA(kennisproduct!M$2:M$2000)</f>
        <v>6</v>
      </c>
      <c r="J908" s="10" t="n">
        <f aca="false">IF(D908="ja",COUNTA(kennisproduct!$A$2:$A$2000)-I908,"")</f>
        <v>0</v>
      </c>
    </row>
    <row r="909" customFormat="false" ht="15" hidden="false" customHeight="false" outlineLevel="0" collapsed="false">
      <c r="A909" s="10" t="s">
        <v>85</v>
      </c>
      <c r="B909" s="10" t="s">
        <v>298</v>
      </c>
      <c r="C909" s="10" t="s">
        <v>293</v>
      </c>
      <c r="D909" s="10" t="s">
        <v>258</v>
      </c>
      <c r="E909" s="10"/>
      <c r="F909" s="10"/>
      <c r="G909" s="10"/>
      <c r="H909" s="10" t="s">
        <v>299</v>
      </c>
      <c r="I909" s="10" t="n">
        <f aca="false">COUNTA(kennisproduct!N$2:N$2000)</f>
        <v>6</v>
      </c>
      <c r="J909" s="10" t="n">
        <f aca="false">IF(D909="ja",COUNTA(kennisproduct!$A$2:$A$2000)-I909,"")</f>
        <v>0</v>
      </c>
    </row>
    <row r="910" customFormat="false" ht="15" hidden="false" customHeight="false" outlineLevel="0" collapsed="false">
      <c r="A910" s="10" t="s">
        <v>85</v>
      </c>
      <c r="B910" s="10" t="s">
        <v>300</v>
      </c>
      <c r="C910" s="10" t="s">
        <v>296</v>
      </c>
      <c r="D910" s="10" t="s">
        <v>258</v>
      </c>
      <c r="E910" s="10"/>
      <c r="F910" s="10"/>
      <c r="G910" s="10"/>
      <c r="H910" s="10" t="s">
        <v>301</v>
      </c>
      <c r="I910" s="10" t="n">
        <f aca="false">COUNTA(kennisproduct!O$2:O$2000)</f>
        <v>6</v>
      </c>
      <c r="J910" s="10" t="n">
        <f aca="false">IF(D910="ja",COUNTA(kennisproduct!$A$2:$A$2000)-I910,"")</f>
        <v>0</v>
      </c>
    </row>
    <row r="911" customFormat="false" ht="15" hidden="false" customHeight="false" outlineLevel="0" collapsed="false">
      <c r="A911" s="10" t="s">
        <v>85</v>
      </c>
      <c r="B911" s="10" t="s">
        <v>302</v>
      </c>
      <c r="C911" s="10" t="s">
        <v>279</v>
      </c>
      <c r="D911" s="10" t="s">
        <v>258</v>
      </c>
      <c r="E911" s="10"/>
      <c r="F911" s="10"/>
      <c r="G911" s="10" t="s">
        <v>303</v>
      </c>
      <c r="H911" s="10" t="s">
        <v>304</v>
      </c>
      <c r="I911" s="10" t="n">
        <f aca="false">COUNTA(kennisproduct!P$2:P$2000)</f>
        <v>6</v>
      </c>
      <c r="J911" s="10" t="n">
        <f aca="false">IF(D911="ja",COUNTA(kennisproduct!$A$2:$A$2000)-I911,"")</f>
        <v>0</v>
      </c>
    </row>
    <row r="912" customFormat="false" ht="15" hidden="false" customHeight="false" outlineLevel="0" collapsed="false">
      <c r="A912" s="10" t="s">
        <v>85</v>
      </c>
      <c r="B912" s="10" t="s">
        <v>305</v>
      </c>
      <c r="C912" s="10" t="s">
        <v>286</v>
      </c>
      <c r="D912" s="10" t="s">
        <v>258</v>
      </c>
      <c r="E912" s="10"/>
      <c r="F912" s="10"/>
      <c r="G912" s="10"/>
      <c r="H912" s="10" t="s">
        <v>306</v>
      </c>
      <c r="I912" s="10" t="n">
        <f aca="false">COUNTA(kennisproduct!Q$2:Q$2000)</f>
        <v>6</v>
      </c>
      <c r="J912" s="10" t="n">
        <f aca="false">IF(D912="ja",COUNTA(kennisproduct!$A$2:$A$2000)-I912,"")</f>
        <v>0</v>
      </c>
    </row>
    <row r="913" customFormat="false" ht="15" hidden="false" customHeight="false" outlineLevel="0" collapsed="false">
      <c r="A913" s="10" t="s">
        <v>85</v>
      </c>
      <c r="B913" s="10" t="s">
        <v>307</v>
      </c>
      <c r="C913" s="10" t="s">
        <v>308</v>
      </c>
      <c r="D913" s="10" t="s">
        <v>272</v>
      </c>
      <c r="E913" s="10"/>
      <c r="F913" s="10"/>
      <c r="G913" s="10"/>
      <c r="H913" s="10" t="s">
        <v>309</v>
      </c>
      <c r="I913" s="10" t="n">
        <f aca="false">COUNTA(kennisproduct!R$2:R$2000)</f>
        <v>0</v>
      </c>
      <c r="J913" s="10" t="str">
        <f aca="false">IF(D913="ja",COUNTA(kennisproduct!$A$2:$A$2000)-I913,"")</f>
        <v/>
      </c>
    </row>
    <row r="914" customFormat="false" ht="15" hidden="false" customHeight="false" outlineLevel="0" collapsed="false">
      <c r="A914" s="10" t="s">
        <v>85</v>
      </c>
      <c r="B914" s="10" t="s">
        <v>310</v>
      </c>
      <c r="C914" s="10" t="s">
        <v>308</v>
      </c>
      <c r="D914" s="10" t="s">
        <v>272</v>
      </c>
      <c r="E914" s="10"/>
      <c r="F914" s="10"/>
      <c r="G914" s="10"/>
      <c r="H914" s="10" t="s">
        <v>311</v>
      </c>
      <c r="I914" s="10" t="n">
        <f aca="false">COUNTA(kennisproduct!S$2:S$2000)</f>
        <v>0</v>
      </c>
      <c r="J914" s="10" t="str">
        <f aca="false">IF(D914="ja",COUNTA(kennisproduct!$A$2:$A$2000)-I914,"")</f>
        <v/>
      </c>
    </row>
    <row r="915" customFormat="false" ht="15" hidden="false" customHeight="false" outlineLevel="0" collapsed="false">
      <c r="A915" s="10" t="s">
        <v>85</v>
      </c>
      <c r="B915" s="10" t="s">
        <v>312</v>
      </c>
      <c r="C915" s="10" t="s">
        <v>271</v>
      </c>
      <c r="D915" s="10" t="s">
        <v>272</v>
      </c>
      <c r="E915" s="10"/>
      <c r="F915" s="10"/>
      <c r="G915" s="10"/>
      <c r="H915" s="10" t="s">
        <v>313</v>
      </c>
      <c r="I915" s="10" t="n">
        <f aca="false">COUNTA(kennisproduct!T$2:T$2000)</f>
        <v>6</v>
      </c>
      <c r="J915" s="10" t="str">
        <f aca="false">IF(D915="ja",COUNTA(kennisproduct!$A$2:$A$2000)-I915,"")</f>
        <v/>
      </c>
    </row>
    <row r="916" customFormat="false" ht="15" hidden="false" customHeight="false" outlineLevel="0" collapsed="false">
      <c r="A916" s="9" t="s">
        <v>86</v>
      </c>
      <c r="B916" s="9" t="s">
        <v>666</v>
      </c>
      <c r="C916" s="9" t="s">
        <v>257</v>
      </c>
      <c r="D916" s="9" t="s">
        <v>258</v>
      </c>
      <c r="E916" s="9" t="s">
        <v>259</v>
      </c>
      <c r="F916" s="9"/>
      <c r="G916" s="9"/>
      <c r="H916" s="9"/>
      <c r="I916" s="9" t="n">
        <f aca="false">COUNTA(kennisproduct_instrument!A$2:A$2000)</f>
        <v>12</v>
      </c>
      <c r="J916" s="9" t="n">
        <f aca="false">IF(D916="ja",COUNTA(kennisproduct_instrument!$A$2:$A$2000)-I916,"")</f>
        <v>0</v>
      </c>
    </row>
    <row r="917" customFormat="false" ht="15" hidden="false" customHeight="false" outlineLevel="0" collapsed="false">
      <c r="A917" s="9" t="s">
        <v>86</v>
      </c>
      <c r="B917" s="9" t="s">
        <v>659</v>
      </c>
      <c r="C917" s="9" t="s">
        <v>323</v>
      </c>
      <c r="D917" s="9" t="s">
        <v>258</v>
      </c>
      <c r="E917" s="9" t="s">
        <v>324</v>
      </c>
      <c r="F917" s="9" t="s">
        <v>667</v>
      </c>
      <c r="G917" s="9"/>
      <c r="H917" s="9"/>
      <c r="I917" s="9" t="n">
        <f aca="false">COUNTA(kennisproduct_instrument!B$2:B$2000)</f>
        <v>12</v>
      </c>
      <c r="J917" s="9" t="n">
        <f aca="false">IF(D917="ja",COUNTA(kennisproduct_instrument!$A$2:$A$2000)-I917,"")</f>
        <v>0</v>
      </c>
    </row>
    <row r="918" customFormat="false" ht="15" hidden="false" customHeight="false" outlineLevel="0" collapsed="false">
      <c r="A918" s="9" t="s">
        <v>86</v>
      </c>
      <c r="B918" s="9" t="s">
        <v>469</v>
      </c>
      <c r="C918" s="9" t="s">
        <v>323</v>
      </c>
      <c r="D918" s="9" t="s">
        <v>258</v>
      </c>
      <c r="E918" s="9" t="s">
        <v>324</v>
      </c>
      <c r="F918" s="9" t="s">
        <v>443</v>
      </c>
      <c r="G918" s="9"/>
      <c r="H918" s="9"/>
      <c r="I918" s="9" t="n">
        <f aca="false">COUNTA(kennisproduct_instrument!C$2:C$2000)</f>
        <v>12</v>
      </c>
      <c r="J918" s="9" t="n">
        <f aca="false">IF(D918="ja",COUNTA(kennisproduct_instrument!$A$2:$A$2000)-I918,"")</f>
        <v>0</v>
      </c>
    </row>
    <row r="919" customFormat="false" ht="15" hidden="false" customHeight="false" outlineLevel="0" collapsed="false">
      <c r="A919" s="9" t="s">
        <v>86</v>
      </c>
      <c r="B919" s="9" t="s">
        <v>349</v>
      </c>
      <c r="C919" s="9" t="s">
        <v>453</v>
      </c>
      <c r="D919" s="9" t="s">
        <v>258</v>
      </c>
      <c r="E919" s="9"/>
      <c r="F919" s="9"/>
      <c r="G919" s="9" t="s">
        <v>433</v>
      </c>
      <c r="H919" s="9"/>
      <c r="I919" s="9" t="n">
        <f aca="false">COUNTA(kennisproduct_instrument!D$2:D$2000)</f>
        <v>12</v>
      </c>
      <c r="J919" s="9" t="n">
        <f aca="false">IF(D919="ja",COUNTA(kennisproduct_instrument!$A$2:$A$2000)-I919,"")</f>
        <v>0</v>
      </c>
    </row>
    <row r="920" customFormat="false" ht="15" hidden="false" customHeight="false" outlineLevel="0" collapsed="false">
      <c r="A920" s="9" t="s">
        <v>86</v>
      </c>
      <c r="B920" s="9" t="s">
        <v>410</v>
      </c>
      <c r="C920" s="9" t="s">
        <v>271</v>
      </c>
      <c r="D920" s="9" t="s">
        <v>272</v>
      </c>
      <c r="E920" s="9"/>
      <c r="F920" s="9"/>
      <c r="G920" s="9"/>
      <c r="H920" s="9"/>
      <c r="I920" s="9" t="n">
        <f aca="false">COUNTA(kennisproduct_instrument!E$2:E$2000)</f>
        <v>0</v>
      </c>
      <c r="J920" s="9" t="str">
        <f aca="false">IF(D920="ja",COUNTA(kennisproduct_instrument!$A$2:$A$2000)-I920,"")</f>
        <v/>
      </c>
    </row>
    <row r="921" customFormat="false" ht="15" hidden="false" customHeight="false" outlineLevel="0" collapsed="false">
      <c r="A921" s="10" t="s">
        <v>86</v>
      </c>
      <c r="B921" s="10" t="s">
        <v>292</v>
      </c>
      <c r="C921" s="10" t="s">
        <v>293</v>
      </c>
      <c r="D921" s="10" t="s">
        <v>258</v>
      </c>
      <c r="E921" s="10"/>
      <c r="F921" s="10"/>
      <c r="G921" s="10"/>
      <c r="H921" s="10" t="s">
        <v>294</v>
      </c>
      <c r="I921" s="10" t="n">
        <f aca="false">COUNTA(kennisproduct_instrument!F$2:F$2000)</f>
        <v>12</v>
      </c>
      <c r="J921" s="10" t="n">
        <f aca="false">IF(D921="ja",COUNTA(kennisproduct_instrument!$A$2:$A$2000)-I921,"")</f>
        <v>0</v>
      </c>
    </row>
    <row r="922" customFormat="false" ht="15" hidden="false" customHeight="false" outlineLevel="0" collapsed="false">
      <c r="A922" s="10" t="s">
        <v>86</v>
      </c>
      <c r="B922" s="10" t="s">
        <v>295</v>
      </c>
      <c r="C922" s="10" t="s">
        <v>296</v>
      </c>
      <c r="D922" s="10" t="s">
        <v>258</v>
      </c>
      <c r="E922" s="10"/>
      <c r="F922" s="10"/>
      <c r="G922" s="10"/>
      <c r="H922" s="10" t="s">
        <v>297</v>
      </c>
      <c r="I922" s="10" t="n">
        <f aca="false">COUNTA(kennisproduct_instrument!G$2:G$2000)</f>
        <v>12</v>
      </c>
      <c r="J922" s="10" t="n">
        <f aca="false">IF(D922="ja",COUNTA(kennisproduct_instrument!$A$2:$A$2000)-I922,"")</f>
        <v>0</v>
      </c>
    </row>
    <row r="923" customFormat="false" ht="15" hidden="false" customHeight="false" outlineLevel="0" collapsed="false">
      <c r="A923" s="10" t="s">
        <v>86</v>
      </c>
      <c r="B923" s="10" t="s">
        <v>298</v>
      </c>
      <c r="C923" s="10" t="s">
        <v>293</v>
      </c>
      <c r="D923" s="10" t="s">
        <v>258</v>
      </c>
      <c r="E923" s="10"/>
      <c r="F923" s="10"/>
      <c r="G923" s="10"/>
      <c r="H923" s="10" t="s">
        <v>299</v>
      </c>
      <c r="I923" s="10" t="n">
        <f aca="false">COUNTA(kennisproduct_instrument!H$2:H$2000)</f>
        <v>12</v>
      </c>
      <c r="J923" s="10" t="n">
        <f aca="false">IF(D923="ja",COUNTA(kennisproduct_instrument!$A$2:$A$2000)-I923,"")</f>
        <v>0</v>
      </c>
    </row>
    <row r="924" customFormat="false" ht="15" hidden="false" customHeight="false" outlineLevel="0" collapsed="false">
      <c r="A924" s="10" t="s">
        <v>86</v>
      </c>
      <c r="B924" s="10" t="s">
        <v>300</v>
      </c>
      <c r="C924" s="10" t="s">
        <v>296</v>
      </c>
      <c r="D924" s="10" t="s">
        <v>258</v>
      </c>
      <c r="E924" s="10"/>
      <c r="F924" s="10"/>
      <c r="G924" s="10"/>
      <c r="H924" s="10" t="s">
        <v>301</v>
      </c>
      <c r="I924" s="10" t="n">
        <f aca="false">COUNTA(kennisproduct_instrument!I$2:I$2000)</f>
        <v>12</v>
      </c>
      <c r="J924" s="10" t="n">
        <f aca="false">IF(D924="ja",COUNTA(kennisproduct_instrument!$A$2:$A$2000)-I924,"")</f>
        <v>0</v>
      </c>
    </row>
    <row r="925" customFormat="false" ht="15" hidden="false" customHeight="false" outlineLevel="0" collapsed="false">
      <c r="A925" s="10" t="s">
        <v>86</v>
      </c>
      <c r="B925" s="10" t="s">
        <v>302</v>
      </c>
      <c r="C925" s="10" t="s">
        <v>279</v>
      </c>
      <c r="D925" s="10" t="s">
        <v>258</v>
      </c>
      <c r="E925" s="10"/>
      <c r="F925" s="10"/>
      <c r="G925" s="10" t="s">
        <v>303</v>
      </c>
      <c r="H925" s="10" t="s">
        <v>304</v>
      </c>
      <c r="I925" s="10" t="n">
        <f aca="false">COUNTA(kennisproduct_instrument!J$2:J$2000)</f>
        <v>12</v>
      </c>
      <c r="J925" s="10" t="n">
        <f aca="false">IF(D925="ja",COUNTA(kennisproduct_instrument!$A$2:$A$2000)-I925,"")</f>
        <v>0</v>
      </c>
    </row>
    <row r="926" customFormat="false" ht="15" hidden="false" customHeight="false" outlineLevel="0" collapsed="false">
      <c r="A926" s="10" t="s">
        <v>86</v>
      </c>
      <c r="B926" s="10" t="s">
        <v>305</v>
      </c>
      <c r="C926" s="10" t="s">
        <v>286</v>
      </c>
      <c r="D926" s="10" t="s">
        <v>258</v>
      </c>
      <c r="E926" s="10"/>
      <c r="F926" s="10"/>
      <c r="G926" s="10"/>
      <c r="H926" s="10" t="s">
        <v>306</v>
      </c>
      <c r="I926" s="10" t="n">
        <f aca="false">COUNTA(kennisproduct_instrument!K$2:K$2000)</f>
        <v>12</v>
      </c>
      <c r="J926" s="10" t="n">
        <f aca="false">IF(D926="ja",COUNTA(kennisproduct_instrument!$A$2:$A$2000)-I926,"")</f>
        <v>0</v>
      </c>
    </row>
    <row r="927" customFormat="false" ht="15" hidden="false" customHeight="false" outlineLevel="0" collapsed="false">
      <c r="A927" s="10" t="s">
        <v>86</v>
      </c>
      <c r="B927" s="10" t="s">
        <v>307</v>
      </c>
      <c r="C927" s="10" t="s">
        <v>308</v>
      </c>
      <c r="D927" s="10" t="s">
        <v>272</v>
      </c>
      <c r="E927" s="10"/>
      <c r="F927" s="10"/>
      <c r="G927" s="10"/>
      <c r="H927" s="10" t="s">
        <v>309</v>
      </c>
      <c r="I927" s="10" t="n">
        <f aca="false">COUNTA(kennisproduct_instrument!L$2:L$2000)</f>
        <v>0</v>
      </c>
      <c r="J927" s="10" t="str">
        <f aca="false">IF(D927="ja",COUNTA(kennisproduct_instrument!$A$2:$A$2000)-I927,"")</f>
        <v/>
      </c>
    </row>
    <row r="928" customFormat="false" ht="15" hidden="false" customHeight="false" outlineLevel="0" collapsed="false">
      <c r="A928" s="10" t="s">
        <v>86</v>
      </c>
      <c r="B928" s="10" t="s">
        <v>310</v>
      </c>
      <c r="C928" s="10" t="s">
        <v>308</v>
      </c>
      <c r="D928" s="10" t="s">
        <v>272</v>
      </c>
      <c r="E928" s="10"/>
      <c r="F928" s="10"/>
      <c r="G928" s="10"/>
      <c r="H928" s="10" t="s">
        <v>311</v>
      </c>
      <c r="I928" s="10" t="n">
        <f aca="false">COUNTA(kennisproduct_instrument!M$2:M$2000)</f>
        <v>0</v>
      </c>
      <c r="J928" s="10" t="str">
        <f aca="false">IF(D928="ja",COUNTA(kennisproduct_instrument!$A$2:$A$2000)-I928,"")</f>
        <v/>
      </c>
    </row>
    <row r="929" customFormat="false" ht="15" hidden="false" customHeight="false" outlineLevel="0" collapsed="false">
      <c r="A929" s="10" t="s">
        <v>86</v>
      </c>
      <c r="B929" s="10" t="s">
        <v>312</v>
      </c>
      <c r="C929" s="10" t="s">
        <v>271</v>
      </c>
      <c r="D929" s="10" t="s">
        <v>272</v>
      </c>
      <c r="E929" s="10"/>
      <c r="F929" s="10"/>
      <c r="G929" s="10"/>
      <c r="H929" s="10" t="s">
        <v>313</v>
      </c>
      <c r="I929" s="10" t="n">
        <f aca="false">COUNTA(kennisproduct_instrument!N$2:N$2000)</f>
        <v>12</v>
      </c>
      <c r="J929" s="10" t="str">
        <f aca="false">IF(D929="ja",COUNTA(kennisproduct_instrument!$A$2:$A$2000)-I929,"")</f>
        <v/>
      </c>
    </row>
    <row r="930" customFormat="false" ht="15" hidden="false" customHeight="false" outlineLevel="0" collapsed="false">
      <c r="A930" s="9" t="s">
        <v>87</v>
      </c>
      <c r="B930" s="9" t="s">
        <v>668</v>
      </c>
      <c r="C930" s="9" t="s">
        <v>257</v>
      </c>
      <c r="D930" s="9" t="s">
        <v>258</v>
      </c>
      <c r="E930" s="9" t="s">
        <v>259</v>
      </c>
      <c r="F930" s="9"/>
      <c r="G930" s="9"/>
      <c r="H930" s="9"/>
      <c r="I930" s="9" t="n">
        <f aca="false">COUNTA(kennisproduct_beslismoment!A$2:A$2000)</f>
        <v>8</v>
      </c>
      <c r="J930" s="9" t="n">
        <f aca="false">IF(D930="ja",COUNTA(kennisproduct_beslismoment!$A$2:$A$2000)-I930,"")</f>
        <v>0</v>
      </c>
    </row>
    <row r="931" customFormat="false" ht="15" hidden="false" customHeight="false" outlineLevel="0" collapsed="false">
      <c r="A931" s="9" t="s">
        <v>87</v>
      </c>
      <c r="B931" s="9" t="s">
        <v>659</v>
      </c>
      <c r="C931" s="9" t="s">
        <v>323</v>
      </c>
      <c r="D931" s="9" t="s">
        <v>258</v>
      </c>
      <c r="E931" s="9" t="s">
        <v>324</v>
      </c>
      <c r="F931" s="9" t="s">
        <v>667</v>
      </c>
      <c r="G931" s="9"/>
      <c r="H931" s="9"/>
      <c r="I931" s="9" t="n">
        <f aca="false">COUNTA(kennisproduct_beslismoment!B$2:B$2000)</f>
        <v>8</v>
      </c>
      <c r="J931" s="9" t="n">
        <f aca="false">IF(D931="ja",COUNTA(kennisproduct_beslismoment!$A$2:$A$2000)-I931,"")</f>
        <v>0</v>
      </c>
    </row>
    <row r="932" customFormat="false" ht="23.85" hidden="false" customHeight="false" outlineLevel="0" collapsed="false">
      <c r="A932" s="9" t="s">
        <v>87</v>
      </c>
      <c r="B932" s="9" t="s">
        <v>353</v>
      </c>
      <c r="C932" s="9" t="s">
        <v>323</v>
      </c>
      <c r="D932" s="9" t="s">
        <v>258</v>
      </c>
      <c r="E932" s="9" t="s">
        <v>324</v>
      </c>
      <c r="F932" s="9" t="s">
        <v>460</v>
      </c>
      <c r="G932" s="9"/>
      <c r="H932" s="9"/>
      <c r="I932" s="9" t="n">
        <f aca="false">COUNTA(kennisproduct_beslismoment!C$2:C$2000)</f>
        <v>8</v>
      </c>
      <c r="J932" s="9" t="n">
        <f aca="false">IF(D932="ja",COUNTA(kennisproduct_beslismoment!$A$2:$A$2000)-I932,"")</f>
        <v>0</v>
      </c>
    </row>
    <row r="933" customFormat="false" ht="15" hidden="false" customHeight="false" outlineLevel="0" collapsed="false">
      <c r="A933" s="9" t="s">
        <v>87</v>
      </c>
      <c r="B933" s="9" t="s">
        <v>557</v>
      </c>
      <c r="C933" s="9" t="s">
        <v>262</v>
      </c>
      <c r="D933" s="9" t="s">
        <v>258</v>
      </c>
      <c r="E933" s="9"/>
      <c r="F933" s="9"/>
      <c r="G933" s="9" t="s">
        <v>433</v>
      </c>
      <c r="H933" s="9"/>
      <c r="I933" s="9" t="n">
        <f aca="false">COUNTA(kennisproduct_beslismoment!D$2:D$2000)</f>
        <v>8</v>
      </c>
      <c r="J933" s="9" t="n">
        <f aca="false">IF(D933="ja",COUNTA(kennisproduct_beslismoment!$A$2:$A$2000)-I933,"")</f>
        <v>0</v>
      </c>
    </row>
    <row r="934" customFormat="false" ht="15" hidden="false" customHeight="false" outlineLevel="0" collapsed="false">
      <c r="A934" s="9" t="s">
        <v>87</v>
      </c>
      <c r="B934" s="9" t="s">
        <v>410</v>
      </c>
      <c r="C934" s="9" t="s">
        <v>271</v>
      </c>
      <c r="D934" s="9" t="s">
        <v>272</v>
      </c>
      <c r="E934" s="9"/>
      <c r="F934" s="9"/>
      <c r="G934" s="9"/>
      <c r="H934" s="9"/>
      <c r="I934" s="9" t="n">
        <f aca="false">COUNTA(kennisproduct_beslismoment!E$2:E$2000)</f>
        <v>0</v>
      </c>
      <c r="J934" s="9" t="str">
        <f aca="false">IF(D934="ja",COUNTA(kennisproduct_beslismoment!$A$2:$A$2000)-I934,"")</f>
        <v/>
      </c>
    </row>
    <row r="935" customFormat="false" ht="15" hidden="false" customHeight="false" outlineLevel="0" collapsed="false">
      <c r="A935" s="10" t="s">
        <v>87</v>
      </c>
      <c r="B935" s="10" t="s">
        <v>292</v>
      </c>
      <c r="C935" s="10" t="s">
        <v>293</v>
      </c>
      <c r="D935" s="10" t="s">
        <v>258</v>
      </c>
      <c r="E935" s="10"/>
      <c r="F935" s="10"/>
      <c r="G935" s="10"/>
      <c r="H935" s="10" t="s">
        <v>294</v>
      </c>
      <c r="I935" s="10" t="n">
        <f aca="false">COUNTA(kennisproduct_beslismoment!F$2:F$2000)</f>
        <v>8</v>
      </c>
      <c r="J935" s="10" t="n">
        <f aca="false">IF(D935="ja",COUNTA(kennisproduct_beslismoment!$A$2:$A$2000)-I935,"")</f>
        <v>0</v>
      </c>
    </row>
    <row r="936" customFormat="false" ht="15" hidden="false" customHeight="false" outlineLevel="0" collapsed="false">
      <c r="A936" s="10" t="s">
        <v>87</v>
      </c>
      <c r="B936" s="10" t="s">
        <v>295</v>
      </c>
      <c r="C936" s="10" t="s">
        <v>296</v>
      </c>
      <c r="D936" s="10" t="s">
        <v>258</v>
      </c>
      <c r="E936" s="10"/>
      <c r="F936" s="10"/>
      <c r="G936" s="10"/>
      <c r="H936" s="10" t="s">
        <v>297</v>
      </c>
      <c r="I936" s="10" t="n">
        <f aca="false">COUNTA(kennisproduct_beslismoment!G$2:G$2000)</f>
        <v>8</v>
      </c>
      <c r="J936" s="10" t="n">
        <f aca="false">IF(D936="ja",COUNTA(kennisproduct_beslismoment!$A$2:$A$2000)-I936,"")</f>
        <v>0</v>
      </c>
    </row>
    <row r="937" customFormat="false" ht="15" hidden="false" customHeight="false" outlineLevel="0" collapsed="false">
      <c r="A937" s="10" t="s">
        <v>87</v>
      </c>
      <c r="B937" s="10" t="s">
        <v>298</v>
      </c>
      <c r="C937" s="10" t="s">
        <v>293</v>
      </c>
      <c r="D937" s="10" t="s">
        <v>258</v>
      </c>
      <c r="E937" s="10"/>
      <c r="F937" s="10"/>
      <c r="G937" s="10"/>
      <c r="H937" s="10" t="s">
        <v>299</v>
      </c>
      <c r="I937" s="10" t="n">
        <f aca="false">COUNTA(kennisproduct_beslismoment!H$2:H$2000)</f>
        <v>8</v>
      </c>
      <c r="J937" s="10" t="n">
        <f aca="false">IF(D937="ja",COUNTA(kennisproduct_beslismoment!$A$2:$A$2000)-I937,"")</f>
        <v>0</v>
      </c>
    </row>
    <row r="938" customFormat="false" ht="15" hidden="false" customHeight="false" outlineLevel="0" collapsed="false">
      <c r="A938" s="10" t="s">
        <v>87</v>
      </c>
      <c r="B938" s="10" t="s">
        <v>300</v>
      </c>
      <c r="C938" s="10" t="s">
        <v>296</v>
      </c>
      <c r="D938" s="10" t="s">
        <v>258</v>
      </c>
      <c r="E938" s="10"/>
      <c r="F938" s="10"/>
      <c r="G938" s="10"/>
      <c r="H938" s="10" t="s">
        <v>301</v>
      </c>
      <c r="I938" s="10" t="n">
        <f aca="false">COUNTA(kennisproduct_beslismoment!I$2:I$2000)</f>
        <v>8</v>
      </c>
      <c r="J938" s="10" t="n">
        <f aca="false">IF(D938="ja",COUNTA(kennisproduct_beslismoment!$A$2:$A$2000)-I938,"")</f>
        <v>0</v>
      </c>
    </row>
    <row r="939" customFormat="false" ht="15" hidden="false" customHeight="false" outlineLevel="0" collapsed="false">
      <c r="A939" s="10" t="s">
        <v>87</v>
      </c>
      <c r="B939" s="10" t="s">
        <v>302</v>
      </c>
      <c r="C939" s="10" t="s">
        <v>279</v>
      </c>
      <c r="D939" s="10" t="s">
        <v>258</v>
      </c>
      <c r="E939" s="10"/>
      <c r="F939" s="10"/>
      <c r="G939" s="10" t="s">
        <v>303</v>
      </c>
      <c r="H939" s="10" t="s">
        <v>304</v>
      </c>
      <c r="I939" s="10" t="n">
        <f aca="false">COUNTA(kennisproduct_beslismoment!J$2:J$2000)</f>
        <v>8</v>
      </c>
      <c r="J939" s="10" t="n">
        <f aca="false">IF(D939="ja",COUNTA(kennisproduct_beslismoment!$A$2:$A$2000)-I939,"")</f>
        <v>0</v>
      </c>
    </row>
    <row r="940" customFormat="false" ht="15" hidden="false" customHeight="false" outlineLevel="0" collapsed="false">
      <c r="A940" s="10" t="s">
        <v>87</v>
      </c>
      <c r="B940" s="10" t="s">
        <v>305</v>
      </c>
      <c r="C940" s="10" t="s">
        <v>286</v>
      </c>
      <c r="D940" s="10" t="s">
        <v>258</v>
      </c>
      <c r="E940" s="10"/>
      <c r="F940" s="10"/>
      <c r="G940" s="10"/>
      <c r="H940" s="10" t="s">
        <v>306</v>
      </c>
      <c r="I940" s="10" t="n">
        <f aca="false">COUNTA(kennisproduct_beslismoment!K$2:K$2000)</f>
        <v>8</v>
      </c>
      <c r="J940" s="10" t="n">
        <f aca="false">IF(D940="ja",COUNTA(kennisproduct_beslismoment!$A$2:$A$2000)-I940,"")</f>
        <v>0</v>
      </c>
    </row>
    <row r="941" customFormat="false" ht="15" hidden="false" customHeight="false" outlineLevel="0" collapsed="false">
      <c r="A941" s="10" t="s">
        <v>87</v>
      </c>
      <c r="B941" s="10" t="s">
        <v>307</v>
      </c>
      <c r="C941" s="10" t="s">
        <v>308</v>
      </c>
      <c r="D941" s="10" t="s">
        <v>272</v>
      </c>
      <c r="E941" s="10"/>
      <c r="F941" s="10"/>
      <c r="G941" s="10"/>
      <c r="H941" s="10" t="s">
        <v>309</v>
      </c>
      <c r="I941" s="10" t="n">
        <f aca="false">COUNTA(kennisproduct_beslismoment!L$2:L$2000)</f>
        <v>0</v>
      </c>
      <c r="J941" s="10" t="str">
        <f aca="false">IF(D941="ja",COUNTA(kennisproduct_beslismoment!$A$2:$A$2000)-I941,"")</f>
        <v/>
      </c>
    </row>
    <row r="942" customFormat="false" ht="15" hidden="false" customHeight="false" outlineLevel="0" collapsed="false">
      <c r="A942" s="10" t="s">
        <v>87</v>
      </c>
      <c r="B942" s="10" t="s">
        <v>310</v>
      </c>
      <c r="C942" s="10" t="s">
        <v>308</v>
      </c>
      <c r="D942" s="10" t="s">
        <v>272</v>
      </c>
      <c r="E942" s="10"/>
      <c r="F942" s="10"/>
      <c r="G942" s="10"/>
      <c r="H942" s="10" t="s">
        <v>311</v>
      </c>
      <c r="I942" s="10" t="n">
        <f aca="false">COUNTA(kennisproduct_beslismoment!M$2:M$2000)</f>
        <v>0</v>
      </c>
      <c r="J942" s="10" t="str">
        <f aca="false">IF(D942="ja",COUNTA(kennisproduct_beslismoment!$A$2:$A$2000)-I942,"")</f>
        <v/>
      </c>
    </row>
    <row r="943" customFormat="false" ht="15" hidden="false" customHeight="false" outlineLevel="0" collapsed="false">
      <c r="A943" s="10" t="s">
        <v>87</v>
      </c>
      <c r="B943" s="10" t="s">
        <v>312</v>
      </c>
      <c r="C943" s="10" t="s">
        <v>271</v>
      </c>
      <c r="D943" s="10" t="s">
        <v>272</v>
      </c>
      <c r="E943" s="10"/>
      <c r="F943" s="10"/>
      <c r="G943" s="10"/>
      <c r="H943" s="10" t="s">
        <v>313</v>
      </c>
      <c r="I943" s="10" t="n">
        <f aca="false">COUNTA(kennisproduct_beslismoment!N$2:N$2000)</f>
        <v>8</v>
      </c>
      <c r="J943" s="10" t="str">
        <f aca="false">IF(D943="ja",COUNTA(kennisproduct_beslismoment!$A$2:$A$2000)-I943,"")</f>
        <v/>
      </c>
    </row>
    <row r="944" customFormat="false" ht="15" hidden="false" customHeight="false" outlineLevel="0" collapsed="false">
      <c r="A944" s="9" t="s">
        <v>88</v>
      </c>
      <c r="B944" s="9" t="s">
        <v>342</v>
      </c>
      <c r="C944" s="9" t="s">
        <v>257</v>
      </c>
      <c r="D944" s="9" t="s">
        <v>258</v>
      </c>
      <c r="E944" s="9" t="s">
        <v>259</v>
      </c>
      <c r="F944" s="9"/>
      <c r="G944" s="9"/>
      <c r="H944" s="9"/>
      <c r="I944" s="9" t="n">
        <f aca="false">COUNTA(validation_status!A$2:A$2000)</f>
        <v>9</v>
      </c>
      <c r="J944" s="9" t="n">
        <f aca="false">IF(D944="ja",COUNTA(validation_status!$A$2:$A$2000)-I944,"")</f>
        <v>0</v>
      </c>
    </row>
    <row r="945" customFormat="false" ht="15" hidden="false" customHeight="false" outlineLevel="0" collapsed="false">
      <c r="A945" s="9" t="s">
        <v>88</v>
      </c>
      <c r="B945" s="9" t="s">
        <v>315</v>
      </c>
      <c r="C945" s="9" t="s">
        <v>279</v>
      </c>
      <c r="D945" s="9" t="s">
        <v>258</v>
      </c>
      <c r="E945" s="9"/>
      <c r="F945" s="9"/>
      <c r="G945" s="9"/>
      <c r="H945" s="9"/>
      <c r="I945" s="9" t="n">
        <f aca="false">COUNTA(validation_status!B$2:B$2000)</f>
        <v>9</v>
      </c>
      <c r="J945" s="9" t="n">
        <f aca="false">IF(D945="ja",COUNTA(validation_status!$A$2:$A$2000)-I945,"")</f>
        <v>0</v>
      </c>
    </row>
    <row r="946" customFormat="false" ht="15" hidden="false" customHeight="false" outlineLevel="0" collapsed="false">
      <c r="A946" s="9" t="s">
        <v>88</v>
      </c>
      <c r="B946" s="9" t="s">
        <v>264</v>
      </c>
      <c r="C946" s="9" t="s">
        <v>283</v>
      </c>
      <c r="D946" s="9" t="s">
        <v>258</v>
      </c>
      <c r="E946" s="9"/>
      <c r="F946" s="9"/>
      <c r="G946" s="9"/>
      <c r="H946" s="9"/>
      <c r="I946" s="9" t="n">
        <f aca="false">COUNTA(validation_status!C$2:C$2000)</f>
        <v>9</v>
      </c>
      <c r="J946" s="9" t="n">
        <f aca="false">IF(D946="ja",COUNTA(validation_status!$A$2:$A$2000)-I946,"")</f>
        <v>0</v>
      </c>
    </row>
    <row r="947" customFormat="false" ht="15" hidden="false" customHeight="false" outlineLevel="0" collapsed="false">
      <c r="A947" s="9" t="s">
        <v>88</v>
      </c>
      <c r="B947" s="9" t="s">
        <v>319</v>
      </c>
      <c r="C947" s="9" t="s">
        <v>271</v>
      </c>
      <c r="D947" s="9" t="s">
        <v>272</v>
      </c>
      <c r="E947" s="9"/>
      <c r="F947" s="9"/>
      <c r="G947" s="9"/>
      <c r="H947" s="9"/>
      <c r="I947" s="9" t="n">
        <f aca="false">COUNTA(validation_status!D$2:D$2000)</f>
        <v>0</v>
      </c>
      <c r="J947" s="9" t="str">
        <f aca="false">IF(D947="ja",COUNTA(validation_status!$A$2:$A$2000)-I947,"")</f>
        <v/>
      </c>
    </row>
    <row r="948" customFormat="false" ht="15" hidden="false" customHeight="false" outlineLevel="0" collapsed="false">
      <c r="A948" s="9" t="s">
        <v>88</v>
      </c>
      <c r="B948" s="9" t="s">
        <v>285</v>
      </c>
      <c r="C948" s="9" t="s">
        <v>286</v>
      </c>
      <c r="D948" s="9" t="s">
        <v>258</v>
      </c>
      <c r="E948" s="9"/>
      <c r="F948" s="9"/>
      <c r="G948" s="9"/>
      <c r="H948" s="9"/>
      <c r="I948" s="9" t="n">
        <f aca="false">COUNTA(validation_status!E$2:E$2000)</f>
        <v>9</v>
      </c>
      <c r="J948" s="9" t="n">
        <f aca="false">IF(D948="ja",COUNTA(validation_status!$A$2:$A$2000)-I948,"")</f>
        <v>0</v>
      </c>
    </row>
    <row r="949" customFormat="false" ht="15" hidden="false" customHeight="false" outlineLevel="0" collapsed="false">
      <c r="A949" s="10" t="s">
        <v>88</v>
      </c>
      <c r="B949" s="10" t="s">
        <v>292</v>
      </c>
      <c r="C949" s="10" t="s">
        <v>293</v>
      </c>
      <c r="D949" s="10" t="s">
        <v>258</v>
      </c>
      <c r="E949" s="10"/>
      <c r="F949" s="10"/>
      <c r="G949" s="10"/>
      <c r="H949" s="10" t="s">
        <v>294</v>
      </c>
      <c r="I949" s="10" t="n">
        <f aca="false">COUNTA(validation_status!F$2:F$2000)</f>
        <v>9</v>
      </c>
      <c r="J949" s="10" t="n">
        <f aca="false">IF(D949="ja",COUNTA(validation_status!$A$2:$A$2000)-I949,"")</f>
        <v>0</v>
      </c>
    </row>
    <row r="950" customFormat="false" ht="15" hidden="false" customHeight="false" outlineLevel="0" collapsed="false">
      <c r="A950" s="10" t="s">
        <v>88</v>
      </c>
      <c r="B950" s="10" t="s">
        <v>295</v>
      </c>
      <c r="C950" s="10" t="s">
        <v>296</v>
      </c>
      <c r="D950" s="10" t="s">
        <v>258</v>
      </c>
      <c r="E950" s="10"/>
      <c r="F950" s="10"/>
      <c r="G950" s="10"/>
      <c r="H950" s="10" t="s">
        <v>297</v>
      </c>
      <c r="I950" s="10" t="n">
        <f aca="false">COUNTA(validation_status!G$2:G$2000)</f>
        <v>9</v>
      </c>
      <c r="J950" s="10" t="n">
        <f aca="false">IF(D950="ja",COUNTA(validation_status!$A$2:$A$2000)-I950,"")</f>
        <v>0</v>
      </c>
    </row>
    <row r="951" customFormat="false" ht="15" hidden="false" customHeight="false" outlineLevel="0" collapsed="false">
      <c r="A951" s="10" t="s">
        <v>88</v>
      </c>
      <c r="B951" s="10" t="s">
        <v>298</v>
      </c>
      <c r="C951" s="10" t="s">
        <v>293</v>
      </c>
      <c r="D951" s="10" t="s">
        <v>258</v>
      </c>
      <c r="E951" s="10"/>
      <c r="F951" s="10"/>
      <c r="G951" s="10"/>
      <c r="H951" s="10" t="s">
        <v>299</v>
      </c>
      <c r="I951" s="10" t="n">
        <f aca="false">COUNTA(validation_status!H$2:H$2000)</f>
        <v>9</v>
      </c>
      <c r="J951" s="10" t="n">
        <f aca="false">IF(D951="ja",COUNTA(validation_status!$A$2:$A$2000)-I951,"")</f>
        <v>0</v>
      </c>
    </row>
    <row r="952" customFormat="false" ht="15" hidden="false" customHeight="false" outlineLevel="0" collapsed="false">
      <c r="A952" s="10" t="s">
        <v>88</v>
      </c>
      <c r="B952" s="10" t="s">
        <v>300</v>
      </c>
      <c r="C952" s="10" t="s">
        <v>296</v>
      </c>
      <c r="D952" s="10" t="s">
        <v>258</v>
      </c>
      <c r="E952" s="10"/>
      <c r="F952" s="10"/>
      <c r="G952" s="10"/>
      <c r="H952" s="10" t="s">
        <v>301</v>
      </c>
      <c r="I952" s="10" t="n">
        <f aca="false">COUNTA(validation_status!I$2:I$2000)</f>
        <v>9</v>
      </c>
      <c r="J952" s="10" t="n">
        <f aca="false">IF(D952="ja",COUNTA(validation_status!$A$2:$A$2000)-I952,"")</f>
        <v>0</v>
      </c>
    </row>
    <row r="953" customFormat="false" ht="15" hidden="false" customHeight="false" outlineLevel="0" collapsed="false">
      <c r="A953" s="10" t="s">
        <v>88</v>
      </c>
      <c r="B953" s="10" t="s">
        <v>302</v>
      </c>
      <c r="C953" s="10" t="s">
        <v>279</v>
      </c>
      <c r="D953" s="10" t="s">
        <v>258</v>
      </c>
      <c r="E953" s="10"/>
      <c r="F953" s="10"/>
      <c r="G953" s="10" t="s">
        <v>303</v>
      </c>
      <c r="H953" s="10" t="s">
        <v>304</v>
      </c>
      <c r="I953" s="10" t="n">
        <f aca="false">COUNTA(validation_status!J$2:J$2000)</f>
        <v>9</v>
      </c>
      <c r="J953" s="10" t="n">
        <f aca="false">IF(D953="ja",COUNTA(validation_status!$A$2:$A$2000)-I953,"")</f>
        <v>0</v>
      </c>
    </row>
    <row r="954" customFormat="false" ht="15" hidden="false" customHeight="false" outlineLevel="0" collapsed="false">
      <c r="A954" s="10" t="s">
        <v>88</v>
      </c>
      <c r="B954" s="10" t="s">
        <v>305</v>
      </c>
      <c r="C954" s="10" t="s">
        <v>286</v>
      </c>
      <c r="D954" s="10" t="s">
        <v>258</v>
      </c>
      <c r="E954" s="10"/>
      <c r="F954" s="10"/>
      <c r="G954" s="10"/>
      <c r="H954" s="10" t="s">
        <v>306</v>
      </c>
      <c r="I954" s="10" t="n">
        <f aca="false">COUNTA(validation_status!K$2:K$2000)</f>
        <v>9</v>
      </c>
      <c r="J954" s="10" t="n">
        <f aca="false">IF(D954="ja",COUNTA(validation_status!$A$2:$A$2000)-I954,"")</f>
        <v>0</v>
      </c>
    </row>
    <row r="955" customFormat="false" ht="15" hidden="false" customHeight="false" outlineLevel="0" collapsed="false">
      <c r="A955" s="10" t="s">
        <v>88</v>
      </c>
      <c r="B955" s="10" t="s">
        <v>307</v>
      </c>
      <c r="C955" s="10" t="s">
        <v>308</v>
      </c>
      <c r="D955" s="10" t="s">
        <v>272</v>
      </c>
      <c r="E955" s="10"/>
      <c r="F955" s="10"/>
      <c r="G955" s="10"/>
      <c r="H955" s="10" t="s">
        <v>309</v>
      </c>
      <c r="I955" s="10" t="n">
        <f aca="false">COUNTA(validation_status!L$2:L$2000)</f>
        <v>0</v>
      </c>
      <c r="J955" s="10" t="str">
        <f aca="false">IF(D955="ja",COUNTA(validation_status!$A$2:$A$2000)-I955,"")</f>
        <v/>
      </c>
    </row>
    <row r="956" customFormat="false" ht="15" hidden="false" customHeight="false" outlineLevel="0" collapsed="false">
      <c r="A956" s="10" t="s">
        <v>88</v>
      </c>
      <c r="B956" s="10" t="s">
        <v>310</v>
      </c>
      <c r="C956" s="10" t="s">
        <v>308</v>
      </c>
      <c r="D956" s="10" t="s">
        <v>272</v>
      </c>
      <c r="E956" s="10"/>
      <c r="F956" s="10"/>
      <c r="G956" s="10"/>
      <c r="H956" s="10" t="s">
        <v>311</v>
      </c>
      <c r="I956" s="10" t="n">
        <f aca="false">COUNTA(validation_status!M$2:M$2000)</f>
        <v>0</v>
      </c>
      <c r="J956" s="10" t="str">
        <f aca="false">IF(D956="ja",COUNTA(validation_status!$A$2:$A$2000)-I956,"")</f>
        <v/>
      </c>
    </row>
    <row r="957" customFormat="false" ht="15" hidden="false" customHeight="false" outlineLevel="0" collapsed="false">
      <c r="A957" s="10" t="s">
        <v>88</v>
      </c>
      <c r="B957" s="10" t="s">
        <v>312</v>
      </c>
      <c r="C957" s="10" t="s">
        <v>271</v>
      </c>
      <c r="D957" s="10" t="s">
        <v>272</v>
      </c>
      <c r="E957" s="10"/>
      <c r="F957" s="10"/>
      <c r="G957" s="10"/>
      <c r="H957" s="10" t="s">
        <v>313</v>
      </c>
      <c r="I957" s="10" t="n">
        <f aca="false">COUNTA(validation_status!N$2:N$2000)</f>
        <v>0</v>
      </c>
      <c r="J957" s="10" t="str">
        <f aca="false">IF(D957="ja",COUNTA(validation_status!$A$2:$A$2000)-I957,"")</f>
        <v/>
      </c>
    </row>
    <row r="958" customFormat="false" ht="15" hidden="false" customHeight="false" outlineLevel="0" collapsed="false">
      <c r="A958" s="9" t="s">
        <v>90</v>
      </c>
      <c r="B958" s="9" t="s">
        <v>506</v>
      </c>
      <c r="C958" s="9" t="s">
        <v>257</v>
      </c>
      <c r="D958" s="9" t="s">
        <v>258</v>
      </c>
      <c r="E958" s="9" t="s">
        <v>259</v>
      </c>
      <c r="F958" s="9"/>
      <c r="G958" s="9"/>
      <c r="H958" s="9" t="s">
        <v>260</v>
      </c>
      <c r="I958" s="9" t="n">
        <f aca="false">COUNTA(publicatiestatus!A$2:A$2000)</f>
        <v>7</v>
      </c>
      <c r="J958" s="9" t="n">
        <f aca="false">IF(D958="ja",COUNTA(publicatiestatus!$A$2:$A$2000)-I958,"")</f>
        <v>0</v>
      </c>
    </row>
    <row r="959" customFormat="false" ht="15" hidden="false" customHeight="false" outlineLevel="0" collapsed="false">
      <c r="A959" s="9" t="s">
        <v>90</v>
      </c>
      <c r="B959" s="9" t="s">
        <v>315</v>
      </c>
      <c r="C959" s="9" t="s">
        <v>279</v>
      </c>
      <c r="D959" s="9" t="s">
        <v>258</v>
      </c>
      <c r="E959" s="9"/>
      <c r="F959" s="9"/>
      <c r="G959" s="9"/>
      <c r="H959" s="9"/>
      <c r="I959" s="9" t="n">
        <f aca="false">COUNTA(publicatiestatus!B$2:B$2000)</f>
        <v>7</v>
      </c>
      <c r="J959" s="9" t="n">
        <f aca="false">IF(D959="ja",COUNTA(publicatiestatus!$A$2:$A$2000)-I959,"")</f>
        <v>0</v>
      </c>
    </row>
    <row r="960" customFormat="false" ht="15" hidden="false" customHeight="false" outlineLevel="0" collapsed="false">
      <c r="A960" s="9" t="s">
        <v>90</v>
      </c>
      <c r="B960" s="9" t="s">
        <v>264</v>
      </c>
      <c r="C960" s="9" t="s">
        <v>283</v>
      </c>
      <c r="D960" s="9" t="s">
        <v>258</v>
      </c>
      <c r="E960" s="9"/>
      <c r="F960" s="9"/>
      <c r="G960" s="9"/>
      <c r="H960" s="9"/>
      <c r="I960" s="9" t="n">
        <f aca="false">COUNTA(publicatiestatus!C$2:C$2000)</f>
        <v>7</v>
      </c>
      <c r="J960" s="9" t="n">
        <f aca="false">IF(D960="ja",COUNTA(publicatiestatus!$A$2:$A$2000)-I960,"")</f>
        <v>0</v>
      </c>
    </row>
    <row r="961" customFormat="false" ht="15" hidden="false" customHeight="false" outlineLevel="0" collapsed="false">
      <c r="A961" s="9" t="s">
        <v>90</v>
      </c>
      <c r="B961" s="9" t="s">
        <v>319</v>
      </c>
      <c r="C961" s="9" t="s">
        <v>271</v>
      </c>
      <c r="D961" s="9" t="s">
        <v>272</v>
      </c>
      <c r="E961" s="9"/>
      <c r="F961" s="9"/>
      <c r="G961" s="9"/>
      <c r="H961" s="9"/>
      <c r="I961" s="9" t="n">
        <f aca="false">COUNTA(publicatiestatus!D$2:D$2000)</f>
        <v>0</v>
      </c>
      <c r="J961" s="9" t="str">
        <f aca="false">IF(D961="ja",COUNTA(publicatiestatus!$A$2:$A$2000)-I961,"")</f>
        <v/>
      </c>
    </row>
    <row r="962" customFormat="false" ht="15" hidden="false" customHeight="false" outlineLevel="0" collapsed="false">
      <c r="A962" s="9" t="s">
        <v>90</v>
      </c>
      <c r="B962" s="9" t="s">
        <v>285</v>
      </c>
      <c r="C962" s="9" t="s">
        <v>286</v>
      </c>
      <c r="D962" s="9" t="s">
        <v>258</v>
      </c>
      <c r="E962" s="9"/>
      <c r="F962" s="9"/>
      <c r="G962" s="9"/>
      <c r="H962" s="9"/>
      <c r="I962" s="9" t="n">
        <f aca="false">COUNTA(publicatiestatus!E$2:E$2000)</f>
        <v>7</v>
      </c>
      <c r="J962" s="9" t="n">
        <f aca="false">IF(D962="ja",COUNTA(publicatiestatus!$A$2:$A$2000)-I962,"")</f>
        <v>0</v>
      </c>
    </row>
    <row r="963" customFormat="false" ht="15" hidden="false" customHeight="false" outlineLevel="0" collapsed="false">
      <c r="A963" s="10" t="s">
        <v>90</v>
      </c>
      <c r="B963" s="10" t="s">
        <v>292</v>
      </c>
      <c r="C963" s="10" t="s">
        <v>293</v>
      </c>
      <c r="D963" s="10" t="s">
        <v>258</v>
      </c>
      <c r="E963" s="10"/>
      <c r="F963" s="10"/>
      <c r="G963" s="10"/>
      <c r="H963" s="10" t="s">
        <v>294</v>
      </c>
      <c r="I963" s="10" t="n">
        <f aca="false">COUNTA(publicatiestatus!F$2:F$2000)</f>
        <v>7</v>
      </c>
      <c r="J963" s="10" t="n">
        <f aca="false">IF(D963="ja",COUNTA(publicatiestatus!$A$2:$A$2000)-I963,"")</f>
        <v>0</v>
      </c>
    </row>
    <row r="964" customFormat="false" ht="15" hidden="false" customHeight="false" outlineLevel="0" collapsed="false">
      <c r="A964" s="10" t="s">
        <v>90</v>
      </c>
      <c r="B964" s="10" t="s">
        <v>295</v>
      </c>
      <c r="C964" s="10" t="s">
        <v>296</v>
      </c>
      <c r="D964" s="10" t="s">
        <v>258</v>
      </c>
      <c r="E964" s="10"/>
      <c r="F964" s="10"/>
      <c r="G964" s="10"/>
      <c r="H964" s="10" t="s">
        <v>297</v>
      </c>
      <c r="I964" s="10" t="n">
        <f aca="false">COUNTA(publicatiestatus!G$2:G$2000)</f>
        <v>7</v>
      </c>
      <c r="J964" s="10" t="n">
        <f aca="false">IF(D964="ja",COUNTA(publicatiestatus!$A$2:$A$2000)-I964,"")</f>
        <v>0</v>
      </c>
    </row>
    <row r="965" customFormat="false" ht="15" hidden="false" customHeight="false" outlineLevel="0" collapsed="false">
      <c r="A965" s="10" t="s">
        <v>90</v>
      </c>
      <c r="B965" s="10" t="s">
        <v>298</v>
      </c>
      <c r="C965" s="10" t="s">
        <v>293</v>
      </c>
      <c r="D965" s="10" t="s">
        <v>258</v>
      </c>
      <c r="E965" s="10"/>
      <c r="F965" s="10"/>
      <c r="G965" s="10"/>
      <c r="H965" s="10" t="s">
        <v>299</v>
      </c>
      <c r="I965" s="10" t="n">
        <f aca="false">COUNTA(publicatiestatus!H$2:H$2000)</f>
        <v>7</v>
      </c>
      <c r="J965" s="10" t="n">
        <f aca="false">IF(D965="ja",COUNTA(publicatiestatus!$A$2:$A$2000)-I965,"")</f>
        <v>0</v>
      </c>
    </row>
    <row r="966" customFormat="false" ht="15" hidden="false" customHeight="false" outlineLevel="0" collapsed="false">
      <c r="A966" s="10" t="s">
        <v>90</v>
      </c>
      <c r="B966" s="10" t="s">
        <v>300</v>
      </c>
      <c r="C966" s="10" t="s">
        <v>296</v>
      </c>
      <c r="D966" s="10" t="s">
        <v>258</v>
      </c>
      <c r="E966" s="10"/>
      <c r="F966" s="10"/>
      <c r="G966" s="10"/>
      <c r="H966" s="10" t="s">
        <v>301</v>
      </c>
      <c r="I966" s="10" t="n">
        <f aca="false">COUNTA(publicatiestatus!I$2:I$2000)</f>
        <v>7</v>
      </c>
      <c r="J966" s="10" t="n">
        <f aca="false">IF(D966="ja",COUNTA(publicatiestatus!$A$2:$A$2000)-I966,"")</f>
        <v>0</v>
      </c>
    </row>
    <row r="967" customFormat="false" ht="15" hidden="false" customHeight="false" outlineLevel="0" collapsed="false">
      <c r="A967" s="10" t="s">
        <v>90</v>
      </c>
      <c r="B967" s="10" t="s">
        <v>302</v>
      </c>
      <c r="C967" s="10" t="s">
        <v>279</v>
      </c>
      <c r="D967" s="10" t="s">
        <v>258</v>
      </c>
      <c r="E967" s="10"/>
      <c r="F967" s="10"/>
      <c r="G967" s="10" t="s">
        <v>303</v>
      </c>
      <c r="H967" s="10" t="s">
        <v>304</v>
      </c>
      <c r="I967" s="10" t="n">
        <f aca="false">COUNTA(publicatiestatus!J$2:J$2000)</f>
        <v>7</v>
      </c>
      <c r="J967" s="10" t="n">
        <f aca="false">IF(D967="ja",COUNTA(publicatiestatus!$A$2:$A$2000)-I967,"")</f>
        <v>0</v>
      </c>
    </row>
    <row r="968" customFormat="false" ht="15" hidden="false" customHeight="false" outlineLevel="0" collapsed="false">
      <c r="A968" s="10" t="s">
        <v>90</v>
      </c>
      <c r="B968" s="10" t="s">
        <v>305</v>
      </c>
      <c r="C968" s="10" t="s">
        <v>286</v>
      </c>
      <c r="D968" s="10" t="s">
        <v>258</v>
      </c>
      <c r="E968" s="10"/>
      <c r="F968" s="10"/>
      <c r="G968" s="10"/>
      <c r="H968" s="10" t="s">
        <v>306</v>
      </c>
      <c r="I968" s="10" t="n">
        <f aca="false">COUNTA(publicatiestatus!K$2:K$2000)</f>
        <v>7</v>
      </c>
      <c r="J968" s="10" t="n">
        <f aca="false">IF(D968="ja",COUNTA(publicatiestatus!$A$2:$A$2000)-I968,"")</f>
        <v>0</v>
      </c>
    </row>
    <row r="969" customFormat="false" ht="15" hidden="false" customHeight="false" outlineLevel="0" collapsed="false">
      <c r="A969" s="10" t="s">
        <v>90</v>
      </c>
      <c r="B969" s="10" t="s">
        <v>307</v>
      </c>
      <c r="C969" s="10" t="s">
        <v>308</v>
      </c>
      <c r="D969" s="10" t="s">
        <v>272</v>
      </c>
      <c r="E969" s="10"/>
      <c r="F969" s="10"/>
      <c r="G969" s="10"/>
      <c r="H969" s="10" t="s">
        <v>309</v>
      </c>
      <c r="I969" s="10" t="n">
        <f aca="false">COUNTA(publicatiestatus!L$2:L$2000)</f>
        <v>0</v>
      </c>
      <c r="J969" s="10" t="str">
        <f aca="false">IF(D969="ja",COUNTA(publicatiestatus!$A$2:$A$2000)-I969,"")</f>
        <v/>
      </c>
    </row>
    <row r="970" customFormat="false" ht="15" hidden="false" customHeight="false" outlineLevel="0" collapsed="false">
      <c r="A970" s="10" t="s">
        <v>90</v>
      </c>
      <c r="B970" s="10" t="s">
        <v>310</v>
      </c>
      <c r="C970" s="10" t="s">
        <v>308</v>
      </c>
      <c r="D970" s="10" t="s">
        <v>272</v>
      </c>
      <c r="E970" s="10"/>
      <c r="F970" s="10"/>
      <c r="G970" s="10"/>
      <c r="H970" s="10" t="s">
        <v>311</v>
      </c>
      <c r="I970" s="10" t="n">
        <f aca="false">COUNTA(publicatiestatus!M$2:M$2000)</f>
        <v>0</v>
      </c>
      <c r="J970" s="10" t="str">
        <f aca="false">IF(D970="ja",COUNTA(publicatiestatus!$A$2:$A$2000)-I970,"")</f>
        <v/>
      </c>
    </row>
    <row r="971" customFormat="false" ht="15" hidden="false" customHeight="false" outlineLevel="0" collapsed="false">
      <c r="A971" s="10" t="s">
        <v>90</v>
      </c>
      <c r="B971" s="10" t="s">
        <v>312</v>
      </c>
      <c r="C971" s="10" t="s">
        <v>271</v>
      </c>
      <c r="D971" s="10" t="s">
        <v>272</v>
      </c>
      <c r="E971" s="10"/>
      <c r="F971" s="10"/>
      <c r="G971" s="10"/>
      <c r="H971" s="10" t="s">
        <v>313</v>
      </c>
      <c r="I971" s="10" t="n">
        <f aca="false">COUNTA(publicatiestatus!N$2:N$2000)</f>
        <v>0</v>
      </c>
      <c r="J971" s="10" t="str">
        <f aca="false">IF(D971="ja",COUNTA(publicatiestatus!$A$2:$A$2000)-I971,"")</f>
        <v/>
      </c>
    </row>
    <row r="972" customFormat="false" ht="15" hidden="false" customHeight="false" outlineLevel="0" collapsed="false">
      <c r="A972" s="9" t="s">
        <v>91</v>
      </c>
      <c r="B972" s="9" t="s">
        <v>509</v>
      </c>
      <c r="C972" s="9" t="s">
        <v>257</v>
      </c>
      <c r="D972" s="9" t="s">
        <v>258</v>
      </c>
      <c r="E972" s="9" t="s">
        <v>259</v>
      </c>
      <c r="F972" s="9"/>
      <c r="G972" s="9"/>
      <c r="H972" s="9" t="s">
        <v>260</v>
      </c>
      <c r="I972" s="9" t="n">
        <f aca="false">COUNTA(inhoudelijke_status!A$2:A$2000)</f>
        <v>8</v>
      </c>
      <c r="J972" s="9" t="n">
        <f aca="false">IF(D972="ja",COUNTA(inhoudelijke_status!$A$2:$A$2000)-I972,"")</f>
        <v>0</v>
      </c>
    </row>
    <row r="973" customFormat="false" ht="15" hidden="false" customHeight="false" outlineLevel="0" collapsed="false">
      <c r="A973" s="9" t="s">
        <v>91</v>
      </c>
      <c r="B973" s="9" t="s">
        <v>315</v>
      </c>
      <c r="C973" s="9" t="s">
        <v>279</v>
      </c>
      <c r="D973" s="9" t="s">
        <v>258</v>
      </c>
      <c r="E973" s="9"/>
      <c r="F973" s="9"/>
      <c r="G973" s="9"/>
      <c r="H973" s="9"/>
      <c r="I973" s="9" t="n">
        <f aca="false">COUNTA(inhoudelijke_status!B$2:B$2000)</f>
        <v>8</v>
      </c>
      <c r="J973" s="9" t="n">
        <f aca="false">IF(D973="ja",COUNTA(inhoudelijke_status!$A$2:$A$2000)-I973,"")</f>
        <v>0</v>
      </c>
    </row>
    <row r="974" customFormat="false" ht="15" hidden="false" customHeight="false" outlineLevel="0" collapsed="false">
      <c r="A974" s="9" t="s">
        <v>91</v>
      </c>
      <c r="B974" s="9" t="s">
        <v>264</v>
      </c>
      <c r="C974" s="9" t="s">
        <v>283</v>
      </c>
      <c r="D974" s="9" t="s">
        <v>258</v>
      </c>
      <c r="E974" s="9"/>
      <c r="F974" s="9"/>
      <c r="G974" s="9"/>
      <c r="H974" s="9"/>
      <c r="I974" s="9" t="n">
        <f aca="false">COUNTA(inhoudelijke_status!C$2:C$2000)</f>
        <v>8</v>
      </c>
      <c r="J974" s="9" t="n">
        <f aca="false">IF(D974="ja",COUNTA(inhoudelijke_status!$A$2:$A$2000)-I974,"")</f>
        <v>0</v>
      </c>
    </row>
    <row r="975" customFormat="false" ht="15" hidden="false" customHeight="false" outlineLevel="0" collapsed="false">
      <c r="A975" s="9" t="s">
        <v>91</v>
      </c>
      <c r="B975" s="9" t="s">
        <v>319</v>
      </c>
      <c r="C975" s="9" t="s">
        <v>271</v>
      </c>
      <c r="D975" s="9" t="s">
        <v>272</v>
      </c>
      <c r="E975" s="9"/>
      <c r="F975" s="9"/>
      <c r="G975" s="9"/>
      <c r="H975" s="9"/>
      <c r="I975" s="9" t="n">
        <f aca="false">COUNTA(inhoudelijke_status!D$2:D$2000)</f>
        <v>0</v>
      </c>
      <c r="J975" s="9" t="str">
        <f aca="false">IF(D975="ja",COUNTA(inhoudelijke_status!$A$2:$A$2000)-I975,"")</f>
        <v/>
      </c>
    </row>
    <row r="976" customFormat="false" ht="15" hidden="false" customHeight="false" outlineLevel="0" collapsed="false">
      <c r="A976" s="9" t="s">
        <v>91</v>
      </c>
      <c r="B976" s="9" t="s">
        <v>285</v>
      </c>
      <c r="C976" s="9" t="s">
        <v>286</v>
      </c>
      <c r="D976" s="9" t="s">
        <v>258</v>
      </c>
      <c r="E976" s="9"/>
      <c r="F976" s="9"/>
      <c r="G976" s="9"/>
      <c r="H976" s="9"/>
      <c r="I976" s="9" t="n">
        <f aca="false">COUNTA(inhoudelijke_status!E$2:E$2000)</f>
        <v>8</v>
      </c>
      <c r="J976" s="9" t="n">
        <f aca="false">IF(D976="ja",COUNTA(inhoudelijke_status!$A$2:$A$2000)-I976,"")</f>
        <v>0</v>
      </c>
    </row>
    <row r="977" customFormat="false" ht="15" hidden="false" customHeight="false" outlineLevel="0" collapsed="false">
      <c r="A977" s="10" t="s">
        <v>91</v>
      </c>
      <c r="B977" s="10" t="s">
        <v>292</v>
      </c>
      <c r="C977" s="10" t="s">
        <v>293</v>
      </c>
      <c r="D977" s="10" t="s">
        <v>258</v>
      </c>
      <c r="E977" s="10"/>
      <c r="F977" s="10"/>
      <c r="G977" s="10"/>
      <c r="H977" s="10" t="s">
        <v>294</v>
      </c>
      <c r="I977" s="10" t="n">
        <f aca="false">COUNTA(inhoudelijke_status!F$2:F$2000)</f>
        <v>8</v>
      </c>
      <c r="J977" s="10" t="n">
        <f aca="false">IF(D977="ja",COUNTA(inhoudelijke_status!$A$2:$A$2000)-I977,"")</f>
        <v>0</v>
      </c>
    </row>
    <row r="978" customFormat="false" ht="15" hidden="false" customHeight="false" outlineLevel="0" collapsed="false">
      <c r="A978" s="10" t="s">
        <v>91</v>
      </c>
      <c r="B978" s="10" t="s">
        <v>295</v>
      </c>
      <c r="C978" s="10" t="s">
        <v>296</v>
      </c>
      <c r="D978" s="10" t="s">
        <v>258</v>
      </c>
      <c r="E978" s="10"/>
      <c r="F978" s="10"/>
      <c r="G978" s="10"/>
      <c r="H978" s="10" t="s">
        <v>297</v>
      </c>
      <c r="I978" s="10" t="n">
        <f aca="false">COUNTA(inhoudelijke_status!G$2:G$2000)</f>
        <v>8</v>
      </c>
      <c r="J978" s="10" t="n">
        <f aca="false">IF(D978="ja",COUNTA(inhoudelijke_status!$A$2:$A$2000)-I978,"")</f>
        <v>0</v>
      </c>
    </row>
    <row r="979" customFormat="false" ht="15" hidden="false" customHeight="false" outlineLevel="0" collapsed="false">
      <c r="A979" s="10" t="s">
        <v>91</v>
      </c>
      <c r="B979" s="10" t="s">
        <v>298</v>
      </c>
      <c r="C979" s="10" t="s">
        <v>293</v>
      </c>
      <c r="D979" s="10" t="s">
        <v>258</v>
      </c>
      <c r="E979" s="10"/>
      <c r="F979" s="10"/>
      <c r="G979" s="10"/>
      <c r="H979" s="10" t="s">
        <v>299</v>
      </c>
      <c r="I979" s="10" t="n">
        <f aca="false">COUNTA(inhoudelijke_status!H$2:H$2000)</f>
        <v>8</v>
      </c>
      <c r="J979" s="10" t="n">
        <f aca="false">IF(D979="ja",COUNTA(inhoudelijke_status!$A$2:$A$2000)-I979,"")</f>
        <v>0</v>
      </c>
    </row>
    <row r="980" customFormat="false" ht="15" hidden="false" customHeight="false" outlineLevel="0" collapsed="false">
      <c r="A980" s="10" t="s">
        <v>91</v>
      </c>
      <c r="B980" s="10" t="s">
        <v>300</v>
      </c>
      <c r="C980" s="10" t="s">
        <v>296</v>
      </c>
      <c r="D980" s="10" t="s">
        <v>258</v>
      </c>
      <c r="E980" s="10"/>
      <c r="F980" s="10"/>
      <c r="G980" s="10"/>
      <c r="H980" s="10" t="s">
        <v>301</v>
      </c>
      <c r="I980" s="10" t="n">
        <f aca="false">COUNTA(inhoudelijke_status!I$2:I$2000)</f>
        <v>8</v>
      </c>
      <c r="J980" s="10" t="n">
        <f aca="false">IF(D980="ja",COUNTA(inhoudelijke_status!$A$2:$A$2000)-I980,"")</f>
        <v>0</v>
      </c>
    </row>
    <row r="981" customFormat="false" ht="15" hidden="false" customHeight="false" outlineLevel="0" collapsed="false">
      <c r="A981" s="10" t="s">
        <v>91</v>
      </c>
      <c r="B981" s="10" t="s">
        <v>302</v>
      </c>
      <c r="C981" s="10" t="s">
        <v>279</v>
      </c>
      <c r="D981" s="10" t="s">
        <v>258</v>
      </c>
      <c r="E981" s="10"/>
      <c r="F981" s="10"/>
      <c r="G981" s="10" t="s">
        <v>303</v>
      </c>
      <c r="H981" s="10" t="s">
        <v>304</v>
      </c>
      <c r="I981" s="10" t="n">
        <f aca="false">COUNTA(inhoudelijke_status!J$2:J$2000)</f>
        <v>8</v>
      </c>
      <c r="J981" s="10" t="n">
        <f aca="false">IF(D981="ja",COUNTA(inhoudelijke_status!$A$2:$A$2000)-I981,"")</f>
        <v>0</v>
      </c>
    </row>
    <row r="982" customFormat="false" ht="15" hidden="false" customHeight="false" outlineLevel="0" collapsed="false">
      <c r="A982" s="10" t="s">
        <v>91</v>
      </c>
      <c r="B982" s="10" t="s">
        <v>305</v>
      </c>
      <c r="C982" s="10" t="s">
        <v>286</v>
      </c>
      <c r="D982" s="10" t="s">
        <v>258</v>
      </c>
      <c r="E982" s="10"/>
      <c r="F982" s="10"/>
      <c r="G982" s="10"/>
      <c r="H982" s="10" t="s">
        <v>306</v>
      </c>
      <c r="I982" s="10" t="n">
        <f aca="false">COUNTA(inhoudelijke_status!K$2:K$2000)</f>
        <v>8</v>
      </c>
      <c r="J982" s="10" t="n">
        <f aca="false">IF(D982="ja",COUNTA(inhoudelijke_status!$A$2:$A$2000)-I982,"")</f>
        <v>0</v>
      </c>
    </row>
    <row r="983" customFormat="false" ht="15" hidden="false" customHeight="false" outlineLevel="0" collapsed="false">
      <c r="A983" s="10" t="s">
        <v>91</v>
      </c>
      <c r="B983" s="10" t="s">
        <v>307</v>
      </c>
      <c r="C983" s="10" t="s">
        <v>308</v>
      </c>
      <c r="D983" s="10" t="s">
        <v>272</v>
      </c>
      <c r="E983" s="10"/>
      <c r="F983" s="10"/>
      <c r="G983" s="10"/>
      <c r="H983" s="10" t="s">
        <v>309</v>
      </c>
      <c r="I983" s="10" t="n">
        <f aca="false">COUNTA(inhoudelijke_status!L$2:L$2000)</f>
        <v>0</v>
      </c>
      <c r="J983" s="10" t="str">
        <f aca="false">IF(D983="ja",COUNTA(inhoudelijke_status!$A$2:$A$2000)-I983,"")</f>
        <v/>
      </c>
    </row>
    <row r="984" customFormat="false" ht="15" hidden="false" customHeight="false" outlineLevel="0" collapsed="false">
      <c r="A984" s="10" t="s">
        <v>91</v>
      </c>
      <c r="B984" s="10" t="s">
        <v>310</v>
      </c>
      <c r="C984" s="10" t="s">
        <v>308</v>
      </c>
      <c r="D984" s="10" t="s">
        <v>272</v>
      </c>
      <c r="E984" s="10"/>
      <c r="F984" s="10"/>
      <c r="G984" s="10"/>
      <c r="H984" s="10" t="s">
        <v>311</v>
      </c>
      <c r="I984" s="10" t="n">
        <f aca="false">COUNTA(inhoudelijke_status!M$2:M$2000)</f>
        <v>0</v>
      </c>
      <c r="J984" s="10" t="str">
        <f aca="false">IF(D984="ja",COUNTA(inhoudelijke_status!$A$2:$A$2000)-I984,"")</f>
        <v/>
      </c>
    </row>
    <row r="985" customFormat="false" ht="15" hidden="false" customHeight="false" outlineLevel="0" collapsed="false">
      <c r="A985" s="10" t="s">
        <v>91</v>
      </c>
      <c r="B985" s="10" t="s">
        <v>312</v>
      </c>
      <c r="C985" s="10" t="s">
        <v>271</v>
      </c>
      <c r="D985" s="10" t="s">
        <v>272</v>
      </c>
      <c r="E985" s="10"/>
      <c r="F985" s="10"/>
      <c r="G985" s="10"/>
      <c r="H985" s="10" t="s">
        <v>313</v>
      </c>
      <c r="I985" s="10" t="n">
        <f aca="false">COUNTA(inhoudelijke_status!N$2:N$2000)</f>
        <v>0</v>
      </c>
      <c r="J985" s="10" t="str">
        <f aca="false">IF(D985="ja",COUNTA(inhoudelijke_status!$A$2:$A$2000)-I985,"")</f>
        <v/>
      </c>
    </row>
    <row r="986" customFormat="false" ht="15" hidden="false" customHeight="false" outlineLevel="0" collapsed="false">
      <c r="A986" s="9" t="s">
        <v>92</v>
      </c>
      <c r="B986" s="9" t="s">
        <v>669</v>
      </c>
      <c r="C986" s="9" t="s">
        <v>257</v>
      </c>
      <c r="D986" s="9" t="s">
        <v>258</v>
      </c>
      <c r="E986" s="9" t="s">
        <v>259</v>
      </c>
      <c r="F986" s="9"/>
      <c r="G986" s="9"/>
      <c r="H986" s="9"/>
      <c r="I986" s="9" t="n">
        <f aca="false">COUNTA(validatie!A$2:A$2000)</f>
        <v>8</v>
      </c>
      <c r="J986" s="9" t="n">
        <f aca="false">IF(D986="ja",COUNTA(validatie!$A$2:$A$2000)-I986,"")</f>
        <v>0</v>
      </c>
    </row>
    <row r="987" customFormat="false" ht="15" hidden="false" customHeight="false" outlineLevel="0" collapsed="false">
      <c r="A987" s="9" t="s">
        <v>92</v>
      </c>
      <c r="B987" s="9" t="s">
        <v>670</v>
      </c>
      <c r="C987" s="9" t="s">
        <v>453</v>
      </c>
      <c r="D987" s="9" t="s">
        <v>258</v>
      </c>
      <c r="E987" s="9"/>
      <c r="F987" s="9"/>
      <c r="G987" s="9" t="s">
        <v>433</v>
      </c>
      <c r="H987" s="9"/>
      <c r="I987" s="9" t="n">
        <f aca="false">COUNTA(validatie!B$2:B$2000)</f>
        <v>8</v>
      </c>
      <c r="J987" s="9" t="n">
        <f aca="false">IF(D987="ja",COUNTA(validatie!$A$2:$A$2000)-I987,"")</f>
        <v>0</v>
      </c>
    </row>
    <row r="988" customFormat="false" ht="15" hidden="false" customHeight="false" outlineLevel="0" collapsed="false">
      <c r="A988" s="9" t="s">
        <v>92</v>
      </c>
      <c r="B988" s="9" t="s">
        <v>671</v>
      </c>
      <c r="C988" s="9" t="s">
        <v>257</v>
      </c>
      <c r="D988" s="9" t="s">
        <v>258</v>
      </c>
      <c r="E988" s="9"/>
      <c r="F988" s="9"/>
      <c r="G988" s="9"/>
      <c r="H988" s="9"/>
      <c r="I988" s="9" t="n">
        <f aca="false">COUNTA(validatie!C$2:C$2000)</f>
        <v>8</v>
      </c>
      <c r="J988" s="9" t="n">
        <f aca="false">IF(D988="ja",COUNTA(validatie!$A$2:$A$2000)-I988,"")</f>
        <v>0</v>
      </c>
    </row>
    <row r="989" customFormat="false" ht="15" hidden="false" customHeight="false" outlineLevel="0" collapsed="false">
      <c r="A989" s="9" t="s">
        <v>92</v>
      </c>
      <c r="B989" s="9" t="s">
        <v>342</v>
      </c>
      <c r="C989" s="9" t="s">
        <v>323</v>
      </c>
      <c r="D989" s="9" t="s">
        <v>258</v>
      </c>
      <c r="E989" s="9" t="s">
        <v>324</v>
      </c>
      <c r="F989" s="9" t="s">
        <v>343</v>
      </c>
      <c r="G989" s="9"/>
      <c r="H989" s="9"/>
      <c r="I989" s="9" t="n">
        <f aca="false">COUNTA(validatie!D$2:D$2000)</f>
        <v>8</v>
      </c>
      <c r="J989" s="9" t="n">
        <f aca="false">IF(D989="ja",COUNTA(validatie!$A$2:$A$2000)-I989,"")</f>
        <v>0</v>
      </c>
    </row>
    <row r="990" customFormat="false" ht="35.05" hidden="false" customHeight="false" outlineLevel="0" collapsed="false">
      <c r="A990" s="9" t="s">
        <v>92</v>
      </c>
      <c r="B990" s="9" t="s">
        <v>672</v>
      </c>
      <c r="C990" s="9" t="s">
        <v>453</v>
      </c>
      <c r="D990" s="9" t="s">
        <v>258</v>
      </c>
      <c r="E990" s="9"/>
      <c r="F990" s="9"/>
      <c r="G990" s="9" t="s">
        <v>673</v>
      </c>
      <c r="H990" s="9"/>
      <c r="I990" s="9" t="n">
        <f aca="false">COUNTA(validatie!E$2:E$2000)</f>
        <v>8</v>
      </c>
      <c r="J990" s="9" t="n">
        <f aca="false">IF(D990="ja",COUNTA(validatie!$A$2:$A$2000)-I990,"")</f>
        <v>0</v>
      </c>
    </row>
    <row r="991" customFormat="false" ht="15" hidden="false" customHeight="false" outlineLevel="0" collapsed="false">
      <c r="A991" s="9" t="s">
        <v>92</v>
      </c>
      <c r="B991" s="9" t="s">
        <v>674</v>
      </c>
      <c r="C991" s="9" t="s">
        <v>308</v>
      </c>
      <c r="D991" s="9" t="s">
        <v>258</v>
      </c>
      <c r="E991" s="9"/>
      <c r="F991" s="9"/>
      <c r="G991" s="9"/>
      <c r="H991" s="9"/>
      <c r="I991" s="9" t="n">
        <f aca="false">COUNTA(validatie!F$2:F$2000)</f>
        <v>8</v>
      </c>
      <c r="J991" s="9" t="n">
        <f aca="false">IF(D991="ja",COUNTA(validatie!$A$2:$A$2000)-I991,"")</f>
        <v>0</v>
      </c>
    </row>
    <row r="992" customFormat="false" ht="15" hidden="false" customHeight="false" outlineLevel="0" collapsed="false">
      <c r="A992" s="9" t="s">
        <v>92</v>
      </c>
      <c r="B992" s="9" t="s">
        <v>675</v>
      </c>
      <c r="C992" s="9" t="s">
        <v>265</v>
      </c>
      <c r="D992" s="9" t="s">
        <v>272</v>
      </c>
      <c r="E992" s="9"/>
      <c r="F992" s="9"/>
      <c r="G992" s="9"/>
      <c r="H992" s="9"/>
      <c r="I992" s="9" t="n">
        <f aca="false">COUNTA(validatie!G$2:G$2000)</f>
        <v>8</v>
      </c>
      <c r="J992" s="9" t="str">
        <f aca="false">IF(D992="ja",COUNTA(validatie!$A$2:$A$2000)-I992,"")</f>
        <v/>
      </c>
    </row>
    <row r="993" customFormat="false" ht="15" hidden="false" customHeight="false" outlineLevel="0" collapsed="false">
      <c r="A993" s="9" t="s">
        <v>92</v>
      </c>
      <c r="B993" s="9" t="s">
        <v>676</v>
      </c>
      <c r="C993" s="9" t="s">
        <v>323</v>
      </c>
      <c r="D993" s="9" t="s">
        <v>272</v>
      </c>
      <c r="E993" s="9" t="s">
        <v>324</v>
      </c>
      <c r="F993" s="9" t="s">
        <v>532</v>
      </c>
      <c r="G993" s="9"/>
      <c r="H993" s="9"/>
      <c r="I993" s="9" t="n">
        <f aca="false">COUNTA(validatie!H$2:H$2000)</f>
        <v>8</v>
      </c>
      <c r="J993" s="9" t="str">
        <f aca="false">IF(D993="ja",COUNTA(validatie!$A$2:$A$2000)-I993,"")</f>
        <v/>
      </c>
    </row>
    <row r="994" customFormat="false" ht="15" hidden="false" customHeight="false" outlineLevel="0" collapsed="false">
      <c r="A994" s="9" t="s">
        <v>92</v>
      </c>
      <c r="B994" s="9" t="s">
        <v>677</v>
      </c>
      <c r="C994" s="9" t="s">
        <v>271</v>
      </c>
      <c r="D994" s="9" t="s">
        <v>272</v>
      </c>
      <c r="E994" s="9"/>
      <c r="F994" s="9"/>
      <c r="G994" s="9"/>
      <c r="H994" s="9"/>
      <c r="I994" s="9" t="n">
        <f aca="false">COUNTA(validatie!I$2:I$2000)</f>
        <v>8</v>
      </c>
      <c r="J994" s="9" t="str">
        <f aca="false">IF(D994="ja",COUNTA(validatie!$A$2:$A$2000)-I994,"")</f>
        <v/>
      </c>
    </row>
    <row r="995" customFormat="false" ht="15" hidden="false" customHeight="false" outlineLevel="0" collapsed="false">
      <c r="A995" s="9" t="s">
        <v>92</v>
      </c>
      <c r="B995" s="9" t="s">
        <v>678</v>
      </c>
      <c r="C995" s="9" t="s">
        <v>289</v>
      </c>
      <c r="D995" s="9" t="s">
        <v>258</v>
      </c>
      <c r="E995" s="9"/>
      <c r="F995" s="9"/>
      <c r="G995" s="9" t="s">
        <v>290</v>
      </c>
      <c r="H995" s="9"/>
      <c r="I995" s="9" t="n">
        <f aca="false">COUNTA(validatie!J$2:J$2000)</f>
        <v>8</v>
      </c>
      <c r="J995" s="9" t="n">
        <f aca="false">IF(D995="ja",COUNTA(validatie!$A$2:$A$2000)-I995,"")</f>
        <v>0</v>
      </c>
    </row>
    <row r="996" customFormat="false" ht="15" hidden="false" customHeight="false" outlineLevel="0" collapsed="false">
      <c r="A996" s="9" t="s">
        <v>92</v>
      </c>
      <c r="B996" s="9" t="s">
        <v>679</v>
      </c>
      <c r="C996" s="9" t="s">
        <v>271</v>
      </c>
      <c r="D996" s="9" t="s">
        <v>272</v>
      </c>
      <c r="E996" s="9"/>
      <c r="F996" s="9"/>
      <c r="G996" s="9"/>
      <c r="H996" s="9"/>
      <c r="I996" s="9" t="n">
        <f aca="false">COUNTA(validatie!K$2:K$2000)</f>
        <v>0</v>
      </c>
      <c r="J996" s="9" t="str">
        <f aca="false">IF(D996="ja",COUNTA(validatie!$A$2:$A$2000)-I996,"")</f>
        <v/>
      </c>
    </row>
    <row r="997" customFormat="false" ht="15" hidden="false" customHeight="false" outlineLevel="0" collapsed="false">
      <c r="A997" s="9" t="s">
        <v>92</v>
      </c>
      <c r="B997" s="9" t="s">
        <v>537</v>
      </c>
      <c r="C997" s="9" t="s">
        <v>323</v>
      </c>
      <c r="D997" s="9" t="s">
        <v>272</v>
      </c>
      <c r="E997" s="9" t="s">
        <v>324</v>
      </c>
      <c r="F997" s="9" t="s">
        <v>551</v>
      </c>
      <c r="G997" s="9"/>
      <c r="H997" s="9"/>
      <c r="I997" s="9" t="n">
        <f aca="false">COUNTA(validatie!L$2:L$2000)</f>
        <v>0</v>
      </c>
      <c r="J997" s="9" t="str">
        <f aca="false">IF(D997="ja",COUNTA(validatie!$A$2:$A$2000)-I997,"")</f>
        <v/>
      </c>
    </row>
    <row r="998" customFormat="false" ht="15" hidden="false" customHeight="false" outlineLevel="0" collapsed="false">
      <c r="A998" s="10" t="s">
        <v>92</v>
      </c>
      <c r="B998" s="10" t="s">
        <v>292</v>
      </c>
      <c r="C998" s="10" t="s">
        <v>293</v>
      </c>
      <c r="D998" s="10" t="s">
        <v>258</v>
      </c>
      <c r="E998" s="10"/>
      <c r="F998" s="10"/>
      <c r="G998" s="10"/>
      <c r="H998" s="10" t="s">
        <v>294</v>
      </c>
      <c r="I998" s="10" t="n">
        <f aca="false">COUNTA(validatie!M$2:M$2000)</f>
        <v>8</v>
      </c>
      <c r="J998" s="10" t="n">
        <f aca="false">IF(D998="ja",COUNTA(validatie!$A$2:$A$2000)-I998,"")</f>
        <v>0</v>
      </c>
    </row>
    <row r="999" customFormat="false" ht="15" hidden="false" customHeight="false" outlineLevel="0" collapsed="false">
      <c r="A999" s="10" t="s">
        <v>92</v>
      </c>
      <c r="B999" s="10" t="s">
        <v>295</v>
      </c>
      <c r="C999" s="10" t="s">
        <v>296</v>
      </c>
      <c r="D999" s="10" t="s">
        <v>258</v>
      </c>
      <c r="E999" s="10"/>
      <c r="F999" s="10"/>
      <c r="G999" s="10"/>
      <c r="H999" s="10" t="s">
        <v>297</v>
      </c>
      <c r="I999" s="10" t="n">
        <f aca="false">COUNTA(validatie!N$2:N$2000)</f>
        <v>8</v>
      </c>
      <c r="J999" s="10" t="n">
        <f aca="false">IF(D999="ja",COUNTA(validatie!$A$2:$A$2000)-I999,"")</f>
        <v>0</v>
      </c>
    </row>
    <row r="1000" customFormat="false" ht="15" hidden="false" customHeight="false" outlineLevel="0" collapsed="false">
      <c r="A1000" s="10" t="s">
        <v>92</v>
      </c>
      <c r="B1000" s="10" t="s">
        <v>298</v>
      </c>
      <c r="C1000" s="10" t="s">
        <v>293</v>
      </c>
      <c r="D1000" s="10" t="s">
        <v>258</v>
      </c>
      <c r="E1000" s="10"/>
      <c r="F1000" s="10"/>
      <c r="G1000" s="10"/>
      <c r="H1000" s="10" t="s">
        <v>299</v>
      </c>
      <c r="I1000" s="10" t="n">
        <f aca="false">COUNTA(validatie!O$2:O$2000)</f>
        <v>8</v>
      </c>
      <c r="J1000" s="10" t="n">
        <f aca="false">IF(D1000="ja",COUNTA(validatie!$A$2:$A$2000)-I1000,"")</f>
        <v>0</v>
      </c>
    </row>
    <row r="1001" customFormat="false" ht="15" hidden="false" customHeight="false" outlineLevel="0" collapsed="false">
      <c r="A1001" s="10" t="s">
        <v>92</v>
      </c>
      <c r="B1001" s="10" t="s">
        <v>300</v>
      </c>
      <c r="C1001" s="10" t="s">
        <v>296</v>
      </c>
      <c r="D1001" s="10" t="s">
        <v>258</v>
      </c>
      <c r="E1001" s="10"/>
      <c r="F1001" s="10"/>
      <c r="G1001" s="10"/>
      <c r="H1001" s="10" t="s">
        <v>301</v>
      </c>
      <c r="I1001" s="10" t="n">
        <f aca="false">COUNTA(validatie!P$2:P$2000)</f>
        <v>8</v>
      </c>
      <c r="J1001" s="10" t="n">
        <f aca="false">IF(D1001="ja",COUNTA(validatie!$A$2:$A$2000)-I1001,"")</f>
        <v>0</v>
      </c>
    </row>
    <row r="1002" customFormat="false" ht="15" hidden="false" customHeight="false" outlineLevel="0" collapsed="false">
      <c r="A1002" s="10" t="s">
        <v>92</v>
      </c>
      <c r="B1002" s="10" t="s">
        <v>302</v>
      </c>
      <c r="C1002" s="10" t="s">
        <v>279</v>
      </c>
      <c r="D1002" s="10" t="s">
        <v>258</v>
      </c>
      <c r="E1002" s="10"/>
      <c r="F1002" s="10"/>
      <c r="G1002" s="10" t="s">
        <v>303</v>
      </c>
      <c r="H1002" s="10" t="s">
        <v>304</v>
      </c>
      <c r="I1002" s="10" t="n">
        <f aca="false">COUNTA(validatie!Q$2:Q$2000)</f>
        <v>8</v>
      </c>
      <c r="J1002" s="10" t="n">
        <f aca="false">IF(D1002="ja",COUNTA(validatie!$A$2:$A$2000)-I1002,"")</f>
        <v>0</v>
      </c>
    </row>
    <row r="1003" customFormat="false" ht="15" hidden="false" customHeight="false" outlineLevel="0" collapsed="false">
      <c r="A1003" s="10" t="s">
        <v>92</v>
      </c>
      <c r="B1003" s="10" t="s">
        <v>305</v>
      </c>
      <c r="C1003" s="10" t="s">
        <v>286</v>
      </c>
      <c r="D1003" s="10" t="s">
        <v>258</v>
      </c>
      <c r="E1003" s="10"/>
      <c r="F1003" s="10"/>
      <c r="G1003" s="10"/>
      <c r="H1003" s="10" t="s">
        <v>306</v>
      </c>
      <c r="I1003" s="10" t="n">
        <f aca="false">COUNTA(validatie!R$2:R$2000)</f>
        <v>8</v>
      </c>
      <c r="J1003" s="10" t="n">
        <f aca="false">IF(D1003="ja",COUNTA(validatie!$A$2:$A$2000)-I1003,"")</f>
        <v>0</v>
      </c>
    </row>
    <row r="1004" customFormat="false" ht="15" hidden="false" customHeight="false" outlineLevel="0" collapsed="false">
      <c r="A1004" s="10" t="s">
        <v>92</v>
      </c>
      <c r="B1004" s="10" t="s">
        <v>307</v>
      </c>
      <c r="C1004" s="10" t="s">
        <v>308</v>
      </c>
      <c r="D1004" s="10" t="s">
        <v>272</v>
      </c>
      <c r="E1004" s="10"/>
      <c r="F1004" s="10"/>
      <c r="G1004" s="10"/>
      <c r="H1004" s="10" t="s">
        <v>309</v>
      </c>
      <c r="I1004" s="10" t="n">
        <f aca="false">COUNTA(validatie!S$2:S$2000)</f>
        <v>0</v>
      </c>
      <c r="J1004" s="10" t="str">
        <f aca="false">IF(D1004="ja",COUNTA(validatie!$A$2:$A$2000)-I1004,"")</f>
        <v/>
      </c>
    </row>
    <row r="1005" customFormat="false" ht="15" hidden="false" customHeight="false" outlineLevel="0" collapsed="false">
      <c r="A1005" s="10" t="s">
        <v>92</v>
      </c>
      <c r="B1005" s="10" t="s">
        <v>310</v>
      </c>
      <c r="C1005" s="10" t="s">
        <v>308</v>
      </c>
      <c r="D1005" s="10" t="s">
        <v>272</v>
      </c>
      <c r="E1005" s="10"/>
      <c r="F1005" s="10"/>
      <c r="G1005" s="10"/>
      <c r="H1005" s="10" t="s">
        <v>311</v>
      </c>
      <c r="I1005" s="10" t="n">
        <f aca="false">COUNTA(validatie!T$2:T$2000)</f>
        <v>0</v>
      </c>
      <c r="J1005" s="10" t="str">
        <f aca="false">IF(D1005="ja",COUNTA(validatie!$A$2:$A$2000)-I1005,"")</f>
        <v/>
      </c>
    </row>
    <row r="1006" customFormat="false" ht="15" hidden="false" customHeight="false" outlineLevel="0" collapsed="false">
      <c r="A1006" s="10" t="s">
        <v>92</v>
      </c>
      <c r="B1006" s="10" t="s">
        <v>312</v>
      </c>
      <c r="C1006" s="10" t="s">
        <v>271</v>
      </c>
      <c r="D1006" s="10" t="s">
        <v>272</v>
      </c>
      <c r="E1006" s="10"/>
      <c r="F1006" s="10"/>
      <c r="G1006" s="10"/>
      <c r="H1006" s="10" t="s">
        <v>313</v>
      </c>
      <c r="I1006" s="10" t="n">
        <f aca="false">COUNTA(validatie!U$2:U$2000)</f>
        <v>8</v>
      </c>
      <c r="J1006" s="10" t="str">
        <f aca="false">IF(D1006="ja",COUNTA(validatie!$A$2:$A$2000)-I1006,"")</f>
        <v/>
      </c>
    </row>
    <row r="1007" customFormat="false" ht="15" hidden="false" customHeight="false" outlineLevel="0" collapsed="false">
      <c r="A1007" s="9" t="s">
        <v>93</v>
      </c>
      <c r="B1007" s="9" t="s">
        <v>680</v>
      </c>
      <c r="C1007" s="9" t="s">
        <v>257</v>
      </c>
      <c r="D1007" s="9" t="s">
        <v>258</v>
      </c>
      <c r="E1007" s="9" t="s">
        <v>259</v>
      </c>
      <c r="F1007" s="9"/>
      <c r="G1007" s="9"/>
      <c r="H1007" s="9"/>
      <c r="I1007" s="9" t="n">
        <f aca="false">COUNTA(wijzigingslog!A$2:A$2000)</f>
        <v>6</v>
      </c>
      <c r="J1007" s="9" t="n">
        <f aca="false">IF(D1007="ja",COUNTA(wijzigingslog!$A$2:$A$2000)-I1007,"")</f>
        <v>0</v>
      </c>
    </row>
    <row r="1008" customFormat="false" ht="15" hidden="false" customHeight="false" outlineLevel="0" collapsed="false">
      <c r="A1008" s="9" t="s">
        <v>93</v>
      </c>
      <c r="B1008" s="9" t="s">
        <v>670</v>
      </c>
      <c r="C1008" s="9" t="s">
        <v>453</v>
      </c>
      <c r="D1008" s="9" t="s">
        <v>258</v>
      </c>
      <c r="E1008" s="9"/>
      <c r="F1008" s="9"/>
      <c r="G1008" s="9" t="s">
        <v>433</v>
      </c>
      <c r="H1008" s="9"/>
      <c r="I1008" s="9" t="n">
        <f aca="false">COUNTA(wijzigingslog!B$2:B$2000)</f>
        <v>6</v>
      </c>
      <c r="J1008" s="9" t="n">
        <f aca="false">IF(D1008="ja",COUNTA(wijzigingslog!$A$2:$A$2000)-I1008,"")</f>
        <v>0</v>
      </c>
    </row>
    <row r="1009" customFormat="false" ht="15" hidden="false" customHeight="false" outlineLevel="0" collapsed="false">
      <c r="A1009" s="9" t="s">
        <v>93</v>
      </c>
      <c r="B1009" s="9" t="s">
        <v>671</v>
      </c>
      <c r="C1009" s="9" t="s">
        <v>257</v>
      </c>
      <c r="D1009" s="9" t="s">
        <v>258</v>
      </c>
      <c r="E1009" s="9"/>
      <c r="F1009" s="9"/>
      <c r="G1009" s="9"/>
      <c r="H1009" s="9"/>
      <c r="I1009" s="9" t="n">
        <f aca="false">COUNTA(wijzigingslog!C$2:C$2000)</f>
        <v>6</v>
      </c>
      <c r="J1009" s="9" t="n">
        <f aca="false">IF(D1009="ja",COUNTA(wijzigingslog!$A$2:$A$2000)-I1009,"")</f>
        <v>0</v>
      </c>
    </row>
    <row r="1010" customFormat="false" ht="15" hidden="false" customHeight="false" outlineLevel="0" collapsed="false">
      <c r="A1010" s="9" t="s">
        <v>93</v>
      </c>
      <c r="B1010" s="9" t="s">
        <v>681</v>
      </c>
      <c r="C1010" s="9" t="s">
        <v>279</v>
      </c>
      <c r="D1010" s="9" t="s">
        <v>258</v>
      </c>
      <c r="E1010" s="9"/>
      <c r="F1010" s="9"/>
      <c r="G1010" s="9" t="s">
        <v>433</v>
      </c>
      <c r="H1010" s="9"/>
      <c r="I1010" s="9" t="n">
        <f aca="false">COUNTA(wijzigingslog!D$2:D$2000)</f>
        <v>6</v>
      </c>
      <c r="J1010" s="9" t="n">
        <f aca="false">IF(D1010="ja",COUNTA(wijzigingslog!$A$2:$A$2000)-I1010,"")</f>
        <v>0</v>
      </c>
    </row>
    <row r="1011" customFormat="false" ht="15" hidden="false" customHeight="false" outlineLevel="0" collapsed="false">
      <c r="A1011" s="9" t="s">
        <v>93</v>
      </c>
      <c r="B1011" s="9" t="s">
        <v>682</v>
      </c>
      <c r="C1011" s="9" t="s">
        <v>283</v>
      </c>
      <c r="D1011" s="9" t="s">
        <v>272</v>
      </c>
      <c r="E1011" s="9"/>
      <c r="F1011" s="9"/>
      <c r="G1011" s="9"/>
      <c r="H1011" s="9"/>
      <c r="I1011" s="9" t="n">
        <f aca="false">COUNTA(wijzigingslog!E$2:E$2000)</f>
        <v>6</v>
      </c>
      <c r="J1011" s="9" t="str">
        <f aca="false">IF(D1011="ja",COUNTA(wijzigingslog!$A$2:$A$2000)-I1011,"")</f>
        <v/>
      </c>
    </row>
    <row r="1012" customFormat="false" ht="15" hidden="false" customHeight="false" outlineLevel="0" collapsed="false">
      <c r="A1012" s="9" t="s">
        <v>93</v>
      </c>
      <c r="B1012" s="9" t="s">
        <v>683</v>
      </c>
      <c r="C1012" s="9" t="s">
        <v>271</v>
      </c>
      <c r="D1012" s="9" t="s">
        <v>272</v>
      </c>
      <c r="E1012" s="9"/>
      <c r="F1012" s="9"/>
      <c r="G1012" s="9"/>
      <c r="H1012" s="9"/>
      <c r="I1012" s="9" t="n">
        <f aca="false">COUNTA(wijzigingslog!F$2:F$2000)</f>
        <v>6</v>
      </c>
      <c r="J1012" s="9" t="str">
        <f aca="false">IF(D1012="ja",COUNTA(wijzigingslog!$A$2:$A$2000)-I1012,"")</f>
        <v/>
      </c>
    </row>
    <row r="1013" customFormat="false" ht="15" hidden="false" customHeight="false" outlineLevel="0" collapsed="false">
      <c r="A1013" s="9" t="s">
        <v>93</v>
      </c>
      <c r="B1013" s="9" t="s">
        <v>684</v>
      </c>
      <c r="C1013" s="9" t="s">
        <v>271</v>
      </c>
      <c r="D1013" s="9" t="s">
        <v>272</v>
      </c>
      <c r="E1013" s="9"/>
      <c r="F1013" s="9"/>
      <c r="G1013" s="9"/>
      <c r="H1013" s="9"/>
      <c r="I1013" s="9" t="n">
        <f aca="false">COUNTA(wijzigingslog!G$2:G$2000)</f>
        <v>6</v>
      </c>
      <c r="J1013" s="9" t="str">
        <f aca="false">IF(D1013="ja",COUNTA(wijzigingslog!$A$2:$A$2000)-I1013,"")</f>
        <v/>
      </c>
    </row>
    <row r="1014" customFormat="false" ht="15" hidden="false" customHeight="false" outlineLevel="0" collapsed="false">
      <c r="A1014" s="9" t="s">
        <v>93</v>
      </c>
      <c r="B1014" s="9" t="s">
        <v>685</v>
      </c>
      <c r="C1014" s="9" t="s">
        <v>271</v>
      </c>
      <c r="D1014" s="9" t="s">
        <v>258</v>
      </c>
      <c r="E1014" s="9"/>
      <c r="F1014" s="9"/>
      <c r="G1014" s="9"/>
      <c r="H1014" s="9"/>
      <c r="I1014" s="9" t="n">
        <f aca="false">COUNTA(wijzigingslog!H$2:H$2000)</f>
        <v>6</v>
      </c>
      <c r="J1014" s="9" t="n">
        <f aca="false">IF(D1014="ja",COUNTA(wijzigingslog!$A$2:$A$2000)-I1014,"")</f>
        <v>0</v>
      </c>
    </row>
    <row r="1015" customFormat="false" ht="15" hidden="false" customHeight="false" outlineLevel="0" collapsed="false">
      <c r="A1015" s="9" t="s">
        <v>93</v>
      </c>
      <c r="B1015" s="9" t="s">
        <v>686</v>
      </c>
      <c r="C1015" s="9" t="s">
        <v>293</v>
      </c>
      <c r="D1015" s="9" t="s">
        <v>258</v>
      </c>
      <c r="E1015" s="9"/>
      <c r="F1015" s="9"/>
      <c r="G1015" s="9"/>
      <c r="H1015" s="9"/>
      <c r="I1015" s="9" t="n">
        <f aca="false">COUNTA(wijzigingslog!I$2:I$2000)</f>
        <v>6</v>
      </c>
      <c r="J1015" s="9" t="n">
        <f aca="false">IF(D1015="ja",COUNTA(wijzigingslog!$A$2:$A$2000)-I1015,"")</f>
        <v>0</v>
      </c>
    </row>
    <row r="1016" customFormat="false" ht="15" hidden="false" customHeight="false" outlineLevel="0" collapsed="false">
      <c r="A1016" s="9" t="s">
        <v>93</v>
      </c>
      <c r="B1016" s="9" t="s">
        <v>687</v>
      </c>
      <c r="C1016" s="9" t="s">
        <v>296</v>
      </c>
      <c r="D1016" s="9" t="s">
        <v>258</v>
      </c>
      <c r="E1016" s="9"/>
      <c r="F1016" s="9"/>
      <c r="G1016" s="9"/>
      <c r="H1016" s="9"/>
      <c r="I1016" s="9" t="n">
        <f aca="false">COUNTA(wijzigingslog!J$2:J$2000)</f>
        <v>6</v>
      </c>
      <c r="J1016" s="9" t="n">
        <f aca="false">IF(D1016="ja",COUNTA(wijzigingslog!$A$2:$A$2000)-I1016,"")</f>
        <v>0</v>
      </c>
    </row>
    <row r="1017" customFormat="false" ht="15" hidden="false" customHeight="false" outlineLevel="0" collapsed="false">
      <c r="A1017" s="9" t="s">
        <v>93</v>
      </c>
      <c r="B1017" s="9" t="s">
        <v>537</v>
      </c>
      <c r="C1017" s="9" t="s">
        <v>323</v>
      </c>
      <c r="D1017" s="9" t="s">
        <v>272</v>
      </c>
      <c r="E1017" s="9" t="s">
        <v>324</v>
      </c>
      <c r="F1017" s="9" t="s">
        <v>551</v>
      </c>
      <c r="G1017" s="9"/>
      <c r="H1017" s="9"/>
      <c r="I1017" s="9" t="n">
        <f aca="false">COUNTA(wijzigingslog!K$2:K$2000)</f>
        <v>0</v>
      </c>
      <c r="J1017" s="9" t="str">
        <f aca="false">IF(D1017="ja",COUNTA(wijzigingslog!$A$2:$A$2000)-I1017,"")</f>
        <v/>
      </c>
    </row>
    <row r="1018" customFormat="false" ht="15" hidden="false" customHeight="false" outlineLevel="0" collapsed="false">
      <c r="A1018" s="9" t="s">
        <v>94</v>
      </c>
      <c r="B1018" s="9" t="s">
        <v>688</v>
      </c>
      <c r="C1018" s="9" t="s">
        <v>257</v>
      </c>
      <c r="D1018" s="9" t="s">
        <v>258</v>
      </c>
      <c r="E1018" s="9" t="s">
        <v>259</v>
      </c>
      <c r="F1018" s="9"/>
      <c r="G1018" s="9"/>
      <c r="H1018" s="9"/>
      <c r="I1018" s="9" t="n">
        <f aca="false">COUNTA(reviewplanning!A$2:A$2000)</f>
        <v>10</v>
      </c>
      <c r="J1018" s="9" t="n">
        <f aca="false">IF(D1018="ja",COUNTA(reviewplanning!$A$2:$A$2000)-I1018,"")</f>
        <v>0</v>
      </c>
    </row>
    <row r="1019" customFormat="false" ht="15" hidden="false" customHeight="false" outlineLevel="0" collapsed="false">
      <c r="A1019" s="9" t="s">
        <v>94</v>
      </c>
      <c r="B1019" s="9" t="s">
        <v>670</v>
      </c>
      <c r="C1019" s="9" t="s">
        <v>453</v>
      </c>
      <c r="D1019" s="9" t="s">
        <v>258</v>
      </c>
      <c r="E1019" s="9"/>
      <c r="F1019" s="9"/>
      <c r="G1019" s="9" t="s">
        <v>433</v>
      </c>
      <c r="H1019" s="9"/>
      <c r="I1019" s="9" t="n">
        <f aca="false">COUNTA(reviewplanning!B$2:B$2000)</f>
        <v>10</v>
      </c>
      <c r="J1019" s="9" t="n">
        <f aca="false">IF(D1019="ja",COUNTA(reviewplanning!$A$2:$A$2000)-I1019,"")</f>
        <v>0</v>
      </c>
    </row>
    <row r="1020" customFormat="false" ht="15" hidden="false" customHeight="false" outlineLevel="0" collapsed="false">
      <c r="A1020" s="9" t="s">
        <v>94</v>
      </c>
      <c r="B1020" s="9" t="s">
        <v>671</v>
      </c>
      <c r="C1020" s="9" t="s">
        <v>257</v>
      </c>
      <c r="D1020" s="9" t="s">
        <v>258</v>
      </c>
      <c r="E1020" s="9"/>
      <c r="F1020" s="9"/>
      <c r="G1020" s="9"/>
      <c r="H1020" s="9"/>
      <c r="I1020" s="9" t="n">
        <f aca="false">COUNTA(reviewplanning!C$2:C$2000)</f>
        <v>10</v>
      </c>
      <c r="J1020" s="9" t="n">
        <f aca="false">IF(D1020="ja",COUNTA(reviewplanning!$A$2:$A$2000)-I1020,"")</f>
        <v>0</v>
      </c>
    </row>
    <row r="1021" customFormat="false" ht="15" hidden="false" customHeight="false" outlineLevel="0" collapsed="false">
      <c r="A1021" s="9" t="s">
        <v>94</v>
      </c>
      <c r="B1021" s="9" t="s">
        <v>631</v>
      </c>
      <c r="C1021" s="9" t="s">
        <v>308</v>
      </c>
      <c r="D1021" s="9" t="s">
        <v>272</v>
      </c>
      <c r="E1021" s="9"/>
      <c r="F1021" s="9"/>
      <c r="G1021" s="9"/>
      <c r="H1021" s="9"/>
      <c r="I1021" s="9" t="n">
        <f aca="false">COUNTA(reviewplanning!D$2:D$2000)</f>
        <v>10</v>
      </c>
      <c r="J1021" s="9" t="str">
        <f aca="false">IF(D1021="ja",COUNTA(reviewplanning!$A$2:$A$2000)-I1021,"")</f>
        <v/>
      </c>
    </row>
    <row r="1022" customFormat="false" ht="15" hidden="false" customHeight="false" outlineLevel="0" collapsed="false">
      <c r="A1022" s="9" t="s">
        <v>94</v>
      </c>
      <c r="B1022" s="9" t="s">
        <v>689</v>
      </c>
      <c r="C1022" s="9" t="s">
        <v>308</v>
      </c>
      <c r="D1022" s="9" t="s">
        <v>258</v>
      </c>
      <c r="E1022" s="9"/>
      <c r="F1022" s="9"/>
      <c r="G1022" s="9"/>
      <c r="H1022" s="9"/>
      <c r="I1022" s="9" t="n">
        <f aca="false">COUNTA(reviewplanning!E$2:E$2000)</f>
        <v>10</v>
      </c>
      <c r="J1022" s="9" t="n">
        <f aca="false">IF(D1022="ja",COUNTA(reviewplanning!$A$2:$A$2000)-I1022,"")</f>
        <v>0</v>
      </c>
    </row>
    <row r="1023" customFormat="false" ht="15" hidden="false" customHeight="false" outlineLevel="0" collapsed="false">
      <c r="A1023" s="9" t="s">
        <v>94</v>
      </c>
      <c r="B1023" s="9" t="s">
        <v>690</v>
      </c>
      <c r="C1023" s="9" t="s">
        <v>286</v>
      </c>
      <c r="D1023" s="9" t="s">
        <v>272</v>
      </c>
      <c r="E1023" s="9"/>
      <c r="F1023" s="9"/>
      <c r="G1023" s="9"/>
      <c r="H1023" s="9"/>
      <c r="I1023" s="9" t="n">
        <f aca="false">COUNTA(reviewplanning!F$2:F$2000)</f>
        <v>10</v>
      </c>
      <c r="J1023" s="9" t="str">
        <f aca="false">IF(D1023="ja",COUNTA(reviewplanning!$A$2:$A$2000)-I1023,"")</f>
        <v/>
      </c>
    </row>
    <row r="1024" customFormat="false" ht="15" hidden="false" customHeight="false" outlineLevel="0" collapsed="false">
      <c r="A1024" s="9" t="s">
        <v>94</v>
      </c>
      <c r="B1024" s="9" t="s">
        <v>691</v>
      </c>
      <c r="C1024" s="9" t="s">
        <v>323</v>
      </c>
      <c r="D1024" s="9" t="s">
        <v>272</v>
      </c>
      <c r="E1024" s="9" t="s">
        <v>324</v>
      </c>
      <c r="F1024" s="9" t="s">
        <v>532</v>
      </c>
      <c r="G1024" s="9"/>
      <c r="H1024" s="9"/>
      <c r="I1024" s="9" t="n">
        <f aca="false">COUNTA(reviewplanning!G$2:G$2000)</f>
        <v>10</v>
      </c>
      <c r="J1024" s="9" t="str">
        <f aca="false">IF(D1024="ja",COUNTA(reviewplanning!$A$2:$A$2000)-I1024,"")</f>
        <v/>
      </c>
    </row>
    <row r="1025" customFormat="false" ht="15" hidden="false" customHeight="false" outlineLevel="0" collapsed="false">
      <c r="A1025" s="9" t="s">
        <v>94</v>
      </c>
      <c r="B1025" s="9" t="s">
        <v>692</v>
      </c>
      <c r="C1025" s="9" t="s">
        <v>265</v>
      </c>
      <c r="D1025" s="9" t="s">
        <v>272</v>
      </c>
      <c r="E1025" s="9"/>
      <c r="F1025" s="9"/>
      <c r="G1025" s="9"/>
      <c r="H1025" s="9"/>
      <c r="I1025" s="9" t="n">
        <f aca="false">COUNTA(reviewplanning!H$2:H$2000)</f>
        <v>10</v>
      </c>
      <c r="J1025" s="9" t="str">
        <f aca="false">IF(D1025="ja",COUNTA(reviewplanning!$A$2:$A$2000)-I1025,"")</f>
        <v/>
      </c>
    </row>
    <row r="1026" customFormat="false" ht="15" hidden="false" customHeight="false" outlineLevel="0" collapsed="false">
      <c r="A1026" s="9" t="s">
        <v>94</v>
      </c>
      <c r="B1026" s="9" t="s">
        <v>693</v>
      </c>
      <c r="C1026" s="9" t="s">
        <v>271</v>
      </c>
      <c r="D1026" s="9" t="s">
        <v>272</v>
      </c>
      <c r="E1026" s="9"/>
      <c r="F1026" s="9"/>
      <c r="G1026" s="9"/>
      <c r="H1026" s="9"/>
      <c r="I1026" s="9" t="n">
        <f aca="false">COUNTA(reviewplanning!I$2:I$2000)</f>
        <v>10</v>
      </c>
      <c r="J1026" s="9" t="str">
        <f aca="false">IF(D1026="ja",COUNTA(reviewplanning!$A$2:$A$2000)-I1026,"")</f>
        <v/>
      </c>
    </row>
    <row r="1027" customFormat="false" ht="15" hidden="false" customHeight="false" outlineLevel="0" collapsed="false">
      <c r="A1027" s="9" t="s">
        <v>94</v>
      </c>
      <c r="B1027" s="9" t="s">
        <v>662</v>
      </c>
      <c r="C1027" s="9" t="s">
        <v>279</v>
      </c>
      <c r="D1027" s="9" t="s">
        <v>258</v>
      </c>
      <c r="E1027" s="9"/>
      <c r="F1027" s="9"/>
      <c r="G1027" s="9" t="s">
        <v>433</v>
      </c>
      <c r="H1027" s="9"/>
      <c r="I1027" s="9" t="n">
        <f aca="false">COUNTA(reviewplanning!J$2:J$2000)</f>
        <v>10</v>
      </c>
      <c r="J1027" s="9" t="n">
        <f aca="false">IF(D1027="ja",COUNTA(reviewplanning!$A$2:$A$2000)-I1027,"")</f>
        <v>0</v>
      </c>
    </row>
    <row r="1028" customFormat="false" ht="15" hidden="false" customHeight="false" outlineLevel="0" collapsed="false">
      <c r="A1028" s="10" t="s">
        <v>94</v>
      </c>
      <c r="B1028" s="10" t="s">
        <v>292</v>
      </c>
      <c r="C1028" s="10" t="s">
        <v>293</v>
      </c>
      <c r="D1028" s="10" t="s">
        <v>258</v>
      </c>
      <c r="E1028" s="10"/>
      <c r="F1028" s="10"/>
      <c r="G1028" s="10"/>
      <c r="H1028" s="10" t="s">
        <v>294</v>
      </c>
      <c r="I1028" s="10" t="n">
        <f aca="false">COUNTA(reviewplanning!K$2:K$2000)</f>
        <v>10</v>
      </c>
      <c r="J1028" s="10" t="n">
        <f aca="false">IF(D1028="ja",COUNTA(reviewplanning!$A$2:$A$2000)-I1028,"")</f>
        <v>0</v>
      </c>
    </row>
    <row r="1029" customFormat="false" ht="15" hidden="false" customHeight="false" outlineLevel="0" collapsed="false">
      <c r="A1029" s="10" t="s">
        <v>94</v>
      </c>
      <c r="B1029" s="10" t="s">
        <v>295</v>
      </c>
      <c r="C1029" s="10" t="s">
        <v>296</v>
      </c>
      <c r="D1029" s="10" t="s">
        <v>258</v>
      </c>
      <c r="E1029" s="10"/>
      <c r="F1029" s="10"/>
      <c r="G1029" s="10"/>
      <c r="H1029" s="10" t="s">
        <v>297</v>
      </c>
      <c r="I1029" s="10" t="n">
        <f aca="false">COUNTA(reviewplanning!L$2:L$2000)</f>
        <v>10</v>
      </c>
      <c r="J1029" s="10" t="n">
        <f aca="false">IF(D1029="ja",COUNTA(reviewplanning!$A$2:$A$2000)-I1029,"")</f>
        <v>0</v>
      </c>
    </row>
    <row r="1030" customFormat="false" ht="15" hidden="false" customHeight="false" outlineLevel="0" collapsed="false">
      <c r="A1030" s="10" t="s">
        <v>94</v>
      </c>
      <c r="B1030" s="10" t="s">
        <v>298</v>
      </c>
      <c r="C1030" s="10" t="s">
        <v>293</v>
      </c>
      <c r="D1030" s="10" t="s">
        <v>258</v>
      </c>
      <c r="E1030" s="10"/>
      <c r="F1030" s="10"/>
      <c r="G1030" s="10"/>
      <c r="H1030" s="10" t="s">
        <v>299</v>
      </c>
      <c r="I1030" s="10" t="n">
        <f aca="false">COUNTA(reviewplanning!M$2:M$2000)</f>
        <v>10</v>
      </c>
      <c r="J1030" s="10" t="n">
        <f aca="false">IF(D1030="ja",COUNTA(reviewplanning!$A$2:$A$2000)-I1030,"")</f>
        <v>0</v>
      </c>
    </row>
    <row r="1031" customFormat="false" ht="15" hidden="false" customHeight="false" outlineLevel="0" collapsed="false">
      <c r="A1031" s="10" t="s">
        <v>94</v>
      </c>
      <c r="B1031" s="10" t="s">
        <v>300</v>
      </c>
      <c r="C1031" s="10" t="s">
        <v>296</v>
      </c>
      <c r="D1031" s="10" t="s">
        <v>258</v>
      </c>
      <c r="E1031" s="10"/>
      <c r="F1031" s="10"/>
      <c r="G1031" s="10"/>
      <c r="H1031" s="10" t="s">
        <v>301</v>
      </c>
      <c r="I1031" s="10" t="n">
        <f aca="false">COUNTA(reviewplanning!N$2:N$2000)</f>
        <v>10</v>
      </c>
      <c r="J1031" s="10" t="n">
        <f aca="false">IF(D1031="ja",COUNTA(reviewplanning!$A$2:$A$2000)-I1031,"")</f>
        <v>0</v>
      </c>
    </row>
    <row r="1032" customFormat="false" ht="15" hidden="false" customHeight="false" outlineLevel="0" collapsed="false">
      <c r="A1032" s="10" t="s">
        <v>94</v>
      </c>
      <c r="B1032" s="10" t="s">
        <v>302</v>
      </c>
      <c r="C1032" s="10" t="s">
        <v>279</v>
      </c>
      <c r="D1032" s="10" t="s">
        <v>258</v>
      </c>
      <c r="E1032" s="10"/>
      <c r="F1032" s="10"/>
      <c r="G1032" s="10" t="s">
        <v>303</v>
      </c>
      <c r="H1032" s="10" t="s">
        <v>304</v>
      </c>
      <c r="I1032" s="10" t="n">
        <f aca="false">COUNTA(reviewplanning!O$2:O$2000)</f>
        <v>10</v>
      </c>
      <c r="J1032" s="10" t="n">
        <f aca="false">IF(D1032="ja",COUNTA(reviewplanning!$A$2:$A$2000)-I1032,"")</f>
        <v>0</v>
      </c>
    </row>
    <row r="1033" customFormat="false" ht="15" hidden="false" customHeight="false" outlineLevel="0" collapsed="false">
      <c r="A1033" s="10" t="s">
        <v>94</v>
      </c>
      <c r="B1033" s="10" t="s">
        <v>305</v>
      </c>
      <c r="C1033" s="10" t="s">
        <v>286</v>
      </c>
      <c r="D1033" s="10" t="s">
        <v>258</v>
      </c>
      <c r="E1033" s="10"/>
      <c r="F1033" s="10"/>
      <c r="G1033" s="10"/>
      <c r="H1033" s="10" t="s">
        <v>306</v>
      </c>
      <c r="I1033" s="10" t="n">
        <f aca="false">COUNTA(reviewplanning!P$2:P$2000)</f>
        <v>10</v>
      </c>
      <c r="J1033" s="10" t="n">
        <f aca="false">IF(D1033="ja",COUNTA(reviewplanning!$A$2:$A$2000)-I1033,"")</f>
        <v>0</v>
      </c>
    </row>
    <row r="1034" customFormat="false" ht="15" hidden="false" customHeight="false" outlineLevel="0" collapsed="false">
      <c r="A1034" s="10" t="s">
        <v>94</v>
      </c>
      <c r="B1034" s="10" t="s">
        <v>307</v>
      </c>
      <c r="C1034" s="10" t="s">
        <v>308</v>
      </c>
      <c r="D1034" s="10" t="s">
        <v>272</v>
      </c>
      <c r="E1034" s="10"/>
      <c r="F1034" s="10"/>
      <c r="G1034" s="10"/>
      <c r="H1034" s="10" t="s">
        <v>309</v>
      </c>
      <c r="I1034" s="10" t="n">
        <f aca="false">COUNTA(reviewplanning!Q$2:Q$2000)</f>
        <v>0</v>
      </c>
      <c r="J1034" s="10" t="str">
        <f aca="false">IF(D1034="ja",COUNTA(reviewplanning!$A$2:$A$2000)-I1034,"")</f>
        <v/>
      </c>
    </row>
    <row r="1035" customFormat="false" ht="15" hidden="false" customHeight="false" outlineLevel="0" collapsed="false">
      <c r="A1035" s="10" t="s">
        <v>94</v>
      </c>
      <c r="B1035" s="10" t="s">
        <v>310</v>
      </c>
      <c r="C1035" s="10" t="s">
        <v>308</v>
      </c>
      <c r="D1035" s="10" t="s">
        <v>272</v>
      </c>
      <c r="E1035" s="10"/>
      <c r="F1035" s="10"/>
      <c r="G1035" s="10"/>
      <c r="H1035" s="10" t="s">
        <v>311</v>
      </c>
      <c r="I1035" s="10" t="n">
        <f aca="false">COUNTA(reviewplanning!R$2:R$2000)</f>
        <v>0</v>
      </c>
      <c r="J1035" s="10" t="str">
        <f aca="false">IF(D1035="ja",COUNTA(reviewplanning!$A$2:$A$2000)-I1035,"")</f>
        <v/>
      </c>
    </row>
    <row r="1036" customFormat="false" ht="15" hidden="false" customHeight="false" outlineLevel="0" collapsed="false">
      <c r="A1036" s="10" t="s">
        <v>94</v>
      </c>
      <c r="B1036" s="10" t="s">
        <v>312</v>
      </c>
      <c r="C1036" s="10" t="s">
        <v>271</v>
      </c>
      <c r="D1036" s="10" t="s">
        <v>272</v>
      </c>
      <c r="E1036" s="10"/>
      <c r="F1036" s="10"/>
      <c r="G1036" s="10"/>
      <c r="H1036" s="10" t="s">
        <v>313</v>
      </c>
      <c r="I1036" s="10" t="n">
        <f aca="false">COUNTA(reviewplanning!S$2:S$2000)</f>
        <v>10</v>
      </c>
      <c r="J1036" s="10" t="str">
        <f aca="false">IF(D1036="ja",COUNTA(reviewplanning!$A$2:$A$2000)-I1036,"")</f>
        <v/>
      </c>
    </row>
    <row r="1037" customFormat="false" ht="15" hidden="false" customHeight="false" outlineLevel="0" collapsed="false">
      <c r="A1037" s="9" t="s">
        <v>95</v>
      </c>
      <c r="B1037" s="9" t="s">
        <v>694</v>
      </c>
      <c r="C1037" s="9" t="s">
        <v>257</v>
      </c>
      <c r="D1037" s="9" t="s">
        <v>258</v>
      </c>
      <c r="E1037" s="9" t="s">
        <v>259</v>
      </c>
      <c r="F1037" s="9"/>
      <c r="G1037" s="9"/>
      <c r="H1037" s="9"/>
      <c r="I1037" s="9" t="n">
        <f aca="false">COUNTA(kennisanalyse!A$2:A$2000)</f>
        <v>16</v>
      </c>
      <c r="J1037" s="9" t="n">
        <f aca="false">IF(D1037="ja",COUNTA(kennisanalyse!$A$2:$A$2000)-I1037,"")</f>
        <v>0</v>
      </c>
    </row>
    <row r="1038" customFormat="false" ht="15" hidden="false" customHeight="false" outlineLevel="0" collapsed="false">
      <c r="A1038" s="9" t="s">
        <v>95</v>
      </c>
      <c r="B1038" s="9" t="s">
        <v>695</v>
      </c>
      <c r="C1038" s="9" t="s">
        <v>262</v>
      </c>
      <c r="D1038" s="9" t="s">
        <v>258</v>
      </c>
      <c r="E1038" s="9"/>
      <c r="F1038" s="9"/>
      <c r="G1038" s="9"/>
      <c r="H1038" s="9"/>
      <c r="I1038" s="9" t="n">
        <f aca="false">COUNTA(kennisanalyse!B$2:B$2000)</f>
        <v>16</v>
      </c>
      <c r="J1038" s="9" t="n">
        <f aca="false">IF(D1038="ja",COUNTA(kennisanalyse!$A$2:$A$2000)-I1038,"")</f>
        <v>0</v>
      </c>
    </row>
    <row r="1039" customFormat="false" ht="68.65" hidden="false" customHeight="false" outlineLevel="0" collapsed="false">
      <c r="A1039" s="9" t="s">
        <v>95</v>
      </c>
      <c r="B1039" s="9" t="s">
        <v>696</v>
      </c>
      <c r="C1039" s="9" t="s">
        <v>453</v>
      </c>
      <c r="D1039" s="9" t="s">
        <v>258</v>
      </c>
      <c r="E1039" s="9"/>
      <c r="F1039" s="9"/>
      <c r="G1039" s="9" t="s">
        <v>697</v>
      </c>
      <c r="H1039" s="9"/>
      <c r="I1039" s="9" t="n">
        <f aca="false">COUNTA(kennisanalyse!C$2:C$2000)</f>
        <v>16</v>
      </c>
      <c r="J1039" s="9" t="n">
        <f aca="false">IF(D1039="ja",COUNTA(kennisanalyse!$A$2:$A$2000)-I1039,"")</f>
        <v>0</v>
      </c>
    </row>
    <row r="1040" customFormat="false" ht="15" hidden="false" customHeight="false" outlineLevel="0" collapsed="false">
      <c r="A1040" s="9" t="s">
        <v>95</v>
      </c>
      <c r="B1040" s="9" t="s">
        <v>445</v>
      </c>
      <c r="C1040" s="9" t="s">
        <v>523</v>
      </c>
      <c r="D1040" s="9" t="s">
        <v>258</v>
      </c>
      <c r="E1040" s="9"/>
      <c r="F1040" s="9"/>
      <c r="G1040" s="9"/>
      <c r="H1040" s="9"/>
      <c r="I1040" s="9" t="n">
        <f aca="false">COUNTA(kennisanalyse!D$2:D$2000)</f>
        <v>16</v>
      </c>
      <c r="J1040" s="9" t="n">
        <f aca="false">IF(D1040="ja",COUNTA(kennisanalyse!$A$2:$A$2000)-I1040,"")</f>
        <v>0</v>
      </c>
    </row>
    <row r="1041" customFormat="false" ht="15" hidden="false" customHeight="false" outlineLevel="0" collapsed="false">
      <c r="A1041" s="9" t="s">
        <v>95</v>
      </c>
      <c r="B1041" s="9" t="s">
        <v>319</v>
      </c>
      <c r="C1041" s="9" t="s">
        <v>271</v>
      </c>
      <c r="D1041" s="9" t="s">
        <v>258</v>
      </c>
      <c r="E1041" s="9"/>
      <c r="F1041" s="9"/>
      <c r="G1041" s="9"/>
      <c r="H1041" s="9"/>
      <c r="I1041" s="9" t="n">
        <f aca="false">COUNTA(kennisanalyse!E$2:E$2000)</f>
        <v>16</v>
      </c>
      <c r="J1041" s="9" t="n">
        <f aca="false">IF(D1041="ja",COUNTA(kennisanalyse!$A$2:$A$2000)-I1041,"")</f>
        <v>0</v>
      </c>
    </row>
    <row r="1042" customFormat="false" ht="15" hidden="false" customHeight="false" outlineLevel="0" collapsed="false">
      <c r="A1042" s="9" t="s">
        <v>95</v>
      </c>
      <c r="B1042" s="9" t="s">
        <v>322</v>
      </c>
      <c r="C1042" s="9" t="s">
        <v>323</v>
      </c>
      <c r="D1042" s="9" t="s">
        <v>272</v>
      </c>
      <c r="E1042" s="9" t="s">
        <v>324</v>
      </c>
      <c r="F1042" s="9" t="s">
        <v>347</v>
      </c>
      <c r="G1042" s="9"/>
      <c r="H1042" s="9"/>
      <c r="I1042" s="9" t="n">
        <f aca="false">COUNTA(kennisanalyse!F$2:F$2000)</f>
        <v>6</v>
      </c>
      <c r="J1042" s="9" t="str">
        <f aca="false">IF(D1042="ja",COUNTA(kennisanalyse!$A$2:$A$2000)-I1042,"")</f>
        <v/>
      </c>
    </row>
    <row r="1043" customFormat="false" ht="23.85" hidden="false" customHeight="false" outlineLevel="0" collapsed="false">
      <c r="A1043" s="9" t="s">
        <v>95</v>
      </c>
      <c r="B1043" s="9" t="s">
        <v>353</v>
      </c>
      <c r="C1043" s="9" t="s">
        <v>323</v>
      </c>
      <c r="D1043" s="9" t="s">
        <v>272</v>
      </c>
      <c r="E1043" s="9" t="s">
        <v>324</v>
      </c>
      <c r="F1043" s="9" t="s">
        <v>460</v>
      </c>
      <c r="G1043" s="9"/>
      <c r="H1043" s="9"/>
      <c r="I1043" s="9" t="n">
        <f aca="false">COUNTA(kennisanalyse!G$2:G$2000)</f>
        <v>6</v>
      </c>
      <c r="J1043" s="9" t="str">
        <f aca="false">IF(D1043="ja",COUNTA(kennisanalyse!$A$2:$A$2000)-I1043,"")</f>
        <v/>
      </c>
    </row>
    <row r="1044" customFormat="false" ht="15" hidden="false" customHeight="false" outlineLevel="0" collapsed="false">
      <c r="A1044" s="9" t="s">
        <v>95</v>
      </c>
      <c r="B1044" s="9" t="s">
        <v>386</v>
      </c>
      <c r="C1044" s="9" t="s">
        <v>323</v>
      </c>
      <c r="D1044" s="9" t="s">
        <v>272</v>
      </c>
      <c r="E1044" s="9" t="s">
        <v>324</v>
      </c>
      <c r="F1044" s="9" t="s">
        <v>407</v>
      </c>
      <c r="G1044" s="9"/>
      <c r="H1044" s="9"/>
      <c r="I1044" s="9" t="n">
        <f aca="false">COUNTA(kennisanalyse!H$2:H$2000)</f>
        <v>1</v>
      </c>
      <c r="J1044" s="9" t="str">
        <f aca="false">IF(D1044="ja",COUNTA(kennisanalyse!$A$2:$A$2000)-I1044,"")</f>
        <v/>
      </c>
    </row>
    <row r="1045" customFormat="false" ht="15" hidden="false" customHeight="false" outlineLevel="0" collapsed="false">
      <c r="A1045" s="9" t="s">
        <v>95</v>
      </c>
      <c r="B1045" s="9" t="s">
        <v>418</v>
      </c>
      <c r="C1045" s="9" t="s">
        <v>323</v>
      </c>
      <c r="D1045" s="9" t="s">
        <v>272</v>
      </c>
      <c r="E1045" s="9" t="s">
        <v>324</v>
      </c>
      <c r="F1045" s="9" t="s">
        <v>569</v>
      </c>
      <c r="G1045" s="9"/>
      <c r="H1045" s="9"/>
      <c r="I1045" s="9" t="n">
        <f aca="false">COUNTA(kennisanalyse!I$2:I$2000)</f>
        <v>2</v>
      </c>
      <c r="J1045" s="9" t="str">
        <f aca="false">IF(D1045="ja",COUNTA(kennisanalyse!$A$2:$A$2000)-I1045,"")</f>
        <v/>
      </c>
    </row>
    <row r="1046" customFormat="false" ht="15" hidden="false" customHeight="false" outlineLevel="0" collapsed="false">
      <c r="A1046" s="9" t="s">
        <v>95</v>
      </c>
      <c r="B1046" s="9" t="s">
        <v>414</v>
      </c>
      <c r="C1046" s="9" t="s">
        <v>323</v>
      </c>
      <c r="D1046" s="9" t="s">
        <v>272</v>
      </c>
      <c r="E1046" s="9" t="s">
        <v>324</v>
      </c>
      <c r="F1046" s="9" t="s">
        <v>417</v>
      </c>
      <c r="G1046" s="9"/>
      <c r="H1046" s="9"/>
      <c r="I1046" s="9" t="n">
        <f aca="false">COUNTA(kennisanalyse!J$2:J$2000)</f>
        <v>1</v>
      </c>
      <c r="J1046" s="9" t="str">
        <f aca="false">IF(D1046="ja",COUNTA(kennisanalyse!$A$2:$A$2000)-I1046,"")</f>
        <v/>
      </c>
    </row>
    <row r="1047" customFormat="false" ht="15" hidden="false" customHeight="false" outlineLevel="0" collapsed="false">
      <c r="A1047" s="9" t="s">
        <v>95</v>
      </c>
      <c r="B1047" s="9" t="s">
        <v>412</v>
      </c>
      <c r="C1047" s="9" t="s">
        <v>323</v>
      </c>
      <c r="D1047" s="9" t="s">
        <v>272</v>
      </c>
      <c r="E1047" s="9" t="s">
        <v>324</v>
      </c>
      <c r="F1047" s="9" t="s">
        <v>573</v>
      </c>
      <c r="G1047" s="9"/>
      <c r="H1047" s="9"/>
      <c r="I1047" s="9" t="n">
        <f aca="false">COUNTA(kennisanalyse!K$2:K$2000)</f>
        <v>1</v>
      </c>
      <c r="J1047" s="9" t="str">
        <f aca="false">IF(D1047="ja",COUNTA(kennisanalyse!$A$2:$A$2000)-I1047,"")</f>
        <v/>
      </c>
    </row>
    <row r="1048" customFormat="false" ht="15" hidden="false" customHeight="false" outlineLevel="0" collapsed="false">
      <c r="A1048" s="9" t="s">
        <v>95</v>
      </c>
      <c r="B1048" s="9" t="s">
        <v>698</v>
      </c>
      <c r="C1048" s="9" t="s">
        <v>286</v>
      </c>
      <c r="D1048" s="9" t="s">
        <v>272</v>
      </c>
      <c r="E1048" s="9"/>
      <c r="F1048" s="9"/>
      <c r="G1048" s="9"/>
      <c r="H1048" s="9"/>
      <c r="I1048" s="9" t="n">
        <f aca="false">COUNTA(kennisanalyse!L$2:L$2000)</f>
        <v>6</v>
      </c>
      <c r="J1048" s="9" t="str">
        <f aca="false">IF(D1048="ja",COUNTA(kennisanalyse!$A$2:$A$2000)-I1048,"")</f>
        <v/>
      </c>
    </row>
    <row r="1049" customFormat="false" ht="15" hidden="false" customHeight="false" outlineLevel="0" collapsed="false">
      <c r="A1049" s="9" t="s">
        <v>95</v>
      </c>
      <c r="B1049" s="9" t="s">
        <v>652</v>
      </c>
      <c r="C1049" s="9" t="s">
        <v>262</v>
      </c>
      <c r="D1049" s="9" t="s">
        <v>272</v>
      </c>
      <c r="E1049" s="9"/>
      <c r="F1049" s="9"/>
      <c r="G1049" s="9" t="s">
        <v>433</v>
      </c>
      <c r="H1049" s="9"/>
      <c r="I1049" s="9" t="n">
        <f aca="false">COUNTA(kennisanalyse!M$2:M$2000)</f>
        <v>6</v>
      </c>
      <c r="J1049" s="9" t="str">
        <f aca="false">IF(D1049="ja",COUNTA(kennisanalyse!$A$2:$A$2000)-I1049,"")</f>
        <v/>
      </c>
    </row>
    <row r="1050" customFormat="false" ht="15" hidden="false" customHeight="false" outlineLevel="0" collapsed="false">
      <c r="A1050" s="9" t="s">
        <v>95</v>
      </c>
      <c r="B1050" s="9" t="s">
        <v>641</v>
      </c>
      <c r="C1050" s="9" t="s">
        <v>262</v>
      </c>
      <c r="D1050" s="9" t="s">
        <v>272</v>
      </c>
      <c r="E1050" s="9"/>
      <c r="F1050" s="9"/>
      <c r="G1050" s="9" t="s">
        <v>433</v>
      </c>
      <c r="H1050" s="9"/>
      <c r="I1050" s="9" t="n">
        <f aca="false">COUNTA(kennisanalyse!N$2:N$2000)</f>
        <v>11</v>
      </c>
      <c r="J1050" s="9" t="str">
        <f aca="false">IF(D1050="ja",COUNTA(kennisanalyse!$A$2:$A$2000)-I1050,"")</f>
        <v/>
      </c>
    </row>
    <row r="1051" customFormat="false" ht="15" hidden="false" customHeight="false" outlineLevel="0" collapsed="false">
      <c r="A1051" s="9" t="s">
        <v>95</v>
      </c>
      <c r="B1051" s="9" t="s">
        <v>448</v>
      </c>
      <c r="C1051" s="9" t="s">
        <v>271</v>
      </c>
      <c r="D1051" s="9" t="s">
        <v>272</v>
      </c>
      <c r="E1051" s="9"/>
      <c r="F1051" s="9"/>
      <c r="G1051" s="9"/>
      <c r="H1051" s="9"/>
      <c r="I1051" s="9" t="n">
        <f aca="false">COUNTA(kennisanalyse!O$2:O$2000)</f>
        <v>16</v>
      </c>
      <c r="J1051" s="9" t="str">
        <f aca="false">IF(D1051="ja",COUNTA(kennisanalyse!$A$2:$A$2000)-I1051,"")</f>
        <v/>
      </c>
    </row>
    <row r="1052" customFormat="false" ht="15" hidden="false" customHeight="false" outlineLevel="0" collapsed="false">
      <c r="A1052" s="9" t="s">
        <v>95</v>
      </c>
      <c r="B1052" s="9" t="s">
        <v>662</v>
      </c>
      <c r="C1052" s="9" t="s">
        <v>279</v>
      </c>
      <c r="D1052" s="9" t="s">
        <v>258</v>
      </c>
      <c r="E1052" s="9"/>
      <c r="F1052" s="9"/>
      <c r="G1052" s="9" t="s">
        <v>433</v>
      </c>
      <c r="H1052" s="9"/>
      <c r="I1052" s="9" t="n">
        <f aca="false">COUNTA(kennisanalyse!P$2:P$2000)</f>
        <v>16</v>
      </c>
      <c r="J1052" s="9" t="n">
        <f aca="false">IF(D1052="ja",COUNTA(kennisanalyse!$A$2:$A$2000)-I1052,"")</f>
        <v>0</v>
      </c>
    </row>
    <row r="1053" customFormat="false" ht="15" hidden="false" customHeight="false" outlineLevel="0" collapsed="false">
      <c r="A1053" s="9" t="s">
        <v>95</v>
      </c>
      <c r="B1053" s="9" t="s">
        <v>458</v>
      </c>
      <c r="C1053" s="9" t="s">
        <v>289</v>
      </c>
      <c r="D1053" s="9" t="s">
        <v>258</v>
      </c>
      <c r="E1053" s="9"/>
      <c r="F1053" s="9"/>
      <c r="G1053" s="9" t="s">
        <v>290</v>
      </c>
      <c r="H1053" s="9"/>
      <c r="I1053" s="9" t="n">
        <f aca="false">COUNTA(kennisanalyse!Q$2:Q$2000)</f>
        <v>16</v>
      </c>
      <c r="J1053" s="9" t="n">
        <f aca="false">IF(D1053="ja",COUNTA(kennisanalyse!$A$2:$A$2000)-I1053,"")</f>
        <v>0</v>
      </c>
    </row>
    <row r="1054" customFormat="false" ht="15" hidden="false" customHeight="false" outlineLevel="0" collapsed="false">
      <c r="A1054" s="10" t="s">
        <v>95</v>
      </c>
      <c r="B1054" s="10" t="s">
        <v>292</v>
      </c>
      <c r="C1054" s="10" t="s">
        <v>293</v>
      </c>
      <c r="D1054" s="10" t="s">
        <v>258</v>
      </c>
      <c r="E1054" s="10"/>
      <c r="F1054" s="10"/>
      <c r="G1054" s="10"/>
      <c r="H1054" s="10" t="s">
        <v>294</v>
      </c>
      <c r="I1054" s="10" t="n">
        <f aca="false">COUNTA(kennisanalyse!R$2:R$2000)</f>
        <v>16</v>
      </c>
      <c r="J1054" s="10" t="n">
        <f aca="false">IF(D1054="ja",COUNTA(kennisanalyse!$A$2:$A$2000)-I1054,"")</f>
        <v>0</v>
      </c>
    </row>
    <row r="1055" customFormat="false" ht="15" hidden="false" customHeight="false" outlineLevel="0" collapsed="false">
      <c r="A1055" s="10" t="s">
        <v>95</v>
      </c>
      <c r="B1055" s="10" t="s">
        <v>295</v>
      </c>
      <c r="C1055" s="10" t="s">
        <v>296</v>
      </c>
      <c r="D1055" s="10" t="s">
        <v>258</v>
      </c>
      <c r="E1055" s="10"/>
      <c r="F1055" s="10"/>
      <c r="G1055" s="10"/>
      <c r="H1055" s="10" t="s">
        <v>297</v>
      </c>
      <c r="I1055" s="10" t="n">
        <f aca="false">COUNTA(kennisanalyse!S$2:S$2000)</f>
        <v>16</v>
      </c>
      <c r="J1055" s="10" t="n">
        <f aca="false">IF(D1055="ja",COUNTA(kennisanalyse!$A$2:$A$2000)-I1055,"")</f>
        <v>0</v>
      </c>
    </row>
    <row r="1056" customFormat="false" ht="15" hidden="false" customHeight="false" outlineLevel="0" collapsed="false">
      <c r="A1056" s="10" t="s">
        <v>95</v>
      </c>
      <c r="B1056" s="10" t="s">
        <v>298</v>
      </c>
      <c r="C1056" s="10" t="s">
        <v>293</v>
      </c>
      <c r="D1056" s="10" t="s">
        <v>258</v>
      </c>
      <c r="E1056" s="10"/>
      <c r="F1056" s="10"/>
      <c r="G1056" s="10"/>
      <c r="H1056" s="10" t="s">
        <v>299</v>
      </c>
      <c r="I1056" s="10" t="n">
        <f aca="false">COUNTA(kennisanalyse!T$2:T$2000)</f>
        <v>16</v>
      </c>
      <c r="J1056" s="10" t="n">
        <f aca="false">IF(D1056="ja",COUNTA(kennisanalyse!$A$2:$A$2000)-I1056,"")</f>
        <v>0</v>
      </c>
    </row>
    <row r="1057" customFormat="false" ht="15" hidden="false" customHeight="false" outlineLevel="0" collapsed="false">
      <c r="A1057" s="10" t="s">
        <v>95</v>
      </c>
      <c r="B1057" s="10" t="s">
        <v>300</v>
      </c>
      <c r="C1057" s="10" t="s">
        <v>296</v>
      </c>
      <c r="D1057" s="10" t="s">
        <v>258</v>
      </c>
      <c r="E1057" s="10"/>
      <c r="F1057" s="10"/>
      <c r="G1057" s="10"/>
      <c r="H1057" s="10" t="s">
        <v>301</v>
      </c>
      <c r="I1057" s="10" t="n">
        <f aca="false">COUNTA(kennisanalyse!U$2:U$2000)</f>
        <v>16</v>
      </c>
      <c r="J1057" s="10" t="n">
        <f aca="false">IF(D1057="ja",COUNTA(kennisanalyse!$A$2:$A$2000)-I1057,"")</f>
        <v>0</v>
      </c>
    </row>
    <row r="1058" customFormat="false" ht="15" hidden="false" customHeight="false" outlineLevel="0" collapsed="false">
      <c r="A1058" s="10" t="s">
        <v>95</v>
      </c>
      <c r="B1058" s="10" t="s">
        <v>302</v>
      </c>
      <c r="C1058" s="10" t="s">
        <v>279</v>
      </c>
      <c r="D1058" s="10" t="s">
        <v>258</v>
      </c>
      <c r="E1058" s="10"/>
      <c r="F1058" s="10"/>
      <c r="G1058" s="10" t="s">
        <v>303</v>
      </c>
      <c r="H1058" s="10" t="s">
        <v>304</v>
      </c>
      <c r="I1058" s="10" t="n">
        <f aca="false">COUNTA(kennisanalyse!V$2:V$2000)</f>
        <v>16</v>
      </c>
      <c r="J1058" s="10" t="n">
        <f aca="false">IF(D1058="ja",COUNTA(kennisanalyse!$A$2:$A$2000)-I1058,"")</f>
        <v>0</v>
      </c>
    </row>
    <row r="1059" customFormat="false" ht="15" hidden="false" customHeight="false" outlineLevel="0" collapsed="false">
      <c r="A1059" s="10" t="s">
        <v>95</v>
      </c>
      <c r="B1059" s="10" t="s">
        <v>305</v>
      </c>
      <c r="C1059" s="10" t="s">
        <v>286</v>
      </c>
      <c r="D1059" s="10" t="s">
        <v>258</v>
      </c>
      <c r="E1059" s="10"/>
      <c r="F1059" s="10"/>
      <c r="G1059" s="10"/>
      <c r="H1059" s="10" t="s">
        <v>306</v>
      </c>
      <c r="I1059" s="10" t="n">
        <f aca="false">COUNTA(kennisanalyse!W$2:W$2000)</f>
        <v>16</v>
      </c>
      <c r="J1059" s="10" t="n">
        <f aca="false">IF(D1059="ja",COUNTA(kennisanalyse!$A$2:$A$2000)-I1059,"")</f>
        <v>0</v>
      </c>
    </row>
    <row r="1060" customFormat="false" ht="15" hidden="false" customHeight="false" outlineLevel="0" collapsed="false">
      <c r="A1060" s="10" t="s">
        <v>95</v>
      </c>
      <c r="B1060" s="10" t="s">
        <v>307</v>
      </c>
      <c r="C1060" s="10" t="s">
        <v>308</v>
      </c>
      <c r="D1060" s="10" t="s">
        <v>272</v>
      </c>
      <c r="E1060" s="10"/>
      <c r="F1060" s="10"/>
      <c r="G1060" s="10"/>
      <c r="H1060" s="10" t="s">
        <v>309</v>
      </c>
      <c r="I1060" s="10" t="n">
        <f aca="false">COUNTA(kennisanalyse!X$2:X$2000)</f>
        <v>0</v>
      </c>
      <c r="J1060" s="10" t="str">
        <f aca="false">IF(D1060="ja",COUNTA(kennisanalyse!$A$2:$A$2000)-I1060,"")</f>
        <v/>
      </c>
    </row>
    <row r="1061" customFormat="false" ht="15" hidden="false" customHeight="false" outlineLevel="0" collapsed="false">
      <c r="A1061" s="10" t="s">
        <v>95</v>
      </c>
      <c r="B1061" s="10" t="s">
        <v>310</v>
      </c>
      <c r="C1061" s="10" t="s">
        <v>308</v>
      </c>
      <c r="D1061" s="10" t="s">
        <v>272</v>
      </c>
      <c r="E1061" s="10"/>
      <c r="F1061" s="10"/>
      <c r="G1061" s="10"/>
      <c r="H1061" s="10" t="s">
        <v>311</v>
      </c>
      <c r="I1061" s="10" t="n">
        <f aca="false">COUNTA(kennisanalyse!Y$2:Y$2000)</f>
        <v>0</v>
      </c>
      <c r="J1061" s="10" t="str">
        <f aca="false">IF(D1061="ja",COUNTA(kennisanalyse!$A$2:$A$2000)-I1061,"")</f>
        <v/>
      </c>
    </row>
    <row r="1062" customFormat="false" ht="15" hidden="false" customHeight="false" outlineLevel="0" collapsed="false">
      <c r="A1062" s="10" t="s">
        <v>95</v>
      </c>
      <c r="B1062" s="10" t="s">
        <v>312</v>
      </c>
      <c r="C1062" s="10" t="s">
        <v>271</v>
      </c>
      <c r="D1062" s="10" t="s">
        <v>272</v>
      </c>
      <c r="E1062" s="10"/>
      <c r="F1062" s="10"/>
      <c r="G1062" s="10"/>
      <c r="H1062" s="10" t="s">
        <v>313</v>
      </c>
      <c r="I1062" s="10" t="n">
        <f aca="false">COUNTA(kennisanalyse!Z$2:Z$2000)</f>
        <v>16</v>
      </c>
      <c r="J1062" s="10" t="str">
        <f aca="false">IF(D1062="ja",COUNTA(kennisanalyse!$A$2:$A$2000)-I1062,"")</f>
        <v/>
      </c>
    </row>
    <row r="1063" customFormat="false" ht="15" hidden="false" customHeight="false" outlineLevel="0" collapsed="false">
      <c r="A1063" s="9" t="s">
        <v>96</v>
      </c>
      <c r="B1063" s="9" t="s">
        <v>699</v>
      </c>
      <c r="C1063" s="9" t="s">
        <v>257</v>
      </c>
      <c r="D1063" s="9" t="s">
        <v>258</v>
      </c>
      <c r="E1063" s="9" t="s">
        <v>259</v>
      </c>
      <c r="F1063" s="9"/>
      <c r="G1063" s="9"/>
      <c r="H1063" s="9"/>
      <c r="I1063" s="9" t="n">
        <f aca="false">COUNTA(ontwikkelactie!A$2:A$2000)</f>
        <v>6</v>
      </c>
      <c r="J1063" s="9" t="n">
        <f aca="false">IF(D1063="ja",COUNTA(ontwikkelactie!$A$2:$A$2000)-I1063,"")</f>
        <v>0</v>
      </c>
    </row>
    <row r="1064" customFormat="false" ht="15" hidden="false" customHeight="false" outlineLevel="0" collapsed="false">
      <c r="A1064" s="9" t="s">
        <v>96</v>
      </c>
      <c r="B1064" s="9" t="s">
        <v>694</v>
      </c>
      <c r="C1064" s="9" t="s">
        <v>323</v>
      </c>
      <c r="D1064" s="9" t="s">
        <v>272</v>
      </c>
      <c r="E1064" s="9" t="s">
        <v>324</v>
      </c>
      <c r="F1064" s="9" t="s">
        <v>700</v>
      </c>
      <c r="G1064" s="9"/>
      <c r="H1064" s="9"/>
      <c r="I1064" s="9" t="n">
        <f aca="false">COUNTA(ontwikkelactie!B$2:B$2000)</f>
        <v>6</v>
      </c>
      <c r="J1064" s="9" t="str">
        <f aca="false">IF(D1064="ja",COUNTA(ontwikkelactie!$A$2:$A$2000)-I1064,"")</f>
        <v/>
      </c>
    </row>
    <row r="1065" customFormat="false" ht="15" hidden="false" customHeight="false" outlineLevel="0" collapsed="false">
      <c r="A1065" s="9" t="s">
        <v>96</v>
      </c>
      <c r="B1065" s="9" t="s">
        <v>445</v>
      </c>
      <c r="C1065" s="9" t="s">
        <v>523</v>
      </c>
      <c r="D1065" s="9" t="s">
        <v>258</v>
      </c>
      <c r="E1065" s="9"/>
      <c r="F1065" s="9"/>
      <c r="G1065" s="9"/>
      <c r="H1065" s="9"/>
      <c r="I1065" s="9" t="n">
        <f aca="false">COUNTA(ontwikkelactie!C$2:C$2000)</f>
        <v>6</v>
      </c>
      <c r="J1065" s="9" t="n">
        <f aca="false">IF(D1065="ja",COUNTA(ontwikkelactie!$A$2:$A$2000)-I1065,"")</f>
        <v>0</v>
      </c>
    </row>
    <row r="1066" customFormat="false" ht="15" hidden="false" customHeight="false" outlineLevel="0" collapsed="false">
      <c r="A1066" s="9" t="s">
        <v>96</v>
      </c>
      <c r="B1066" s="9" t="s">
        <v>319</v>
      </c>
      <c r="C1066" s="9" t="s">
        <v>271</v>
      </c>
      <c r="D1066" s="9" t="s">
        <v>258</v>
      </c>
      <c r="E1066" s="9"/>
      <c r="F1066" s="9"/>
      <c r="G1066" s="9"/>
      <c r="H1066" s="9"/>
      <c r="I1066" s="9" t="n">
        <f aca="false">COUNTA(ontwikkelactie!D$2:D$2000)</f>
        <v>6</v>
      </c>
      <c r="J1066" s="9" t="n">
        <f aca="false">IF(D1066="ja",COUNTA(ontwikkelactie!$A$2:$A$2000)-I1066,"")</f>
        <v>0</v>
      </c>
    </row>
    <row r="1067" customFormat="false" ht="15" hidden="false" customHeight="false" outlineLevel="0" collapsed="false">
      <c r="A1067" s="9" t="s">
        <v>96</v>
      </c>
      <c r="B1067" s="9" t="s">
        <v>701</v>
      </c>
      <c r="C1067" s="9" t="s">
        <v>453</v>
      </c>
      <c r="D1067" s="9" t="s">
        <v>258</v>
      </c>
      <c r="E1067" s="9"/>
      <c r="F1067" s="9"/>
      <c r="G1067" s="9" t="s">
        <v>433</v>
      </c>
      <c r="H1067" s="9"/>
      <c r="I1067" s="9" t="n">
        <f aca="false">COUNTA(ontwikkelactie!E$2:E$2000)</f>
        <v>6</v>
      </c>
      <c r="J1067" s="9" t="n">
        <f aca="false">IF(D1067="ja",COUNTA(ontwikkelactie!$A$2:$A$2000)-I1067,"")</f>
        <v>0</v>
      </c>
    </row>
    <row r="1068" customFormat="false" ht="15" hidden="false" customHeight="false" outlineLevel="0" collapsed="false">
      <c r="A1068" s="9" t="s">
        <v>96</v>
      </c>
      <c r="B1068" s="9" t="s">
        <v>641</v>
      </c>
      <c r="C1068" s="9" t="s">
        <v>262</v>
      </c>
      <c r="D1068" s="9" t="s">
        <v>258</v>
      </c>
      <c r="E1068" s="9"/>
      <c r="F1068" s="9"/>
      <c r="G1068" s="9" t="s">
        <v>433</v>
      </c>
      <c r="H1068" s="9"/>
      <c r="I1068" s="9" t="n">
        <f aca="false">COUNTA(ontwikkelactie!F$2:F$2000)</f>
        <v>6</v>
      </c>
      <c r="J1068" s="9" t="n">
        <f aca="false">IF(D1068="ja",COUNTA(ontwikkelactie!$A$2:$A$2000)-I1068,"")</f>
        <v>0</v>
      </c>
    </row>
    <row r="1069" customFormat="false" ht="15" hidden="false" customHeight="false" outlineLevel="0" collapsed="false">
      <c r="A1069" s="9" t="s">
        <v>96</v>
      </c>
      <c r="B1069" s="9" t="s">
        <v>702</v>
      </c>
      <c r="C1069" s="9" t="s">
        <v>265</v>
      </c>
      <c r="D1069" s="9" t="s">
        <v>272</v>
      </c>
      <c r="E1069" s="9"/>
      <c r="F1069" s="9"/>
      <c r="G1069" s="9"/>
      <c r="H1069" s="9"/>
      <c r="I1069" s="9" t="n">
        <f aca="false">COUNTA(ontwikkelactie!G$2:G$2000)</f>
        <v>6</v>
      </c>
      <c r="J1069" s="9" t="str">
        <f aca="false">IF(D1069="ja",COUNTA(ontwikkelactie!$A$2:$A$2000)-I1069,"")</f>
        <v/>
      </c>
    </row>
    <row r="1070" customFormat="false" ht="15" hidden="false" customHeight="false" outlineLevel="0" collapsed="false">
      <c r="A1070" s="9" t="s">
        <v>96</v>
      </c>
      <c r="B1070" s="9" t="s">
        <v>703</v>
      </c>
      <c r="C1070" s="9" t="s">
        <v>308</v>
      </c>
      <c r="D1070" s="9" t="s">
        <v>272</v>
      </c>
      <c r="E1070" s="9"/>
      <c r="F1070" s="9"/>
      <c r="G1070" s="9"/>
      <c r="H1070" s="9"/>
      <c r="I1070" s="9" t="n">
        <f aca="false">COUNTA(ontwikkelactie!H$2:H$2000)</f>
        <v>6</v>
      </c>
      <c r="J1070" s="9" t="str">
        <f aca="false">IF(D1070="ja",COUNTA(ontwikkelactie!$A$2:$A$2000)-I1070,"")</f>
        <v/>
      </c>
    </row>
    <row r="1071" customFormat="false" ht="15" hidden="false" customHeight="false" outlineLevel="0" collapsed="false">
      <c r="A1071" s="9" t="s">
        <v>96</v>
      </c>
      <c r="B1071" s="9" t="s">
        <v>662</v>
      </c>
      <c r="C1071" s="9" t="s">
        <v>279</v>
      </c>
      <c r="D1071" s="9" t="s">
        <v>258</v>
      </c>
      <c r="E1071" s="9"/>
      <c r="F1071" s="9"/>
      <c r="G1071" s="9" t="s">
        <v>433</v>
      </c>
      <c r="H1071" s="9"/>
      <c r="I1071" s="9" t="n">
        <f aca="false">COUNTA(ontwikkelactie!I$2:I$2000)</f>
        <v>6</v>
      </c>
      <c r="J1071" s="9" t="n">
        <f aca="false">IF(D1071="ja",COUNTA(ontwikkelactie!$A$2:$A$2000)-I1071,"")</f>
        <v>0</v>
      </c>
    </row>
    <row r="1072" customFormat="false" ht="15" hidden="false" customHeight="false" outlineLevel="0" collapsed="false">
      <c r="A1072" s="9" t="s">
        <v>96</v>
      </c>
      <c r="B1072" s="9" t="s">
        <v>704</v>
      </c>
      <c r="C1072" s="9" t="s">
        <v>271</v>
      </c>
      <c r="D1072" s="9" t="s">
        <v>272</v>
      </c>
      <c r="E1072" s="9"/>
      <c r="F1072" s="9"/>
      <c r="G1072" s="9"/>
      <c r="H1072" s="9"/>
      <c r="I1072" s="9" t="n">
        <f aca="false">COUNTA(ontwikkelactie!J$2:J$2000)</f>
        <v>0</v>
      </c>
      <c r="J1072" s="9" t="str">
        <f aca="false">IF(D1072="ja",COUNTA(ontwikkelactie!$A$2:$A$2000)-I1072,"")</f>
        <v/>
      </c>
    </row>
    <row r="1073" customFormat="false" ht="15" hidden="false" customHeight="false" outlineLevel="0" collapsed="false">
      <c r="A1073" s="10" t="s">
        <v>96</v>
      </c>
      <c r="B1073" s="10" t="s">
        <v>292</v>
      </c>
      <c r="C1073" s="10" t="s">
        <v>293</v>
      </c>
      <c r="D1073" s="10" t="s">
        <v>258</v>
      </c>
      <c r="E1073" s="10"/>
      <c r="F1073" s="10"/>
      <c r="G1073" s="10"/>
      <c r="H1073" s="10" t="s">
        <v>294</v>
      </c>
      <c r="I1073" s="10" t="n">
        <f aca="false">COUNTA(ontwikkelactie!K$2:K$2000)</f>
        <v>6</v>
      </c>
      <c r="J1073" s="10" t="n">
        <f aca="false">IF(D1073="ja",COUNTA(ontwikkelactie!$A$2:$A$2000)-I1073,"")</f>
        <v>0</v>
      </c>
    </row>
    <row r="1074" customFormat="false" ht="15" hidden="false" customHeight="false" outlineLevel="0" collapsed="false">
      <c r="A1074" s="10" t="s">
        <v>96</v>
      </c>
      <c r="B1074" s="10" t="s">
        <v>295</v>
      </c>
      <c r="C1074" s="10" t="s">
        <v>296</v>
      </c>
      <c r="D1074" s="10" t="s">
        <v>258</v>
      </c>
      <c r="E1074" s="10"/>
      <c r="F1074" s="10"/>
      <c r="G1074" s="10"/>
      <c r="H1074" s="10" t="s">
        <v>297</v>
      </c>
      <c r="I1074" s="10" t="n">
        <f aca="false">COUNTA(ontwikkelactie!L$2:L$2000)</f>
        <v>6</v>
      </c>
      <c r="J1074" s="10" t="n">
        <f aca="false">IF(D1074="ja",COUNTA(ontwikkelactie!$A$2:$A$2000)-I1074,"")</f>
        <v>0</v>
      </c>
    </row>
    <row r="1075" customFormat="false" ht="15" hidden="false" customHeight="false" outlineLevel="0" collapsed="false">
      <c r="A1075" s="10" t="s">
        <v>96</v>
      </c>
      <c r="B1075" s="10" t="s">
        <v>298</v>
      </c>
      <c r="C1075" s="10" t="s">
        <v>293</v>
      </c>
      <c r="D1075" s="10" t="s">
        <v>258</v>
      </c>
      <c r="E1075" s="10"/>
      <c r="F1075" s="10"/>
      <c r="G1075" s="10"/>
      <c r="H1075" s="10" t="s">
        <v>299</v>
      </c>
      <c r="I1075" s="10" t="n">
        <f aca="false">COUNTA(ontwikkelactie!M$2:M$2000)</f>
        <v>6</v>
      </c>
      <c r="J1075" s="10" t="n">
        <f aca="false">IF(D1075="ja",COUNTA(ontwikkelactie!$A$2:$A$2000)-I1075,"")</f>
        <v>0</v>
      </c>
    </row>
    <row r="1076" customFormat="false" ht="15" hidden="false" customHeight="false" outlineLevel="0" collapsed="false">
      <c r="A1076" s="10" t="s">
        <v>96</v>
      </c>
      <c r="B1076" s="10" t="s">
        <v>300</v>
      </c>
      <c r="C1076" s="10" t="s">
        <v>296</v>
      </c>
      <c r="D1076" s="10" t="s">
        <v>258</v>
      </c>
      <c r="E1076" s="10"/>
      <c r="F1076" s="10"/>
      <c r="G1076" s="10"/>
      <c r="H1076" s="10" t="s">
        <v>301</v>
      </c>
      <c r="I1076" s="10" t="n">
        <f aca="false">COUNTA(ontwikkelactie!N$2:N$2000)</f>
        <v>6</v>
      </c>
      <c r="J1076" s="10" t="n">
        <f aca="false">IF(D1076="ja",COUNTA(ontwikkelactie!$A$2:$A$2000)-I1076,"")</f>
        <v>0</v>
      </c>
    </row>
    <row r="1077" customFormat="false" ht="15" hidden="false" customHeight="false" outlineLevel="0" collapsed="false">
      <c r="A1077" s="10" t="s">
        <v>96</v>
      </c>
      <c r="B1077" s="10" t="s">
        <v>302</v>
      </c>
      <c r="C1077" s="10" t="s">
        <v>279</v>
      </c>
      <c r="D1077" s="10" t="s">
        <v>258</v>
      </c>
      <c r="E1077" s="10"/>
      <c r="F1077" s="10"/>
      <c r="G1077" s="10" t="s">
        <v>303</v>
      </c>
      <c r="H1077" s="10" t="s">
        <v>304</v>
      </c>
      <c r="I1077" s="10" t="n">
        <f aca="false">COUNTA(ontwikkelactie!O$2:O$2000)</f>
        <v>6</v>
      </c>
      <c r="J1077" s="10" t="n">
        <f aca="false">IF(D1077="ja",COUNTA(ontwikkelactie!$A$2:$A$2000)-I1077,"")</f>
        <v>0</v>
      </c>
    </row>
    <row r="1078" customFormat="false" ht="15" hidden="false" customHeight="false" outlineLevel="0" collapsed="false">
      <c r="A1078" s="10" t="s">
        <v>96</v>
      </c>
      <c r="B1078" s="10" t="s">
        <v>305</v>
      </c>
      <c r="C1078" s="10" t="s">
        <v>286</v>
      </c>
      <c r="D1078" s="10" t="s">
        <v>258</v>
      </c>
      <c r="E1078" s="10"/>
      <c r="F1078" s="10"/>
      <c r="G1078" s="10"/>
      <c r="H1078" s="10" t="s">
        <v>306</v>
      </c>
      <c r="I1078" s="10" t="n">
        <f aca="false">COUNTA(ontwikkelactie!P$2:P$2000)</f>
        <v>6</v>
      </c>
      <c r="J1078" s="10" t="n">
        <f aca="false">IF(D1078="ja",COUNTA(ontwikkelactie!$A$2:$A$2000)-I1078,"")</f>
        <v>0</v>
      </c>
    </row>
    <row r="1079" customFormat="false" ht="15" hidden="false" customHeight="false" outlineLevel="0" collapsed="false">
      <c r="A1079" s="10" t="s">
        <v>96</v>
      </c>
      <c r="B1079" s="10" t="s">
        <v>307</v>
      </c>
      <c r="C1079" s="10" t="s">
        <v>308</v>
      </c>
      <c r="D1079" s="10" t="s">
        <v>272</v>
      </c>
      <c r="E1079" s="10"/>
      <c r="F1079" s="10"/>
      <c r="G1079" s="10"/>
      <c r="H1079" s="10" t="s">
        <v>309</v>
      </c>
      <c r="I1079" s="10" t="n">
        <f aca="false">COUNTA(ontwikkelactie!Q$2:Q$2000)</f>
        <v>0</v>
      </c>
      <c r="J1079" s="10" t="str">
        <f aca="false">IF(D1079="ja",COUNTA(ontwikkelactie!$A$2:$A$2000)-I1079,"")</f>
        <v/>
      </c>
    </row>
    <row r="1080" customFormat="false" ht="15" hidden="false" customHeight="false" outlineLevel="0" collapsed="false">
      <c r="A1080" s="10" t="s">
        <v>96</v>
      </c>
      <c r="B1080" s="10" t="s">
        <v>310</v>
      </c>
      <c r="C1080" s="10" t="s">
        <v>308</v>
      </c>
      <c r="D1080" s="10" t="s">
        <v>272</v>
      </c>
      <c r="E1080" s="10"/>
      <c r="F1080" s="10"/>
      <c r="G1080" s="10"/>
      <c r="H1080" s="10" t="s">
        <v>311</v>
      </c>
      <c r="I1080" s="10" t="n">
        <f aca="false">COUNTA(ontwikkelactie!R$2:R$2000)</f>
        <v>0</v>
      </c>
      <c r="J1080" s="10" t="str">
        <f aca="false">IF(D1080="ja",COUNTA(ontwikkelactie!$A$2:$A$2000)-I1080,"")</f>
        <v/>
      </c>
    </row>
    <row r="1081" customFormat="false" ht="15" hidden="false" customHeight="false" outlineLevel="0" collapsed="false">
      <c r="A1081" s="10" t="s">
        <v>96</v>
      </c>
      <c r="B1081" s="10" t="s">
        <v>312</v>
      </c>
      <c r="C1081" s="10" t="s">
        <v>271</v>
      </c>
      <c r="D1081" s="10" t="s">
        <v>272</v>
      </c>
      <c r="E1081" s="10"/>
      <c r="F1081" s="10"/>
      <c r="G1081" s="10"/>
      <c r="H1081" s="10" t="s">
        <v>313</v>
      </c>
      <c r="I1081" s="10" t="n">
        <f aca="false">COUNTA(ontwikkelactie!S$2:S$2000)</f>
        <v>6</v>
      </c>
      <c r="J1081" s="10" t="str">
        <f aca="false">IF(D1081="ja",COUNTA(ontwikkelactie!$A$2:$A$2000)-I1081,"")</f>
        <v/>
      </c>
    </row>
    <row r="1082" customFormat="false" ht="15" hidden="false" customHeight="false" outlineLevel="0" collapsed="false">
      <c r="A1082" s="9" t="s">
        <v>97</v>
      </c>
      <c r="B1082" s="9" t="s">
        <v>705</v>
      </c>
      <c r="C1082" s="9" t="s">
        <v>257</v>
      </c>
      <c r="D1082" s="9" t="s">
        <v>258</v>
      </c>
      <c r="E1082" s="9" t="s">
        <v>259</v>
      </c>
      <c r="F1082" s="9"/>
      <c r="G1082" s="9"/>
      <c r="H1082" s="9"/>
      <c r="I1082" s="9" t="n">
        <f aca="false">COUNTA(gebruikersfeedback!A$2:A$2000)</f>
        <v>8</v>
      </c>
      <c r="J1082" s="9" t="n">
        <f aca="false">IF(D1082="ja",COUNTA(gebruikersfeedback!$A$2:$A$2000)-I1082,"")</f>
        <v>0</v>
      </c>
    </row>
    <row r="1083" customFormat="false" ht="15" hidden="false" customHeight="false" outlineLevel="0" collapsed="false">
      <c r="A1083" s="9" t="s">
        <v>97</v>
      </c>
      <c r="B1083" s="9" t="s">
        <v>670</v>
      </c>
      <c r="C1083" s="9" t="s">
        <v>453</v>
      </c>
      <c r="D1083" s="9" t="s">
        <v>258</v>
      </c>
      <c r="E1083" s="9"/>
      <c r="F1083" s="9"/>
      <c r="G1083" s="9" t="s">
        <v>433</v>
      </c>
      <c r="H1083" s="9"/>
      <c r="I1083" s="9" t="n">
        <f aca="false">COUNTA(gebruikersfeedback!B$2:B$2000)</f>
        <v>8</v>
      </c>
      <c r="J1083" s="9" t="n">
        <f aca="false">IF(D1083="ja",COUNTA(gebruikersfeedback!$A$2:$A$2000)-I1083,"")</f>
        <v>0</v>
      </c>
    </row>
    <row r="1084" customFormat="false" ht="15" hidden="false" customHeight="false" outlineLevel="0" collapsed="false">
      <c r="A1084" s="9" t="s">
        <v>97</v>
      </c>
      <c r="B1084" s="9" t="s">
        <v>671</v>
      </c>
      <c r="C1084" s="9" t="s">
        <v>257</v>
      </c>
      <c r="D1084" s="9" t="s">
        <v>272</v>
      </c>
      <c r="E1084" s="9"/>
      <c r="F1084" s="9"/>
      <c r="G1084" s="9"/>
      <c r="H1084" s="9"/>
      <c r="I1084" s="9" t="n">
        <f aca="false">COUNTA(gebruikersfeedback!C$2:C$2000)</f>
        <v>7</v>
      </c>
      <c r="J1084" s="9" t="str">
        <f aca="false">IF(D1084="ja",COUNTA(gebruikersfeedback!$A$2:$A$2000)-I1084,"")</f>
        <v/>
      </c>
    </row>
    <row r="1085" customFormat="false" ht="46.25" hidden="false" customHeight="false" outlineLevel="0" collapsed="false">
      <c r="A1085" s="9" t="s">
        <v>97</v>
      </c>
      <c r="B1085" s="9" t="s">
        <v>706</v>
      </c>
      <c r="C1085" s="9" t="s">
        <v>453</v>
      </c>
      <c r="D1085" s="9" t="s">
        <v>258</v>
      </c>
      <c r="E1085" s="9"/>
      <c r="F1085" s="9"/>
      <c r="G1085" s="9" t="s">
        <v>707</v>
      </c>
      <c r="H1085" s="9"/>
      <c r="I1085" s="9" t="n">
        <f aca="false">COUNTA(gebruikersfeedback!D$2:D$2000)</f>
        <v>8</v>
      </c>
      <c r="J1085" s="9" t="n">
        <f aca="false">IF(D1085="ja",COUNTA(gebruikersfeedback!$A$2:$A$2000)-I1085,"")</f>
        <v>0</v>
      </c>
    </row>
    <row r="1086" customFormat="false" ht="15" hidden="false" customHeight="false" outlineLevel="0" collapsed="false">
      <c r="A1086" s="9" t="s">
        <v>97</v>
      </c>
      <c r="B1086" s="9" t="s">
        <v>386</v>
      </c>
      <c r="C1086" s="9" t="s">
        <v>323</v>
      </c>
      <c r="D1086" s="9" t="s">
        <v>272</v>
      </c>
      <c r="E1086" s="9" t="s">
        <v>324</v>
      </c>
      <c r="F1086" s="9" t="s">
        <v>407</v>
      </c>
      <c r="G1086" s="9"/>
      <c r="H1086" s="9"/>
      <c r="I1086" s="9" t="n">
        <f aca="false">COUNTA(gebruikersfeedback!E$2:E$2000)</f>
        <v>8</v>
      </c>
      <c r="J1086" s="9" t="str">
        <f aca="false">IF(D1086="ja",COUNTA(gebruikersfeedback!$A$2:$A$2000)-I1086,"")</f>
        <v/>
      </c>
    </row>
    <row r="1087" customFormat="false" ht="15" hidden="false" customHeight="false" outlineLevel="0" collapsed="false">
      <c r="A1087" s="9" t="s">
        <v>97</v>
      </c>
      <c r="B1087" s="9" t="s">
        <v>256</v>
      </c>
      <c r="C1087" s="9" t="s">
        <v>323</v>
      </c>
      <c r="D1087" s="9" t="s">
        <v>272</v>
      </c>
      <c r="E1087" s="9" t="s">
        <v>324</v>
      </c>
      <c r="F1087" s="9" t="s">
        <v>567</v>
      </c>
      <c r="G1087" s="9"/>
      <c r="H1087" s="9"/>
      <c r="I1087" s="9" t="n">
        <f aca="false">COUNTA(gebruikersfeedback!F$2:F$2000)</f>
        <v>8</v>
      </c>
      <c r="J1087" s="9" t="str">
        <f aca="false">IF(D1087="ja",COUNTA(gebruikersfeedback!$A$2:$A$2000)-I1087,"")</f>
        <v/>
      </c>
    </row>
    <row r="1088" customFormat="false" ht="15" hidden="false" customHeight="false" outlineLevel="0" collapsed="false">
      <c r="A1088" s="9" t="s">
        <v>97</v>
      </c>
      <c r="B1088" s="9" t="s">
        <v>708</v>
      </c>
      <c r="C1088" s="9" t="s">
        <v>271</v>
      </c>
      <c r="D1088" s="9" t="s">
        <v>258</v>
      </c>
      <c r="E1088" s="9"/>
      <c r="F1088" s="9"/>
      <c r="G1088" s="9"/>
      <c r="H1088" s="9"/>
      <c r="I1088" s="9" t="n">
        <f aca="false">COUNTA(gebruikersfeedback!G$2:G$2000)</f>
        <v>8</v>
      </c>
      <c r="J1088" s="9" t="n">
        <f aca="false">IF(D1088="ja",COUNTA(gebruikersfeedback!$A$2:$A$2000)-I1088,"")</f>
        <v>0</v>
      </c>
    </row>
    <row r="1089" customFormat="false" ht="15" hidden="false" customHeight="false" outlineLevel="0" collapsed="false">
      <c r="A1089" s="9" t="s">
        <v>97</v>
      </c>
      <c r="B1089" s="9" t="s">
        <v>709</v>
      </c>
      <c r="C1089" s="9" t="s">
        <v>293</v>
      </c>
      <c r="D1089" s="9" t="s">
        <v>258</v>
      </c>
      <c r="E1089" s="9"/>
      <c r="F1089" s="9"/>
      <c r="G1089" s="9"/>
      <c r="H1089" s="9"/>
      <c r="I1089" s="9" t="n">
        <f aca="false">COUNTA(gebruikersfeedback!H$2:H$2000)</f>
        <v>8</v>
      </c>
      <c r="J1089" s="9" t="n">
        <f aca="false">IF(D1089="ja",COUNTA(gebruikersfeedback!$A$2:$A$2000)-I1089,"")</f>
        <v>0</v>
      </c>
    </row>
    <row r="1090" customFormat="false" ht="15" hidden="false" customHeight="false" outlineLevel="0" collapsed="false">
      <c r="A1090" s="9" t="s">
        <v>97</v>
      </c>
      <c r="B1090" s="9" t="s">
        <v>409</v>
      </c>
      <c r="C1090" s="9" t="s">
        <v>265</v>
      </c>
      <c r="D1090" s="9" t="s">
        <v>272</v>
      </c>
      <c r="E1090" s="9"/>
      <c r="F1090" s="9"/>
      <c r="G1090" s="9"/>
      <c r="H1090" s="9"/>
      <c r="I1090" s="9" t="n">
        <f aca="false">COUNTA(gebruikersfeedback!I$2:I$2000)</f>
        <v>8</v>
      </c>
      <c r="J1090" s="9" t="str">
        <f aca="false">IF(D1090="ja",COUNTA(gebruikersfeedback!$A$2:$A$2000)-I1090,"")</f>
        <v/>
      </c>
    </row>
    <row r="1091" customFormat="false" ht="15" hidden="false" customHeight="false" outlineLevel="0" collapsed="false">
      <c r="A1091" s="9" t="s">
        <v>97</v>
      </c>
      <c r="B1091" s="9" t="s">
        <v>710</v>
      </c>
      <c r="C1091" s="9" t="s">
        <v>286</v>
      </c>
      <c r="D1091" s="9" t="s">
        <v>272</v>
      </c>
      <c r="E1091" s="9"/>
      <c r="F1091" s="9"/>
      <c r="G1091" s="9"/>
      <c r="H1091" s="9"/>
      <c r="I1091" s="9" t="n">
        <f aca="false">COUNTA(gebruikersfeedback!J$2:J$2000)</f>
        <v>8</v>
      </c>
      <c r="J1091" s="9" t="str">
        <f aca="false">IF(D1091="ja",COUNTA(gebruikersfeedback!$A$2:$A$2000)-I1091,"")</f>
        <v/>
      </c>
    </row>
    <row r="1092" customFormat="false" ht="15" hidden="false" customHeight="false" outlineLevel="0" collapsed="false">
      <c r="A1092" s="9" t="s">
        <v>97</v>
      </c>
      <c r="B1092" s="9" t="s">
        <v>711</v>
      </c>
      <c r="C1092" s="9" t="s">
        <v>289</v>
      </c>
      <c r="D1092" s="9" t="s">
        <v>272</v>
      </c>
      <c r="E1092" s="9"/>
      <c r="F1092" s="9"/>
      <c r="G1092" s="9" t="s">
        <v>290</v>
      </c>
      <c r="H1092" s="9"/>
      <c r="I1092" s="9" t="n">
        <f aca="false">COUNTA(gebruikersfeedback!K$2:K$2000)</f>
        <v>8</v>
      </c>
      <c r="J1092" s="9" t="str">
        <f aca="false">IF(D1092="ja",COUNTA(gebruikersfeedback!$A$2:$A$2000)-I1092,"")</f>
        <v/>
      </c>
    </row>
    <row r="1093" customFormat="false" ht="15" hidden="false" customHeight="false" outlineLevel="0" collapsed="false">
      <c r="A1093" s="9" t="s">
        <v>97</v>
      </c>
      <c r="B1093" s="9" t="s">
        <v>679</v>
      </c>
      <c r="C1093" s="9" t="s">
        <v>271</v>
      </c>
      <c r="D1093" s="9" t="s">
        <v>272</v>
      </c>
      <c r="E1093" s="9"/>
      <c r="F1093" s="9"/>
      <c r="G1093" s="9"/>
      <c r="H1093" s="9"/>
      <c r="I1093" s="9" t="n">
        <f aca="false">COUNTA(gebruikersfeedback!L$2:L$2000)</f>
        <v>0</v>
      </c>
      <c r="J1093" s="9" t="str">
        <f aca="false">IF(D1093="ja",COUNTA(gebruikersfeedback!$A$2:$A$2000)-I1093,"")</f>
        <v/>
      </c>
    </row>
    <row r="1094" customFormat="false" ht="15" hidden="false" customHeight="false" outlineLevel="0" collapsed="false">
      <c r="A1094" s="9" t="s">
        <v>97</v>
      </c>
      <c r="B1094" s="9" t="s">
        <v>662</v>
      </c>
      <c r="C1094" s="9" t="s">
        <v>279</v>
      </c>
      <c r="D1094" s="9" t="s">
        <v>258</v>
      </c>
      <c r="E1094" s="9"/>
      <c r="F1094" s="9"/>
      <c r="G1094" s="9" t="s">
        <v>433</v>
      </c>
      <c r="H1094" s="9"/>
      <c r="I1094" s="9" t="n">
        <f aca="false">COUNTA(gebruikersfeedback!M$2:M$2000)</f>
        <v>8</v>
      </c>
      <c r="J1094" s="9" t="n">
        <f aca="false">IF(D1094="ja",COUNTA(gebruikersfeedback!$A$2:$A$2000)-I1094,"")</f>
        <v>0</v>
      </c>
    </row>
    <row r="1095" customFormat="false" ht="15" hidden="false" customHeight="false" outlineLevel="0" collapsed="false">
      <c r="A1095" s="10" t="s">
        <v>97</v>
      </c>
      <c r="B1095" s="10" t="s">
        <v>292</v>
      </c>
      <c r="C1095" s="10" t="s">
        <v>293</v>
      </c>
      <c r="D1095" s="10" t="s">
        <v>258</v>
      </c>
      <c r="E1095" s="10"/>
      <c r="F1095" s="10"/>
      <c r="G1095" s="10"/>
      <c r="H1095" s="10" t="s">
        <v>294</v>
      </c>
      <c r="I1095" s="10" t="n">
        <f aca="false">COUNTA(gebruikersfeedback!N$2:N$2000)</f>
        <v>8</v>
      </c>
      <c r="J1095" s="10" t="n">
        <f aca="false">IF(D1095="ja",COUNTA(gebruikersfeedback!$A$2:$A$2000)-I1095,"")</f>
        <v>0</v>
      </c>
    </row>
    <row r="1096" customFormat="false" ht="15" hidden="false" customHeight="false" outlineLevel="0" collapsed="false">
      <c r="A1096" s="10" t="s">
        <v>97</v>
      </c>
      <c r="B1096" s="10" t="s">
        <v>295</v>
      </c>
      <c r="C1096" s="10" t="s">
        <v>296</v>
      </c>
      <c r="D1096" s="10" t="s">
        <v>258</v>
      </c>
      <c r="E1096" s="10"/>
      <c r="F1096" s="10"/>
      <c r="G1096" s="10"/>
      <c r="H1096" s="10" t="s">
        <v>297</v>
      </c>
      <c r="I1096" s="10" t="n">
        <f aca="false">COUNTA(gebruikersfeedback!O$2:O$2000)</f>
        <v>8</v>
      </c>
      <c r="J1096" s="10" t="n">
        <f aca="false">IF(D1096="ja",COUNTA(gebruikersfeedback!$A$2:$A$2000)-I1096,"")</f>
        <v>0</v>
      </c>
    </row>
    <row r="1097" customFormat="false" ht="15" hidden="false" customHeight="false" outlineLevel="0" collapsed="false">
      <c r="A1097" s="10" t="s">
        <v>97</v>
      </c>
      <c r="B1097" s="10" t="s">
        <v>298</v>
      </c>
      <c r="C1097" s="10" t="s">
        <v>293</v>
      </c>
      <c r="D1097" s="10" t="s">
        <v>258</v>
      </c>
      <c r="E1097" s="10"/>
      <c r="F1097" s="10"/>
      <c r="G1097" s="10"/>
      <c r="H1097" s="10" t="s">
        <v>299</v>
      </c>
      <c r="I1097" s="10" t="n">
        <f aca="false">COUNTA(gebruikersfeedback!P$2:P$2000)</f>
        <v>8</v>
      </c>
      <c r="J1097" s="10" t="n">
        <f aca="false">IF(D1097="ja",COUNTA(gebruikersfeedback!$A$2:$A$2000)-I1097,"")</f>
        <v>0</v>
      </c>
    </row>
    <row r="1098" customFormat="false" ht="15" hidden="false" customHeight="false" outlineLevel="0" collapsed="false">
      <c r="A1098" s="10" t="s">
        <v>97</v>
      </c>
      <c r="B1098" s="10" t="s">
        <v>300</v>
      </c>
      <c r="C1098" s="10" t="s">
        <v>296</v>
      </c>
      <c r="D1098" s="10" t="s">
        <v>258</v>
      </c>
      <c r="E1098" s="10"/>
      <c r="F1098" s="10"/>
      <c r="G1098" s="10"/>
      <c r="H1098" s="10" t="s">
        <v>301</v>
      </c>
      <c r="I1098" s="10" t="n">
        <f aca="false">COUNTA(gebruikersfeedback!Q$2:Q$2000)</f>
        <v>8</v>
      </c>
      <c r="J1098" s="10" t="n">
        <f aca="false">IF(D1098="ja",COUNTA(gebruikersfeedback!$A$2:$A$2000)-I1098,"")</f>
        <v>0</v>
      </c>
    </row>
    <row r="1099" customFormat="false" ht="15" hidden="false" customHeight="false" outlineLevel="0" collapsed="false">
      <c r="A1099" s="10" t="s">
        <v>97</v>
      </c>
      <c r="B1099" s="10" t="s">
        <v>302</v>
      </c>
      <c r="C1099" s="10" t="s">
        <v>279</v>
      </c>
      <c r="D1099" s="10" t="s">
        <v>258</v>
      </c>
      <c r="E1099" s="10"/>
      <c r="F1099" s="10"/>
      <c r="G1099" s="10" t="s">
        <v>303</v>
      </c>
      <c r="H1099" s="10" t="s">
        <v>304</v>
      </c>
      <c r="I1099" s="10" t="n">
        <f aca="false">COUNTA(gebruikersfeedback!R$2:R$2000)</f>
        <v>8</v>
      </c>
      <c r="J1099" s="10" t="n">
        <f aca="false">IF(D1099="ja",COUNTA(gebruikersfeedback!$A$2:$A$2000)-I1099,"")</f>
        <v>0</v>
      </c>
    </row>
    <row r="1100" customFormat="false" ht="15" hidden="false" customHeight="false" outlineLevel="0" collapsed="false">
      <c r="A1100" s="10" t="s">
        <v>97</v>
      </c>
      <c r="B1100" s="10" t="s">
        <v>305</v>
      </c>
      <c r="C1100" s="10" t="s">
        <v>286</v>
      </c>
      <c r="D1100" s="10" t="s">
        <v>258</v>
      </c>
      <c r="E1100" s="10"/>
      <c r="F1100" s="10"/>
      <c r="G1100" s="10"/>
      <c r="H1100" s="10" t="s">
        <v>306</v>
      </c>
      <c r="I1100" s="10" t="n">
        <f aca="false">COUNTA(gebruikersfeedback!S$2:S$2000)</f>
        <v>8</v>
      </c>
      <c r="J1100" s="10" t="n">
        <f aca="false">IF(D1100="ja",COUNTA(gebruikersfeedback!$A$2:$A$2000)-I1100,"")</f>
        <v>0</v>
      </c>
    </row>
    <row r="1101" customFormat="false" ht="15" hidden="false" customHeight="false" outlineLevel="0" collapsed="false">
      <c r="A1101" s="10" t="s">
        <v>97</v>
      </c>
      <c r="B1101" s="10" t="s">
        <v>307</v>
      </c>
      <c r="C1101" s="10" t="s">
        <v>308</v>
      </c>
      <c r="D1101" s="10" t="s">
        <v>272</v>
      </c>
      <c r="E1101" s="10"/>
      <c r="F1101" s="10"/>
      <c r="G1101" s="10"/>
      <c r="H1101" s="10" t="s">
        <v>309</v>
      </c>
      <c r="I1101" s="10" t="n">
        <f aca="false">COUNTA(gebruikersfeedback!T$2:T$2000)</f>
        <v>0</v>
      </c>
      <c r="J1101" s="10" t="str">
        <f aca="false">IF(D1101="ja",COUNTA(gebruikersfeedback!$A$2:$A$2000)-I1101,"")</f>
        <v/>
      </c>
    </row>
    <row r="1102" customFormat="false" ht="15" hidden="false" customHeight="false" outlineLevel="0" collapsed="false">
      <c r="A1102" s="10" t="s">
        <v>97</v>
      </c>
      <c r="B1102" s="10" t="s">
        <v>310</v>
      </c>
      <c r="C1102" s="10" t="s">
        <v>308</v>
      </c>
      <c r="D1102" s="10" t="s">
        <v>272</v>
      </c>
      <c r="E1102" s="10"/>
      <c r="F1102" s="10"/>
      <c r="G1102" s="10"/>
      <c r="H1102" s="10" t="s">
        <v>311</v>
      </c>
      <c r="I1102" s="10" t="n">
        <f aca="false">COUNTA(gebruikersfeedback!U$2:U$2000)</f>
        <v>0</v>
      </c>
      <c r="J1102" s="10" t="str">
        <f aca="false">IF(D1102="ja",COUNTA(gebruikersfeedback!$A$2:$A$2000)-I1102,"")</f>
        <v/>
      </c>
    </row>
    <row r="1103" customFormat="false" ht="15" hidden="false" customHeight="false" outlineLevel="0" collapsed="false">
      <c r="A1103" s="10" t="s">
        <v>97</v>
      </c>
      <c r="B1103" s="10" t="s">
        <v>312</v>
      </c>
      <c r="C1103" s="10" t="s">
        <v>271</v>
      </c>
      <c r="D1103" s="10" t="s">
        <v>272</v>
      </c>
      <c r="E1103" s="10"/>
      <c r="F1103" s="10"/>
      <c r="G1103" s="10"/>
      <c r="H1103" s="10" t="s">
        <v>313</v>
      </c>
      <c r="I1103" s="10" t="n">
        <f aca="false">COUNTA(gebruikersfeedback!V$2:V$2000)</f>
        <v>8</v>
      </c>
      <c r="J1103" s="10" t="str">
        <f aca="false">IF(D1103="ja",COUNTA(gebruikersfeedback!$A$2:$A$2000)-I1103,"")</f>
        <v/>
      </c>
    </row>
  </sheetData>
  <autoFilter ref="A4:J1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7" min="1" style="0" width="30"/>
  </cols>
  <sheetData>
    <row r="1" customFormat="false" ht="17.35" hidden="false" customHeight="false" outlineLevel="0" collapsed="false">
      <c r="A1" s="1" t="s">
        <v>712</v>
      </c>
    </row>
    <row r="2" customFormat="false" ht="15" hidden="false" customHeight="false" outlineLevel="0" collapsed="false">
      <c r="A2" s="2" t="s">
        <v>713</v>
      </c>
    </row>
    <row r="4" customFormat="false" ht="30" hidden="false" customHeight="true" outlineLevel="0" collapsed="false">
      <c r="A4" s="5" t="s">
        <v>714</v>
      </c>
      <c r="B4" s="5" t="s">
        <v>715</v>
      </c>
      <c r="C4" s="5" t="s">
        <v>716</v>
      </c>
      <c r="D4" s="5" t="s">
        <v>717</v>
      </c>
      <c r="E4" s="5" t="s">
        <v>718</v>
      </c>
      <c r="F4" s="5" t="s">
        <v>719</v>
      </c>
      <c r="G4" s="5" t="s">
        <v>720</v>
      </c>
      <c r="H4" s="5" t="s">
        <v>721</v>
      </c>
      <c r="I4" s="5" t="s">
        <v>722</v>
      </c>
      <c r="J4" s="5" t="s">
        <v>723</v>
      </c>
      <c r="K4" s="5" t="s">
        <v>724</v>
      </c>
      <c r="L4" s="5" t="s">
        <v>725</v>
      </c>
      <c r="M4" s="5" t="s">
        <v>726</v>
      </c>
      <c r="N4" s="5" t="s">
        <v>727</v>
      </c>
      <c r="O4" s="5" t="s">
        <v>728</v>
      </c>
      <c r="P4" s="5" t="s">
        <v>729</v>
      </c>
      <c r="Q4" s="5" t="s">
        <v>730</v>
      </c>
      <c r="R4" s="5" t="s">
        <v>731</v>
      </c>
      <c r="S4" s="5" t="s">
        <v>732</v>
      </c>
      <c r="T4" s="5" t="s">
        <v>733</v>
      </c>
      <c r="U4" s="5" t="s">
        <v>734</v>
      </c>
      <c r="V4" s="5" t="s">
        <v>735</v>
      </c>
      <c r="W4" s="5" t="s">
        <v>736</v>
      </c>
      <c r="X4" s="5" t="s">
        <v>737</v>
      </c>
      <c r="Y4" s="5" t="s">
        <v>738</v>
      </c>
      <c r="Z4" s="5" t="s">
        <v>739</v>
      </c>
      <c r="AA4" s="5" t="s">
        <v>740</v>
      </c>
    </row>
    <row r="5" customFormat="false" ht="15" hidden="false" customHeight="false" outlineLevel="0" collapsed="false">
      <c r="A5" s="11" t="s">
        <v>741</v>
      </c>
      <c r="B5" s="11" t="s">
        <v>742</v>
      </c>
      <c r="C5" s="11" t="s">
        <v>743</v>
      </c>
      <c r="D5" s="11" t="s">
        <v>744</v>
      </c>
      <c r="E5" s="11" t="s">
        <v>745</v>
      </c>
      <c r="F5" s="11" t="s">
        <v>746</v>
      </c>
      <c r="G5" s="11" t="s">
        <v>747</v>
      </c>
      <c r="H5" s="11" t="s">
        <v>258</v>
      </c>
      <c r="I5" s="11" t="s">
        <v>748</v>
      </c>
      <c r="J5" s="11" t="s">
        <v>749</v>
      </c>
      <c r="K5" s="11" t="s">
        <v>750</v>
      </c>
      <c r="L5" s="11" t="s">
        <v>702</v>
      </c>
      <c r="M5" s="11" t="s">
        <v>751</v>
      </c>
      <c r="N5" s="11" t="s">
        <v>752</v>
      </c>
      <c r="O5" s="11" t="s">
        <v>753</v>
      </c>
      <c r="P5" s="11" t="s">
        <v>754</v>
      </c>
      <c r="Q5" s="11" t="s">
        <v>755</v>
      </c>
      <c r="R5" s="11" t="s">
        <v>756</v>
      </c>
      <c r="S5" s="11" t="s">
        <v>757</v>
      </c>
      <c r="T5" s="11" t="s">
        <v>758</v>
      </c>
      <c r="U5" s="11" t="s">
        <v>759</v>
      </c>
      <c r="V5" s="11" t="s">
        <v>760</v>
      </c>
      <c r="W5" s="11" t="s">
        <v>761</v>
      </c>
      <c r="X5" s="11" t="s">
        <v>762</v>
      </c>
      <c r="Y5" s="11" t="s">
        <v>763</v>
      </c>
      <c r="Z5" s="11" t="s">
        <v>764</v>
      </c>
      <c r="AA5" s="11" t="s">
        <v>765</v>
      </c>
    </row>
    <row r="6" customFormat="false" ht="15" hidden="false" customHeight="false" outlineLevel="0" collapsed="false">
      <c r="A6" s="11" t="s">
        <v>766</v>
      </c>
      <c r="B6" s="11" t="s">
        <v>767</v>
      </c>
      <c r="C6" s="11" t="s">
        <v>768</v>
      </c>
      <c r="D6" s="11" t="s">
        <v>769</v>
      </c>
      <c r="E6" s="11" t="s">
        <v>770</v>
      </c>
      <c r="F6" s="11" t="s">
        <v>771</v>
      </c>
      <c r="G6" s="11" t="s">
        <v>772</v>
      </c>
      <c r="H6" s="11" t="s">
        <v>773</v>
      </c>
      <c r="I6" s="11" t="s">
        <v>774</v>
      </c>
      <c r="J6" s="11" t="s">
        <v>775</v>
      </c>
      <c r="K6" s="11" t="s">
        <v>776</v>
      </c>
      <c r="L6" s="11" t="s">
        <v>777</v>
      </c>
      <c r="M6" s="11" t="s">
        <v>778</v>
      </c>
      <c r="N6" s="11" t="s">
        <v>779</v>
      </c>
      <c r="O6" s="11" t="s">
        <v>780</v>
      </c>
      <c r="P6" s="11" t="s">
        <v>781</v>
      </c>
      <c r="Q6" s="11" t="s">
        <v>782</v>
      </c>
      <c r="R6" s="11" t="s">
        <v>783</v>
      </c>
      <c r="S6" s="11" t="s">
        <v>784</v>
      </c>
      <c r="T6" s="11" t="s">
        <v>785</v>
      </c>
      <c r="U6" s="11" t="s">
        <v>786</v>
      </c>
      <c r="V6" s="11" t="s">
        <v>787</v>
      </c>
      <c r="W6" s="11" t="s">
        <v>788</v>
      </c>
      <c r="X6" s="11" t="s">
        <v>789</v>
      </c>
      <c r="Y6" s="11" t="s">
        <v>790</v>
      </c>
      <c r="Z6" s="11" t="s">
        <v>791</v>
      </c>
      <c r="AA6" s="11" t="s">
        <v>792</v>
      </c>
    </row>
    <row r="7" customFormat="false" ht="15" hidden="false" customHeight="false" outlineLevel="0" collapsed="false">
      <c r="A7" s="11" t="s">
        <v>793</v>
      </c>
      <c r="B7" s="11" t="s">
        <v>794</v>
      </c>
      <c r="C7" s="11" t="s">
        <v>795</v>
      </c>
      <c r="D7" s="11" t="s">
        <v>796</v>
      </c>
      <c r="E7" s="11" t="s">
        <v>797</v>
      </c>
      <c r="F7" s="11" t="s">
        <v>798</v>
      </c>
      <c r="G7" s="11" t="s">
        <v>799</v>
      </c>
      <c r="H7" s="11" t="s">
        <v>272</v>
      </c>
      <c r="I7" s="11" t="s">
        <v>800</v>
      </c>
      <c r="J7" s="11" t="s">
        <v>801</v>
      </c>
      <c r="K7" s="11" t="s">
        <v>802</v>
      </c>
      <c r="L7" s="11" t="s">
        <v>803</v>
      </c>
      <c r="M7" s="11" t="s">
        <v>788</v>
      </c>
      <c r="N7" s="11" t="s">
        <v>804</v>
      </c>
      <c r="O7" s="11" t="s">
        <v>805</v>
      </c>
      <c r="P7" s="11" t="s">
        <v>806</v>
      </c>
      <c r="Q7" s="11" t="s">
        <v>807</v>
      </c>
      <c r="R7" s="11" t="s">
        <v>808</v>
      </c>
      <c r="S7" s="11" t="s">
        <v>809</v>
      </c>
      <c r="T7" s="11" t="s">
        <v>810</v>
      </c>
      <c r="U7" s="11" t="s">
        <v>811</v>
      </c>
      <c r="V7" s="11" t="s">
        <v>812</v>
      </c>
      <c r="W7" s="11" t="s">
        <v>813</v>
      </c>
      <c r="X7" s="11" t="s">
        <v>814</v>
      </c>
      <c r="Y7" s="11" t="s">
        <v>815</v>
      </c>
      <c r="Z7" s="11" t="s">
        <v>816</v>
      </c>
      <c r="AA7" s="11" t="s">
        <v>817</v>
      </c>
    </row>
    <row r="8" customFormat="false" ht="15" hidden="false" customHeight="false" outlineLevel="0" collapsed="false">
      <c r="B8" s="11" t="s">
        <v>818</v>
      </c>
      <c r="C8" s="11" t="s">
        <v>819</v>
      </c>
      <c r="D8" s="11" t="s">
        <v>820</v>
      </c>
      <c r="G8" s="11" t="s">
        <v>821</v>
      </c>
      <c r="H8" s="11" t="s">
        <v>822</v>
      </c>
      <c r="J8" s="11" t="s">
        <v>823</v>
      </c>
      <c r="L8" s="11" t="s">
        <v>824</v>
      </c>
      <c r="M8" s="11" t="s">
        <v>825</v>
      </c>
      <c r="N8" s="11" t="s">
        <v>826</v>
      </c>
      <c r="O8" s="11" t="s">
        <v>827</v>
      </c>
      <c r="P8" s="11" t="s">
        <v>828</v>
      </c>
      <c r="Q8" s="11" t="s">
        <v>829</v>
      </c>
      <c r="R8" s="11" t="s">
        <v>830</v>
      </c>
      <c r="S8" s="11" t="s">
        <v>831</v>
      </c>
      <c r="T8" s="11" t="s">
        <v>832</v>
      </c>
      <c r="U8" s="11" t="s">
        <v>833</v>
      </c>
      <c r="V8" s="11" t="s">
        <v>834</v>
      </c>
      <c r="W8" s="11" t="s">
        <v>835</v>
      </c>
      <c r="X8" s="11" t="s">
        <v>836</v>
      </c>
      <c r="Y8" s="11" t="s">
        <v>837</v>
      </c>
      <c r="Z8" s="11" t="s">
        <v>838</v>
      </c>
      <c r="AA8" s="11" t="s">
        <v>839</v>
      </c>
    </row>
    <row r="9" customFormat="false" ht="15" hidden="false" customHeight="false" outlineLevel="0" collapsed="false">
      <c r="C9" s="11" t="s">
        <v>840</v>
      </c>
      <c r="G9" s="11" t="s">
        <v>841</v>
      </c>
      <c r="L9" s="11" t="s">
        <v>842</v>
      </c>
      <c r="M9" s="11" t="s">
        <v>92</v>
      </c>
      <c r="N9" s="11" t="s">
        <v>843</v>
      </c>
      <c r="O9" s="11" t="s">
        <v>844</v>
      </c>
      <c r="P9" s="11" t="s">
        <v>845</v>
      </c>
      <c r="Q9" s="11" t="s">
        <v>846</v>
      </c>
      <c r="R9" s="11" t="s">
        <v>847</v>
      </c>
      <c r="S9" s="11" t="s">
        <v>848</v>
      </c>
      <c r="T9" s="11" t="s">
        <v>849</v>
      </c>
      <c r="U9" s="11" t="s">
        <v>850</v>
      </c>
      <c r="W9" s="11" t="s">
        <v>851</v>
      </c>
      <c r="X9" s="11" t="s">
        <v>852</v>
      </c>
      <c r="Y9" s="11" t="s">
        <v>853</v>
      </c>
      <c r="Z9" s="11" t="s">
        <v>854</v>
      </c>
      <c r="AA9" s="11" t="s">
        <v>855</v>
      </c>
    </row>
    <row r="10" customFormat="false" ht="15" hidden="false" customHeight="false" outlineLevel="0" collapsed="false">
      <c r="C10" s="11" t="s">
        <v>856</v>
      </c>
      <c r="G10" s="11" t="s">
        <v>857</v>
      </c>
      <c r="L10" s="11" t="s">
        <v>858</v>
      </c>
      <c r="M10" s="11" t="s">
        <v>859</v>
      </c>
      <c r="N10" s="11" t="s">
        <v>777</v>
      </c>
      <c r="O10" s="11" t="s">
        <v>860</v>
      </c>
      <c r="Q10" s="11" t="s">
        <v>861</v>
      </c>
      <c r="R10" s="11" t="s">
        <v>862</v>
      </c>
      <c r="S10" s="11" t="s">
        <v>863</v>
      </c>
      <c r="T10" s="11" t="s">
        <v>864</v>
      </c>
      <c r="U10" s="11" t="s">
        <v>865</v>
      </c>
      <c r="W10" s="11" t="s">
        <v>866</v>
      </c>
      <c r="Y10" s="11" t="s">
        <v>867</v>
      </c>
      <c r="Z10" s="11" t="s">
        <v>868</v>
      </c>
      <c r="AA10" s="11" t="s">
        <v>869</v>
      </c>
    </row>
    <row r="11" customFormat="false" ht="15" hidden="false" customHeight="false" outlineLevel="0" collapsed="false">
      <c r="G11" s="11" t="s">
        <v>870</v>
      </c>
      <c r="L11" s="11" t="s">
        <v>871</v>
      </c>
      <c r="M11" s="11" t="s">
        <v>872</v>
      </c>
      <c r="N11" s="11" t="s">
        <v>873</v>
      </c>
      <c r="O11" s="11" t="s">
        <v>874</v>
      </c>
      <c r="R11" s="11" t="s">
        <v>875</v>
      </c>
      <c r="T11" s="11" t="s">
        <v>822</v>
      </c>
      <c r="U11" s="11" t="s">
        <v>876</v>
      </c>
      <c r="Y11" s="11" t="s">
        <v>877</v>
      </c>
      <c r="Z11" s="11" t="s">
        <v>878</v>
      </c>
      <c r="AA11" s="11" t="s">
        <v>879</v>
      </c>
    </row>
    <row r="12" customFormat="false" ht="15" hidden="false" customHeight="false" outlineLevel="0" collapsed="false">
      <c r="G12" s="11" t="s">
        <v>880</v>
      </c>
      <c r="L12" s="11" t="s">
        <v>881</v>
      </c>
      <c r="O12" s="11" t="s">
        <v>882</v>
      </c>
      <c r="R12" s="11" t="s">
        <v>883</v>
      </c>
      <c r="U12" s="11" t="s">
        <v>884</v>
      </c>
      <c r="Y12" s="11" t="s">
        <v>885</v>
      </c>
      <c r="Z12" s="11" t="s">
        <v>886</v>
      </c>
      <c r="AA12" s="11" t="s">
        <v>887</v>
      </c>
    </row>
    <row r="13" customFormat="false" ht="15" hidden="false" customHeight="false" outlineLevel="0" collapsed="false">
      <c r="G13" s="11" t="s">
        <v>888</v>
      </c>
      <c r="L13" s="11" t="s">
        <v>889</v>
      </c>
      <c r="O13" s="11" t="s">
        <v>890</v>
      </c>
      <c r="R13" s="11" t="s">
        <v>891</v>
      </c>
      <c r="U13" s="11" t="s">
        <v>892</v>
      </c>
      <c r="Z13" s="11" t="s">
        <v>893</v>
      </c>
      <c r="AA13" s="11" t="s">
        <v>894</v>
      </c>
    </row>
    <row r="14" customFormat="false" ht="15" hidden="false" customHeight="false" outlineLevel="0" collapsed="false">
      <c r="G14" s="11" t="s">
        <v>895</v>
      </c>
      <c r="O14" s="11" t="s">
        <v>896</v>
      </c>
      <c r="R14" s="11" t="s">
        <v>897</v>
      </c>
      <c r="Z14" s="11" t="s">
        <v>898</v>
      </c>
    </row>
    <row r="15" customFormat="false" ht="15" hidden="false" customHeight="false" outlineLevel="0" collapsed="false">
      <c r="G15" s="11" t="s">
        <v>899</v>
      </c>
      <c r="O15" s="11" t="s">
        <v>900</v>
      </c>
      <c r="R15" s="11" t="s">
        <v>901</v>
      </c>
      <c r="Z15" s="11" t="s">
        <v>902</v>
      </c>
    </row>
    <row r="16" customFormat="false" ht="15" hidden="false" customHeight="false" outlineLevel="0" collapsed="false">
      <c r="O16" s="11" t="s">
        <v>903</v>
      </c>
    </row>
    <row r="17" customFormat="false" ht="15" hidden="false" customHeight="false" outlineLevel="0" collapsed="false">
      <c r="O17" s="11" t="s">
        <v>904</v>
      </c>
    </row>
    <row r="18" customFormat="false" ht="15" hidden="false" customHeight="false" outlineLevel="0" collapsed="false">
      <c r="O18" s="11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6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906</v>
      </c>
    </row>
    <row r="2" customFormat="false" ht="15" hidden="false" customHeight="false" outlineLevel="0" collapsed="false">
      <c r="A2" s="2" t="s">
        <v>907</v>
      </c>
    </row>
    <row r="4" customFormat="false" ht="15" hidden="false" customHeight="false" outlineLevel="0" collapsed="false">
      <c r="A4" s="5" t="s">
        <v>22</v>
      </c>
      <c r="B4" s="5" t="s">
        <v>908</v>
      </c>
      <c r="C4" s="5" t="s">
        <v>909</v>
      </c>
      <c r="D4" s="5" t="s">
        <v>910</v>
      </c>
      <c r="E4" s="5" t="s">
        <v>911</v>
      </c>
    </row>
    <row r="5" customFormat="false" ht="46.25" hidden="false" customHeight="false" outlineLevel="0" collapsed="false">
      <c r="A5" s="4" t="n">
        <v>1</v>
      </c>
      <c r="B5" s="12" t="s">
        <v>912</v>
      </c>
      <c r="C5" s="4" t="s">
        <v>913</v>
      </c>
      <c r="D5" s="4" t="s">
        <v>914</v>
      </c>
      <c r="E5" s="4" t="s">
        <v>915</v>
      </c>
    </row>
    <row r="6" customFormat="false" ht="35.05" hidden="false" customHeight="false" outlineLevel="0" collapsed="false">
      <c r="A6" s="4" t="n">
        <v>2</v>
      </c>
      <c r="B6" s="12" t="s">
        <v>916</v>
      </c>
      <c r="C6" s="4" t="s">
        <v>917</v>
      </c>
      <c r="D6" s="4" t="s">
        <v>918</v>
      </c>
      <c r="E6" s="4" t="s">
        <v>915</v>
      </c>
    </row>
    <row r="7" customFormat="false" ht="23.85" hidden="false" customHeight="false" outlineLevel="0" collapsed="false">
      <c r="A7" s="4" t="n">
        <v>3</v>
      </c>
      <c r="B7" s="12" t="s">
        <v>919</v>
      </c>
      <c r="C7" s="4" t="s">
        <v>920</v>
      </c>
      <c r="D7" s="4" t="s">
        <v>921</v>
      </c>
      <c r="E7" s="4" t="s">
        <v>922</v>
      </c>
    </row>
    <row r="8" customFormat="false" ht="23.85" hidden="false" customHeight="false" outlineLevel="0" collapsed="false">
      <c r="A8" s="4" t="n">
        <v>4</v>
      </c>
      <c r="B8" s="12" t="s">
        <v>923</v>
      </c>
      <c r="C8" s="4" t="s">
        <v>924</v>
      </c>
      <c r="D8" s="4" t="s">
        <v>925</v>
      </c>
      <c r="E8" s="4" t="s">
        <v>926</v>
      </c>
    </row>
    <row r="9" customFormat="false" ht="35.05" hidden="false" customHeight="false" outlineLevel="0" collapsed="false">
      <c r="A9" s="4" t="n">
        <v>5</v>
      </c>
      <c r="B9" s="12" t="s">
        <v>927</v>
      </c>
      <c r="C9" s="4" t="s">
        <v>928</v>
      </c>
      <c r="D9" s="4" t="s">
        <v>929</v>
      </c>
      <c r="E9" s="4" t="s">
        <v>922</v>
      </c>
    </row>
    <row r="10" customFormat="false" ht="91" hidden="false" customHeight="false" outlineLevel="0" collapsed="false">
      <c r="A10" s="4" t="n">
        <v>6</v>
      </c>
      <c r="B10" s="12" t="s">
        <v>930</v>
      </c>
      <c r="C10" s="4" t="s">
        <v>931</v>
      </c>
      <c r="D10" s="4" t="s">
        <v>932</v>
      </c>
      <c r="E10" s="4" t="s">
        <v>915</v>
      </c>
    </row>
    <row r="11" customFormat="false" ht="23.85" hidden="false" customHeight="false" outlineLevel="0" collapsed="false">
      <c r="A11" s="4" t="n">
        <v>7</v>
      </c>
      <c r="B11" s="12" t="s">
        <v>933</v>
      </c>
      <c r="C11" s="4" t="s">
        <v>934</v>
      </c>
      <c r="D11" s="4" t="s">
        <v>935</v>
      </c>
      <c r="E11" s="4" t="s">
        <v>915</v>
      </c>
    </row>
    <row r="12" customFormat="false" ht="35.05" hidden="false" customHeight="false" outlineLevel="0" collapsed="false">
      <c r="A12" s="4" t="n">
        <v>8</v>
      </c>
      <c r="B12" s="12" t="s">
        <v>936</v>
      </c>
      <c r="C12" s="4" t="s">
        <v>937</v>
      </c>
      <c r="D12" s="4" t="s">
        <v>938</v>
      </c>
      <c r="E12" s="4" t="s">
        <v>922</v>
      </c>
    </row>
    <row r="13" customFormat="false" ht="23.85" hidden="false" customHeight="false" outlineLevel="0" collapsed="false">
      <c r="A13" s="4" t="n">
        <v>9</v>
      </c>
      <c r="B13" s="12" t="s">
        <v>939</v>
      </c>
      <c r="C13" s="4" t="s">
        <v>940</v>
      </c>
      <c r="D13" s="4" t="s">
        <v>941</v>
      </c>
      <c r="E13" s="4" t="s">
        <v>915</v>
      </c>
    </row>
    <row r="14" customFormat="false" ht="23.85" hidden="false" customHeight="false" outlineLevel="0" collapsed="false">
      <c r="A14" s="4" t="n">
        <v>10</v>
      </c>
      <c r="B14" s="12" t="s">
        <v>942</v>
      </c>
      <c r="C14" s="4" t="s">
        <v>943</v>
      </c>
      <c r="D14" s="4" t="s">
        <v>944</v>
      </c>
      <c r="E14" s="4" t="s">
        <v>922</v>
      </c>
    </row>
    <row r="15" customFormat="false" ht="35.05" hidden="false" customHeight="false" outlineLevel="0" collapsed="false">
      <c r="A15" s="4" t="n">
        <v>11</v>
      </c>
      <c r="B15" s="12" t="s">
        <v>945</v>
      </c>
      <c r="C15" s="4" t="s">
        <v>946</v>
      </c>
      <c r="D15" s="4" t="s">
        <v>947</v>
      </c>
      <c r="E15" s="4" t="s">
        <v>922</v>
      </c>
    </row>
    <row r="16" customFormat="false" ht="35.05" hidden="false" customHeight="false" outlineLevel="0" collapsed="false">
      <c r="A16" s="4" t="n">
        <v>12</v>
      </c>
      <c r="B16" s="12" t="s">
        <v>948</v>
      </c>
      <c r="C16" s="4" t="s">
        <v>949</v>
      </c>
      <c r="D16" s="4" t="s">
        <v>950</v>
      </c>
      <c r="E16" s="4" t="s">
        <v>922</v>
      </c>
    </row>
    <row r="17" customFormat="false" ht="23.85" hidden="false" customHeight="false" outlineLevel="0" collapsed="false">
      <c r="A17" s="4" t="n">
        <v>13</v>
      </c>
      <c r="B17" s="12" t="s">
        <v>951</v>
      </c>
      <c r="C17" s="4" t="s">
        <v>952</v>
      </c>
      <c r="D17" s="4" t="s">
        <v>953</v>
      </c>
      <c r="E17" s="4" t="s">
        <v>954</v>
      </c>
    </row>
    <row r="18" customFormat="false" ht="35.05" hidden="false" customHeight="false" outlineLevel="0" collapsed="false">
      <c r="A18" s="4" t="n">
        <v>14</v>
      </c>
      <c r="B18" s="12" t="s">
        <v>955</v>
      </c>
      <c r="C18" s="4" t="s">
        <v>956</v>
      </c>
      <c r="D18" s="4" t="s">
        <v>957</v>
      </c>
      <c r="E18" s="4" t="s">
        <v>915</v>
      </c>
    </row>
    <row r="19" customFormat="false" ht="35.05" hidden="false" customHeight="false" outlineLevel="0" collapsed="false">
      <c r="A19" s="4" t="n">
        <v>15</v>
      </c>
      <c r="B19" s="12" t="s">
        <v>958</v>
      </c>
      <c r="C19" s="4" t="s">
        <v>959</v>
      </c>
      <c r="D19" s="4" t="s">
        <v>960</v>
      </c>
      <c r="E19" s="4" t="s">
        <v>961</v>
      </c>
    </row>
    <row r="20" customFormat="false" ht="35.05" hidden="false" customHeight="false" outlineLevel="0" collapsed="false">
      <c r="A20" s="4" t="n">
        <v>16</v>
      </c>
      <c r="B20" s="12" t="s">
        <v>962</v>
      </c>
      <c r="C20" s="4" t="s">
        <v>963</v>
      </c>
      <c r="D20" s="4" t="s">
        <v>964</v>
      </c>
      <c r="E20" s="4" t="s">
        <v>954</v>
      </c>
    </row>
    <row r="21" customFormat="false" ht="23.85" hidden="false" customHeight="false" outlineLevel="0" collapsed="false">
      <c r="A21" s="4" t="n">
        <v>17</v>
      </c>
      <c r="B21" s="12" t="s">
        <v>965</v>
      </c>
      <c r="C21" s="4" t="s">
        <v>966</v>
      </c>
      <c r="D21" s="4" t="s">
        <v>967</v>
      </c>
      <c r="E21" s="4" t="s">
        <v>968</v>
      </c>
    </row>
    <row r="22" customFormat="false" ht="23.85" hidden="false" customHeight="false" outlineLevel="0" collapsed="false">
      <c r="A22" s="4" t="n">
        <v>18</v>
      </c>
      <c r="B22" s="12" t="s">
        <v>969</v>
      </c>
      <c r="C22" s="4" t="s">
        <v>970</v>
      </c>
      <c r="D22" s="4" t="s">
        <v>971</v>
      </c>
      <c r="E22" s="4" t="s">
        <v>915</v>
      </c>
    </row>
    <row r="23" customFormat="false" ht="35.05" hidden="false" customHeight="false" outlineLevel="0" collapsed="false">
      <c r="A23" s="4" t="n">
        <v>19</v>
      </c>
      <c r="B23" s="12" t="s">
        <v>972</v>
      </c>
      <c r="C23" s="4" t="s">
        <v>973</v>
      </c>
      <c r="D23" s="4" t="s">
        <v>974</v>
      </c>
      <c r="E23" s="4" t="s">
        <v>975</v>
      </c>
    </row>
    <row r="24" customFormat="false" ht="35.05" hidden="false" customHeight="false" outlineLevel="0" collapsed="false">
      <c r="A24" s="4" t="n">
        <v>20</v>
      </c>
      <c r="B24" s="12" t="s">
        <v>976</v>
      </c>
      <c r="C24" s="4" t="s">
        <v>977</v>
      </c>
      <c r="D24" s="4" t="s">
        <v>978</v>
      </c>
      <c r="E24" s="4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8" min="4" style="0" width="40"/>
    <col collapsed="false" customWidth="true" hidden="false" outlineLevel="0" max="9" min="9" style="0" width="21"/>
    <col collapsed="false" customWidth="true" hidden="false" outlineLevel="0" max="15" min="10" style="0" width="14"/>
    <col collapsed="false" customWidth="true" hidden="false" outlineLevel="0" max="16" min="16" style="0" width="40"/>
    <col collapsed="false" customWidth="true" hidden="false" outlineLevel="0" max="17" min="17" style="0" width="17"/>
    <col collapsed="false" customWidth="true" hidden="false" outlineLevel="0" max="19" min="18" style="0" width="14"/>
    <col collapsed="false" customWidth="true" hidden="false" outlineLevel="0" max="20" min="20" style="0" width="40"/>
  </cols>
  <sheetData>
    <row r="1" customFormat="false" ht="15" hidden="false" customHeight="false" outlineLevel="0" collapsed="false">
      <c r="A1" s="13" t="s">
        <v>256</v>
      </c>
      <c r="B1" s="13" t="s">
        <v>261</v>
      </c>
      <c r="C1" s="13" t="s">
        <v>264</v>
      </c>
      <c r="D1" s="13" t="s">
        <v>267</v>
      </c>
      <c r="E1" s="14" t="s">
        <v>270</v>
      </c>
      <c r="F1" s="14" t="s">
        <v>274</v>
      </c>
      <c r="G1" s="14" t="s">
        <v>276</v>
      </c>
      <c r="H1" s="14" t="s">
        <v>278</v>
      </c>
      <c r="I1" s="14" t="s">
        <v>282</v>
      </c>
      <c r="J1" s="13" t="s">
        <v>285</v>
      </c>
      <c r="K1" s="13" t="s">
        <v>288</v>
      </c>
      <c r="L1" s="15" t="s">
        <v>292</v>
      </c>
      <c r="M1" s="15" t="s">
        <v>295</v>
      </c>
      <c r="N1" s="15" t="s">
        <v>298</v>
      </c>
      <c r="O1" s="15" t="s">
        <v>300</v>
      </c>
      <c r="P1" s="15" t="s">
        <v>302</v>
      </c>
      <c r="Q1" s="15" t="s">
        <v>305</v>
      </c>
      <c r="R1" s="15" t="s">
        <v>307</v>
      </c>
      <c r="S1" s="15" t="s">
        <v>310</v>
      </c>
      <c r="T1" s="15" t="s">
        <v>312</v>
      </c>
    </row>
    <row r="2" customFormat="false" ht="15" hidden="false" customHeight="false" outlineLevel="0" collapsed="false">
      <c r="A2" s="2" t="s">
        <v>980</v>
      </c>
      <c r="B2" s="11" t="s">
        <v>981</v>
      </c>
      <c r="C2" s="11" t="s">
        <v>982</v>
      </c>
      <c r="D2" s="11" t="s">
        <v>983</v>
      </c>
      <c r="G2" s="11" t="s">
        <v>984</v>
      </c>
      <c r="H2" s="11" t="s">
        <v>742</v>
      </c>
      <c r="J2" s="11" t="n">
        <v>1</v>
      </c>
      <c r="K2" s="11" t="s">
        <v>258</v>
      </c>
      <c r="L2" s="11" t="s">
        <v>985</v>
      </c>
      <c r="M2" s="11" t="s">
        <v>986</v>
      </c>
      <c r="N2" s="11" t="s">
        <v>985</v>
      </c>
      <c r="O2" s="11" t="s">
        <v>986</v>
      </c>
      <c r="P2" s="11" t="s">
        <v>766</v>
      </c>
      <c r="Q2" s="11" t="n">
        <v>1</v>
      </c>
      <c r="T2" s="11" t="s">
        <v>987</v>
      </c>
    </row>
    <row r="3" customFormat="false" ht="15" hidden="false" customHeight="false" outlineLevel="0" collapsed="false">
      <c r="A3" s="2" t="s">
        <v>988</v>
      </c>
      <c r="B3" s="11" t="s">
        <v>989</v>
      </c>
      <c r="C3" s="11" t="s">
        <v>990</v>
      </c>
      <c r="D3" s="11" t="s">
        <v>991</v>
      </c>
      <c r="G3" s="11" t="s">
        <v>992</v>
      </c>
      <c r="H3" s="11" t="s">
        <v>742</v>
      </c>
      <c r="J3" s="11" t="n">
        <v>2</v>
      </c>
      <c r="K3" s="11" t="s">
        <v>258</v>
      </c>
      <c r="L3" s="11" t="s">
        <v>985</v>
      </c>
      <c r="M3" s="11" t="s">
        <v>986</v>
      </c>
      <c r="N3" s="11" t="s">
        <v>985</v>
      </c>
      <c r="O3" s="11" t="s">
        <v>986</v>
      </c>
      <c r="P3" s="11" t="s">
        <v>766</v>
      </c>
      <c r="Q3" s="11" t="n">
        <v>1</v>
      </c>
      <c r="T3" s="11" t="s">
        <v>987</v>
      </c>
    </row>
    <row r="4" customFormat="false" ht="15" hidden="false" customHeight="false" outlineLevel="0" collapsed="false">
      <c r="A4" s="2" t="s">
        <v>993</v>
      </c>
      <c r="B4" s="11" t="s">
        <v>994</v>
      </c>
      <c r="C4" s="11" t="s">
        <v>995</v>
      </c>
      <c r="D4" s="11" t="s">
        <v>996</v>
      </c>
      <c r="G4" s="11" t="s">
        <v>997</v>
      </c>
      <c r="H4" s="11" t="s">
        <v>767</v>
      </c>
      <c r="J4" s="11" t="n">
        <v>3</v>
      </c>
      <c r="K4" s="11" t="s">
        <v>258</v>
      </c>
      <c r="L4" s="11" t="s">
        <v>985</v>
      </c>
      <c r="M4" s="11" t="s">
        <v>986</v>
      </c>
      <c r="N4" s="11" t="s">
        <v>985</v>
      </c>
      <c r="O4" s="11" t="s">
        <v>986</v>
      </c>
      <c r="P4" s="11" t="s">
        <v>766</v>
      </c>
      <c r="Q4" s="11" t="n">
        <v>1</v>
      </c>
      <c r="T4" s="11" t="s">
        <v>987</v>
      </c>
    </row>
    <row r="5" customFormat="false" ht="15" hidden="false" customHeight="false" outlineLevel="0" collapsed="false">
      <c r="A5" s="2" t="s">
        <v>998</v>
      </c>
      <c r="B5" s="11" t="s">
        <v>999</v>
      </c>
      <c r="C5" s="11" t="s">
        <v>1000</v>
      </c>
      <c r="D5" s="11" t="s">
        <v>1001</v>
      </c>
      <c r="G5" s="11" t="s">
        <v>1002</v>
      </c>
      <c r="H5" s="11" t="s">
        <v>794</v>
      </c>
      <c r="J5" s="11" t="n">
        <v>4</v>
      </c>
      <c r="K5" s="11" t="s">
        <v>258</v>
      </c>
      <c r="L5" s="11" t="s">
        <v>985</v>
      </c>
      <c r="M5" s="11" t="s">
        <v>986</v>
      </c>
      <c r="N5" s="11" t="s">
        <v>985</v>
      </c>
      <c r="O5" s="11" t="s">
        <v>986</v>
      </c>
      <c r="P5" s="11" t="s">
        <v>766</v>
      </c>
      <c r="Q5" s="11" t="n">
        <v>1</v>
      </c>
      <c r="T5" s="11" t="s">
        <v>987</v>
      </c>
    </row>
    <row r="6" customFormat="false" ht="15" hidden="false" customHeight="false" outlineLevel="0" collapsed="false">
      <c r="A6" s="2" t="s">
        <v>1003</v>
      </c>
      <c r="B6" s="11" t="s">
        <v>1004</v>
      </c>
      <c r="C6" s="11" t="s">
        <v>1005</v>
      </c>
      <c r="D6" s="11" t="s">
        <v>1006</v>
      </c>
      <c r="G6" s="11" t="s">
        <v>1007</v>
      </c>
      <c r="H6" s="11" t="s">
        <v>794</v>
      </c>
      <c r="J6" s="11" t="n">
        <v>5</v>
      </c>
      <c r="K6" s="11" t="s">
        <v>258</v>
      </c>
      <c r="L6" s="11" t="s">
        <v>985</v>
      </c>
      <c r="M6" s="11" t="s">
        <v>986</v>
      </c>
      <c r="N6" s="11" t="s">
        <v>985</v>
      </c>
      <c r="O6" s="11" t="s">
        <v>986</v>
      </c>
      <c r="P6" s="11" t="s">
        <v>766</v>
      </c>
      <c r="Q6" s="11" t="n">
        <v>1</v>
      </c>
      <c r="T6" s="11" t="s">
        <v>987</v>
      </c>
    </row>
    <row r="7" customFormat="false" ht="15" hidden="false" customHeight="false" outlineLevel="0" collapsed="false">
      <c r="A7" s="2" t="s">
        <v>1008</v>
      </c>
      <c r="B7" s="11" t="s">
        <v>1009</v>
      </c>
      <c r="C7" s="11" t="s">
        <v>1010</v>
      </c>
      <c r="D7" s="11" t="s">
        <v>1011</v>
      </c>
      <c r="G7" s="11" t="s">
        <v>1012</v>
      </c>
      <c r="H7" s="11" t="s">
        <v>794</v>
      </c>
      <c r="J7" s="11" t="n">
        <v>6</v>
      </c>
      <c r="K7" s="11" t="s">
        <v>258</v>
      </c>
      <c r="L7" s="11" t="s">
        <v>985</v>
      </c>
      <c r="M7" s="11" t="s">
        <v>986</v>
      </c>
      <c r="N7" s="11" t="s">
        <v>985</v>
      </c>
      <c r="O7" s="11" t="s">
        <v>986</v>
      </c>
      <c r="P7" s="11" t="s">
        <v>766</v>
      </c>
      <c r="Q7" s="11" t="n">
        <v>1</v>
      </c>
      <c r="T7" s="11" t="s">
        <v>987</v>
      </c>
    </row>
    <row r="8" customFormat="false" ht="15" hidden="false" customHeight="false" outlineLevel="0" collapsed="false">
      <c r="A8" s="2" t="s">
        <v>1013</v>
      </c>
      <c r="B8" s="11" t="s">
        <v>1014</v>
      </c>
      <c r="C8" s="11" t="s">
        <v>1015</v>
      </c>
      <c r="D8" s="11" t="s">
        <v>1016</v>
      </c>
      <c r="G8" s="11" t="s">
        <v>1017</v>
      </c>
      <c r="H8" s="11" t="s">
        <v>794</v>
      </c>
      <c r="J8" s="11" t="n">
        <v>7</v>
      </c>
      <c r="K8" s="11" t="s">
        <v>258</v>
      </c>
      <c r="L8" s="11" t="s">
        <v>985</v>
      </c>
      <c r="M8" s="11" t="s">
        <v>986</v>
      </c>
      <c r="N8" s="11" t="s">
        <v>985</v>
      </c>
      <c r="O8" s="11" t="s">
        <v>986</v>
      </c>
      <c r="P8" s="11" t="s">
        <v>766</v>
      </c>
      <c r="Q8" s="11" t="n">
        <v>1</v>
      </c>
      <c r="T8" s="11" t="s">
        <v>987</v>
      </c>
    </row>
    <row r="9" customFormat="false" ht="15" hidden="false" customHeight="false" outlineLevel="0" collapsed="false">
      <c r="A9" s="2" t="s">
        <v>1018</v>
      </c>
      <c r="B9" s="11" t="s">
        <v>1019</v>
      </c>
      <c r="C9" s="11" t="s">
        <v>1020</v>
      </c>
      <c r="D9" s="11" t="s">
        <v>1021</v>
      </c>
      <c r="G9" s="11" t="s">
        <v>1022</v>
      </c>
      <c r="H9" s="11" t="s">
        <v>794</v>
      </c>
      <c r="J9" s="11" t="n">
        <v>8</v>
      </c>
      <c r="K9" s="11" t="s">
        <v>258</v>
      </c>
      <c r="L9" s="11" t="s">
        <v>985</v>
      </c>
      <c r="M9" s="11" t="s">
        <v>986</v>
      </c>
      <c r="N9" s="11" t="s">
        <v>985</v>
      </c>
      <c r="O9" s="11" t="s">
        <v>986</v>
      </c>
      <c r="P9" s="11" t="s">
        <v>766</v>
      </c>
      <c r="Q9" s="11" t="n">
        <v>1</v>
      </c>
      <c r="T9" s="11" t="s">
        <v>987</v>
      </c>
    </row>
    <row r="10" customFormat="false" ht="15" hidden="false" customHeight="false" outlineLevel="0" collapsed="false">
      <c r="A10" s="2" t="s">
        <v>1023</v>
      </c>
      <c r="B10" s="11" t="s">
        <v>1024</v>
      </c>
      <c r="C10" s="11" t="s">
        <v>1025</v>
      </c>
      <c r="D10" s="11" t="s">
        <v>1026</v>
      </c>
      <c r="G10" s="11" t="s">
        <v>1027</v>
      </c>
      <c r="H10" s="11" t="s">
        <v>742</v>
      </c>
      <c r="J10" s="11" t="n">
        <v>9</v>
      </c>
      <c r="K10" s="11" t="s">
        <v>258</v>
      </c>
      <c r="L10" s="11" t="s">
        <v>985</v>
      </c>
      <c r="M10" s="11" t="s">
        <v>986</v>
      </c>
      <c r="N10" s="11" t="s">
        <v>985</v>
      </c>
      <c r="O10" s="11" t="s">
        <v>986</v>
      </c>
      <c r="P10" s="11" t="s">
        <v>766</v>
      </c>
      <c r="Q10" s="11" t="n">
        <v>1</v>
      </c>
      <c r="T10" s="11" t="s">
        <v>987</v>
      </c>
    </row>
    <row r="11" customFormat="false" ht="15" hidden="false" customHeight="false" outlineLevel="0" collapsed="false">
      <c r="A11" s="2" t="s">
        <v>1028</v>
      </c>
      <c r="B11" s="11" t="s">
        <v>1029</v>
      </c>
      <c r="C11" s="11" t="s">
        <v>1030</v>
      </c>
      <c r="D11" s="11" t="s">
        <v>1031</v>
      </c>
      <c r="G11" s="11" t="s">
        <v>1032</v>
      </c>
      <c r="H11" s="11" t="s">
        <v>742</v>
      </c>
      <c r="J11" s="11" t="n">
        <v>10</v>
      </c>
      <c r="K11" s="11" t="s">
        <v>258</v>
      </c>
      <c r="L11" s="11" t="s">
        <v>985</v>
      </c>
      <c r="M11" s="11" t="s">
        <v>986</v>
      </c>
      <c r="N11" s="11" t="s">
        <v>985</v>
      </c>
      <c r="O11" s="11" t="s">
        <v>986</v>
      </c>
      <c r="P11" s="11" t="s">
        <v>766</v>
      </c>
      <c r="Q11" s="11" t="n">
        <v>1</v>
      </c>
      <c r="T11" s="11" t="s">
        <v>987</v>
      </c>
    </row>
  </sheetData>
  <autoFilter ref="A1:T11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H2:H1011" type="list">
      <formula1>Keuzelijsten!$B$5:$B$60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11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P2:P1011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314</v>
      </c>
      <c r="B1" s="13" t="s">
        <v>315</v>
      </c>
      <c r="C1" s="13" t="s">
        <v>264</v>
      </c>
      <c r="D1" s="13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1033</v>
      </c>
      <c r="B2" s="11" t="s">
        <v>1034</v>
      </c>
      <c r="C2" s="11" t="s">
        <v>1035</v>
      </c>
      <c r="D2" s="11" t="s">
        <v>1036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  <c r="N2" s="11" t="s">
        <v>1037</v>
      </c>
    </row>
    <row r="3" customFormat="false" ht="15" hidden="false" customHeight="false" outlineLevel="0" collapsed="false">
      <c r="A3" s="2" t="s">
        <v>1038</v>
      </c>
      <c r="B3" s="11" t="s">
        <v>1039</v>
      </c>
      <c r="C3" s="11" t="s">
        <v>1040</v>
      </c>
      <c r="D3" s="11" t="s">
        <v>1041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  <c r="N3" s="11" t="s">
        <v>1037</v>
      </c>
    </row>
    <row r="4" customFormat="false" ht="15" hidden="false" customHeight="false" outlineLevel="0" collapsed="false">
      <c r="A4" s="2" t="s">
        <v>1042</v>
      </c>
      <c r="B4" s="11" t="s">
        <v>1043</v>
      </c>
      <c r="C4" s="11" t="s">
        <v>1044</v>
      </c>
      <c r="D4" s="11" t="s">
        <v>1045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  <c r="N4" s="11" t="s">
        <v>1037</v>
      </c>
    </row>
    <row r="5" customFormat="false" ht="15" hidden="false" customHeight="false" outlineLevel="0" collapsed="false">
      <c r="A5" s="2" t="s">
        <v>1046</v>
      </c>
      <c r="B5" s="11" t="s">
        <v>1047</v>
      </c>
      <c r="C5" s="11" t="s">
        <v>1048</v>
      </c>
      <c r="D5" s="11" t="s">
        <v>1049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  <c r="N5" s="11" t="s">
        <v>1037</v>
      </c>
    </row>
  </sheetData>
  <autoFilter ref="A1:N5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0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9" min="5" style="0" width="40"/>
    <col collapsed="false" customWidth="true" hidden="false" outlineLevel="0" max="10" min="10" style="0" width="14"/>
    <col collapsed="false" customWidth="true" hidden="false" outlineLevel="0" max="11" min="11" style="0" width="21"/>
    <col collapsed="false" customWidth="true" hidden="false" outlineLevel="0" max="12" min="12" style="0" width="23"/>
    <col collapsed="false" customWidth="true" hidden="false" outlineLevel="0" max="16" min="13" style="0" width="14"/>
    <col collapsed="false" customWidth="true" hidden="false" outlineLevel="0" max="17" min="17" style="0" width="40"/>
    <col collapsed="false" customWidth="true" hidden="false" outlineLevel="0" max="18" min="18" style="0" width="17"/>
    <col collapsed="false" customWidth="true" hidden="false" outlineLevel="0" max="20" min="19" style="0" width="14"/>
    <col collapsed="false" customWidth="true" hidden="false" outlineLevel="0" max="21" min="21" style="0" width="40"/>
  </cols>
  <sheetData>
    <row r="1" customFormat="false" ht="15" hidden="false" customHeight="false" outlineLevel="0" collapsed="false">
      <c r="A1" s="13" t="s">
        <v>322</v>
      </c>
      <c r="B1" s="13" t="s">
        <v>314</v>
      </c>
      <c r="C1" s="13" t="s">
        <v>327</v>
      </c>
      <c r="D1" s="13" t="s">
        <v>264</v>
      </c>
      <c r="E1" s="13" t="s">
        <v>330</v>
      </c>
      <c r="F1" s="14" t="s">
        <v>319</v>
      </c>
      <c r="G1" s="14" t="s">
        <v>333</v>
      </c>
      <c r="H1" s="14" t="s">
        <v>335</v>
      </c>
      <c r="I1" s="14" t="s">
        <v>337</v>
      </c>
      <c r="J1" s="13" t="s">
        <v>285</v>
      </c>
      <c r="K1" s="13" t="s">
        <v>340</v>
      </c>
      <c r="L1" s="13" t="s">
        <v>342</v>
      </c>
      <c r="M1" s="15" t="s">
        <v>292</v>
      </c>
      <c r="N1" s="15" t="s">
        <v>295</v>
      </c>
      <c r="O1" s="15" t="s">
        <v>298</v>
      </c>
      <c r="P1" s="15" t="s">
        <v>300</v>
      </c>
      <c r="Q1" s="15" t="s">
        <v>302</v>
      </c>
      <c r="R1" s="15" t="s">
        <v>305</v>
      </c>
      <c r="S1" s="15" t="s">
        <v>307</v>
      </c>
      <c r="T1" s="15" t="s">
        <v>310</v>
      </c>
      <c r="U1" s="15" t="s">
        <v>312</v>
      </c>
    </row>
    <row r="2" customFormat="false" ht="15" hidden="false" customHeight="false" outlineLevel="0" collapsed="false">
      <c r="A2" s="2" t="s">
        <v>1050</v>
      </c>
      <c r="B2" s="11" t="s">
        <v>1034</v>
      </c>
      <c r="C2" s="11" t="s">
        <v>1051</v>
      </c>
      <c r="D2" s="11" t="s">
        <v>1052</v>
      </c>
      <c r="E2" s="11" t="s">
        <v>1053</v>
      </c>
      <c r="F2" s="11" t="s">
        <v>1054</v>
      </c>
      <c r="G2" s="11" t="s">
        <v>1055</v>
      </c>
      <c r="H2" s="11" t="s">
        <v>1056</v>
      </c>
      <c r="I2" s="11" t="s">
        <v>1057</v>
      </c>
      <c r="J2" s="11" t="n">
        <v>1</v>
      </c>
      <c r="K2" s="11" t="s">
        <v>258</v>
      </c>
      <c r="L2" s="11" t="s">
        <v>1058</v>
      </c>
      <c r="M2" s="11" t="s">
        <v>985</v>
      </c>
      <c r="N2" s="11" t="s">
        <v>986</v>
      </c>
      <c r="O2" s="11" t="s">
        <v>985</v>
      </c>
      <c r="P2" s="11" t="s">
        <v>986</v>
      </c>
      <c r="Q2" s="11" t="s">
        <v>766</v>
      </c>
      <c r="R2" s="11" t="n">
        <v>1</v>
      </c>
      <c r="U2" s="11" t="s">
        <v>1059</v>
      </c>
    </row>
    <row r="3" customFormat="false" ht="15" hidden="false" customHeight="false" outlineLevel="0" collapsed="false">
      <c r="A3" s="2" t="s">
        <v>1060</v>
      </c>
      <c r="B3" s="11" t="s">
        <v>1034</v>
      </c>
      <c r="C3" s="11" t="s">
        <v>1061</v>
      </c>
      <c r="D3" s="11" t="s">
        <v>1062</v>
      </c>
      <c r="E3" s="11" t="s">
        <v>1063</v>
      </c>
      <c r="F3" s="11" t="s">
        <v>1064</v>
      </c>
      <c r="G3" s="11" t="s">
        <v>1056</v>
      </c>
      <c r="H3" s="11" t="s">
        <v>1065</v>
      </c>
      <c r="I3" s="11" t="s">
        <v>1066</v>
      </c>
      <c r="J3" s="11" t="n">
        <v>2</v>
      </c>
      <c r="K3" s="11" t="s">
        <v>258</v>
      </c>
      <c r="L3" s="11" t="s">
        <v>1058</v>
      </c>
      <c r="M3" s="11" t="s">
        <v>985</v>
      </c>
      <c r="N3" s="11" t="s">
        <v>986</v>
      </c>
      <c r="O3" s="11" t="s">
        <v>985</v>
      </c>
      <c r="P3" s="11" t="s">
        <v>986</v>
      </c>
      <c r="Q3" s="11" t="s">
        <v>766</v>
      </c>
      <c r="R3" s="11" t="n">
        <v>1</v>
      </c>
      <c r="U3" s="11" t="s">
        <v>1059</v>
      </c>
    </row>
    <row r="4" customFormat="false" ht="15" hidden="false" customHeight="false" outlineLevel="0" collapsed="false">
      <c r="A4" s="2" t="s">
        <v>1067</v>
      </c>
      <c r="B4" s="11" t="s">
        <v>1034</v>
      </c>
      <c r="C4" s="11" t="s">
        <v>1068</v>
      </c>
      <c r="D4" s="11" t="s">
        <v>1069</v>
      </c>
      <c r="E4" s="11" t="s">
        <v>1070</v>
      </c>
      <c r="F4" s="11" t="s">
        <v>1071</v>
      </c>
      <c r="G4" s="11" t="s">
        <v>1065</v>
      </c>
      <c r="H4" s="11" t="s">
        <v>1072</v>
      </c>
      <c r="I4" s="11" t="s">
        <v>1073</v>
      </c>
      <c r="J4" s="11" t="n">
        <v>3</v>
      </c>
      <c r="K4" s="11" t="s">
        <v>258</v>
      </c>
      <c r="L4" s="11" t="s">
        <v>1058</v>
      </c>
      <c r="M4" s="11" t="s">
        <v>985</v>
      </c>
      <c r="N4" s="11" t="s">
        <v>986</v>
      </c>
      <c r="O4" s="11" t="s">
        <v>985</v>
      </c>
      <c r="P4" s="11" t="s">
        <v>986</v>
      </c>
      <c r="Q4" s="11" t="s">
        <v>766</v>
      </c>
      <c r="R4" s="11" t="n">
        <v>1</v>
      </c>
      <c r="U4" s="11" t="s">
        <v>1059</v>
      </c>
    </row>
    <row r="5" customFormat="false" ht="15" hidden="false" customHeight="false" outlineLevel="0" collapsed="false">
      <c r="A5" s="2" t="s">
        <v>1074</v>
      </c>
      <c r="B5" s="11" t="s">
        <v>1034</v>
      </c>
      <c r="C5" s="11" t="s">
        <v>1075</v>
      </c>
      <c r="D5" s="11" t="s">
        <v>1076</v>
      </c>
      <c r="E5" s="11" t="s">
        <v>1077</v>
      </c>
      <c r="F5" s="11" t="s">
        <v>1078</v>
      </c>
      <c r="G5" s="11" t="s">
        <v>1079</v>
      </c>
      <c r="H5" s="11" t="s">
        <v>1080</v>
      </c>
      <c r="I5" s="11" t="s">
        <v>1081</v>
      </c>
      <c r="J5" s="11" t="n">
        <v>4</v>
      </c>
      <c r="K5" s="11" t="s">
        <v>258</v>
      </c>
      <c r="L5" s="11" t="s">
        <v>1058</v>
      </c>
      <c r="M5" s="11" t="s">
        <v>985</v>
      </c>
      <c r="N5" s="11" t="s">
        <v>986</v>
      </c>
      <c r="O5" s="11" t="s">
        <v>985</v>
      </c>
      <c r="P5" s="11" t="s">
        <v>986</v>
      </c>
      <c r="Q5" s="11" t="s">
        <v>766</v>
      </c>
      <c r="R5" s="11" t="n">
        <v>1</v>
      </c>
      <c r="U5" s="11" t="s">
        <v>1059</v>
      </c>
    </row>
    <row r="6" customFormat="false" ht="15" hidden="false" customHeight="false" outlineLevel="0" collapsed="false">
      <c r="A6" s="2" t="s">
        <v>1082</v>
      </c>
      <c r="B6" s="11" t="s">
        <v>1034</v>
      </c>
      <c r="C6" s="11" t="s">
        <v>1083</v>
      </c>
      <c r="D6" s="11" t="s">
        <v>1084</v>
      </c>
      <c r="E6" s="11" t="s">
        <v>1085</v>
      </c>
      <c r="F6" s="11" t="s">
        <v>1086</v>
      </c>
      <c r="G6" s="11" t="s">
        <v>1087</v>
      </c>
      <c r="H6" s="11" t="s">
        <v>1088</v>
      </c>
      <c r="I6" s="11" t="s">
        <v>1089</v>
      </c>
      <c r="J6" s="11" t="n">
        <v>5</v>
      </c>
      <c r="K6" s="11" t="s">
        <v>258</v>
      </c>
      <c r="L6" s="11" t="s">
        <v>1058</v>
      </c>
      <c r="M6" s="11" t="s">
        <v>985</v>
      </c>
      <c r="N6" s="11" t="s">
        <v>986</v>
      </c>
      <c r="O6" s="11" t="s">
        <v>985</v>
      </c>
      <c r="P6" s="11" t="s">
        <v>986</v>
      </c>
      <c r="Q6" s="11" t="s">
        <v>766</v>
      </c>
      <c r="R6" s="11" t="n">
        <v>1</v>
      </c>
      <c r="U6" s="11" t="s">
        <v>1059</v>
      </c>
    </row>
    <row r="7" customFormat="false" ht="15" hidden="false" customHeight="false" outlineLevel="0" collapsed="false">
      <c r="A7" s="2" t="s">
        <v>1090</v>
      </c>
      <c r="B7" s="11" t="s">
        <v>1043</v>
      </c>
      <c r="C7" s="11" t="s">
        <v>1091</v>
      </c>
      <c r="D7" s="11" t="s">
        <v>1092</v>
      </c>
      <c r="E7" s="11" t="s">
        <v>1093</v>
      </c>
      <c r="F7" s="11" t="s">
        <v>1094</v>
      </c>
      <c r="G7" s="11" t="s">
        <v>1095</v>
      </c>
      <c r="H7" s="11" t="s">
        <v>1096</v>
      </c>
      <c r="I7" s="11" t="s">
        <v>1097</v>
      </c>
      <c r="J7" s="11" t="n">
        <v>1</v>
      </c>
      <c r="K7" s="11" t="s">
        <v>258</v>
      </c>
      <c r="L7" s="11" t="s">
        <v>1058</v>
      </c>
      <c r="M7" s="11" t="s">
        <v>985</v>
      </c>
      <c r="N7" s="11" t="s">
        <v>986</v>
      </c>
      <c r="O7" s="11" t="s">
        <v>985</v>
      </c>
      <c r="P7" s="11" t="s">
        <v>986</v>
      </c>
      <c r="Q7" s="11" t="s">
        <v>766</v>
      </c>
      <c r="R7" s="11" t="n">
        <v>1</v>
      </c>
      <c r="U7" s="11" t="s">
        <v>1059</v>
      </c>
    </row>
    <row r="8" customFormat="false" ht="15" hidden="false" customHeight="false" outlineLevel="0" collapsed="false">
      <c r="A8" s="2" t="s">
        <v>1098</v>
      </c>
      <c r="B8" s="11" t="s">
        <v>1043</v>
      </c>
      <c r="C8" s="11" t="s">
        <v>1099</v>
      </c>
      <c r="D8" s="11" t="s">
        <v>1100</v>
      </c>
      <c r="E8" s="11" t="s">
        <v>1101</v>
      </c>
      <c r="F8" s="11" t="s">
        <v>1102</v>
      </c>
      <c r="G8" s="11" t="s">
        <v>1103</v>
      </c>
      <c r="H8" s="11" t="s">
        <v>1104</v>
      </c>
      <c r="I8" s="11" t="s">
        <v>1105</v>
      </c>
      <c r="J8" s="11" t="n">
        <v>2</v>
      </c>
      <c r="K8" s="11" t="s">
        <v>258</v>
      </c>
      <c r="L8" s="11" t="s">
        <v>1058</v>
      </c>
      <c r="M8" s="11" t="s">
        <v>985</v>
      </c>
      <c r="N8" s="11" t="s">
        <v>986</v>
      </c>
      <c r="O8" s="11" t="s">
        <v>985</v>
      </c>
      <c r="P8" s="11" t="s">
        <v>986</v>
      </c>
      <c r="Q8" s="11" t="s">
        <v>766</v>
      </c>
      <c r="R8" s="11" t="n">
        <v>1</v>
      </c>
      <c r="U8" s="11" t="s">
        <v>1059</v>
      </c>
    </row>
    <row r="9" customFormat="false" ht="15" hidden="false" customHeight="false" outlineLevel="0" collapsed="false">
      <c r="A9" s="2" t="s">
        <v>1106</v>
      </c>
      <c r="B9" s="11" t="s">
        <v>1043</v>
      </c>
      <c r="C9" s="11" t="s">
        <v>1107</v>
      </c>
      <c r="D9" s="11" t="s">
        <v>1108</v>
      </c>
      <c r="E9" s="11" t="s">
        <v>1109</v>
      </c>
      <c r="F9" s="11" t="s">
        <v>1110</v>
      </c>
      <c r="G9" s="11" t="s">
        <v>1104</v>
      </c>
      <c r="H9" s="11" t="s">
        <v>1111</v>
      </c>
      <c r="I9" s="11" t="s">
        <v>1112</v>
      </c>
      <c r="J9" s="11" t="n">
        <v>3</v>
      </c>
      <c r="K9" s="11" t="s">
        <v>258</v>
      </c>
      <c r="L9" s="11" t="s">
        <v>1058</v>
      </c>
      <c r="M9" s="11" t="s">
        <v>985</v>
      </c>
      <c r="N9" s="11" t="s">
        <v>986</v>
      </c>
      <c r="O9" s="11" t="s">
        <v>985</v>
      </c>
      <c r="P9" s="11" t="s">
        <v>986</v>
      </c>
      <c r="Q9" s="11" t="s">
        <v>766</v>
      </c>
      <c r="R9" s="11" t="n">
        <v>1</v>
      </c>
      <c r="U9" s="11" t="s">
        <v>1059</v>
      </c>
    </row>
    <row r="10" customFormat="false" ht="15" hidden="false" customHeight="false" outlineLevel="0" collapsed="false">
      <c r="A10" s="2" t="s">
        <v>1113</v>
      </c>
      <c r="B10" s="11" t="s">
        <v>1043</v>
      </c>
      <c r="C10" s="11" t="s">
        <v>1114</v>
      </c>
      <c r="D10" s="11" t="s">
        <v>1115</v>
      </c>
      <c r="E10" s="11" t="s">
        <v>1116</v>
      </c>
      <c r="F10" s="11" t="s">
        <v>1117</v>
      </c>
      <c r="G10" s="11" t="s">
        <v>1111</v>
      </c>
      <c r="H10" s="11" t="s">
        <v>1118</v>
      </c>
      <c r="I10" s="11" t="s">
        <v>1119</v>
      </c>
      <c r="J10" s="11" t="n">
        <v>4</v>
      </c>
      <c r="K10" s="11" t="s">
        <v>258</v>
      </c>
      <c r="L10" s="11" t="s">
        <v>1058</v>
      </c>
      <c r="M10" s="11" t="s">
        <v>985</v>
      </c>
      <c r="N10" s="11" t="s">
        <v>986</v>
      </c>
      <c r="O10" s="11" t="s">
        <v>985</v>
      </c>
      <c r="P10" s="11" t="s">
        <v>986</v>
      </c>
      <c r="Q10" s="11" t="s">
        <v>766</v>
      </c>
      <c r="R10" s="11" t="n">
        <v>1</v>
      </c>
      <c r="U10" s="11" t="s">
        <v>1059</v>
      </c>
    </row>
    <row r="11" customFormat="false" ht="15" hidden="false" customHeight="false" outlineLevel="0" collapsed="false">
      <c r="A11" s="2" t="s">
        <v>1120</v>
      </c>
      <c r="B11" s="11" t="s">
        <v>1043</v>
      </c>
      <c r="C11" s="11" t="s">
        <v>1121</v>
      </c>
      <c r="D11" s="11" t="s">
        <v>1122</v>
      </c>
      <c r="E11" s="11" t="s">
        <v>1123</v>
      </c>
      <c r="F11" s="11" t="s">
        <v>1124</v>
      </c>
      <c r="G11" s="11" t="s">
        <v>1118</v>
      </c>
      <c r="H11" s="11" t="s">
        <v>1125</v>
      </c>
      <c r="I11" s="11" t="s">
        <v>1126</v>
      </c>
      <c r="J11" s="11" t="n">
        <v>5</v>
      </c>
      <c r="K11" s="11" t="s">
        <v>258</v>
      </c>
      <c r="L11" s="11" t="s">
        <v>1058</v>
      </c>
      <c r="M11" s="11" t="s">
        <v>985</v>
      </c>
      <c r="N11" s="11" t="s">
        <v>986</v>
      </c>
      <c r="O11" s="11" t="s">
        <v>985</v>
      </c>
      <c r="P11" s="11" t="s">
        <v>986</v>
      </c>
      <c r="Q11" s="11" t="s">
        <v>766</v>
      </c>
      <c r="R11" s="11" t="n">
        <v>1</v>
      </c>
      <c r="U11" s="11" t="s">
        <v>1059</v>
      </c>
    </row>
    <row r="12" customFormat="false" ht="15" hidden="false" customHeight="false" outlineLevel="0" collapsed="false">
      <c r="A12" s="2" t="s">
        <v>1127</v>
      </c>
      <c r="B12" s="11" t="s">
        <v>1043</v>
      </c>
      <c r="C12" s="11" t="s">
        <v>1128</v>
      </c>
      <c r="D12" s="11" t="s">
        <v>1129</v>
      </c>
      <c r="E12" s="11" t="s">
        <v>1130</v>
      </c>
      <c r="F12" s="11" t="s">
        <v>1131</v>
      </c>
      <c r="G12" s="11" t="s">
        <v>1132</v>
      </c>
      <c r="H12" s="11" t="s">
        <v>1133</v>
      </c>
      <c r="I12" s="11" t="s">
        <v>1134</v>
      </c>
      <c r="J12" s="11" t="n">
        <v>6</v>
      </c>
      <c r="K12" s="11" t="s">
        <v>258</v>
      </c>
      <c r="L12" s="11" t="s">
        <v>1058</v>
      </c>
      <c r="M12" s="11" t="s">
        <v>985</v>
      </c>
      <c r="N12" s="11" t="s">
        <v>986</v>
      </c>
      <c r="O12" s="11" t="s">
        <v>985</v>
      </c>
      <c r="P12" s="11" t="s">
        <v>986</v>
      </c>
      <c r="Q12" s="11" t="s">
        <v>766</v>
      </c>
      <c r="R12" s="11" t="n">
        <v>1</v>
      </c>
      <c r="U12" s="11" t="s">
        <v>1059</v>
      </c>
    </row>
    <row r="13" customFormat="false" ht="15" hidden="false" customHeight="false" outlineLevel="0" collapsed="false">
      <c r="A13" s="2" t="s">
        <v>1135</v>
      </c>
      <c r="B13" s="11" t="s">
        <v>1043</v>
      </c>
      <c r="C13" s="11" t="s">
        <v>1136</v>
      </c>
      <c r="D13" s="11" t="s">
        <v>1137</v>
      </c>
      <c r="E13" s="11" t="s">
        <v>1138</v>
      </c>
      <c r="F13" s="11" t="s">
        <v>1139</v>
      </c>
      <c r="G13" s="11" t="s">
        <v>1140</v>
      </c>
      <c r="H13" s="11" t="s">
        <v>1141</v>
      </c>
      <c r="I13" s="11" t="s">
        <v>1142</v>
      </c>
      <c r="J13" s="11" t="n">
        <v>7</v>
      </c>
      <c r="K13" s="11" t="s">
        <v>258</v>
      </c>
      <c r="L13" s="11" t="s">
        <v>1058</v>
      </c>
      <c r="M13" s="11" t="s">
        <v>985</v>
      </c>
      <c r="N13" s="11" t="s">
        <v>986</v>
      </c>
      <c r="O13" s="11" t="s">
        <v>985</v>
      </c>
      <c r="P13" s="11" t="s">
        <v>986</v>
      </c>
      <c r="Q13" s="11" t="s">
        <v>766</v>
      </c>
      <c r="R13" s="11" t="n">
        <v>1</v>
      </c>
      <c r="U13" s="11" t="s">
        <v>1059</v>
      </c>
    </row>
  </sheetData>
  <autoFilter ref="A1:U13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13" type="list">
      <formula1>procesniveau!$B$2:$B$2000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13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13" type="list">
      <formula1>validation_status!$B$2:$B$2000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13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5" min="4" style="0" width="40"/>
    <col collapsed="false" customWidth="true" hidden="false" outlineLevel="0" max="6" min="6" style="0" width="19"/>
    <col collapsed="false" customWidth="true" hidden="false" outlineLevel="0" max="11" min="7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345</v>
      </c>
      <c r="B1" s="13" t="s">
        <v>346</v>
      </c>
      <c r="C1" s="13" t="s">
        <v>348</v>
      </c>
      <c r="D1" s="13" t="s">
        <v>349</v>
      </c>
      <c r="E1" s="14" t="s">
        <v>351</v>
      </c>
      <c r="F1" s="13" t="s">
        <v>352</v>
      </c>
      <c r="G1" s="14" t="s">
        <v>285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1143</v>
      </c>
      <c r="B2" s="11" t="s">
        <v>1051</v>
      </c>
      <c r="C2" s="11" t="s">
        <v>1061</v>
      </c>
      <c r="D2" s="11" t="s">
        <v>743</v>
      </c>
      <c r="F2" s="11" t="s">
        <v>258</v>
      </c>
      <c r="G2" s="11" t="n">
        <v>1</v>
      </c>
      <c r="H2" s="11" t="s">
        <v>1144</v>
      </c>
      <c r="I2" s="11" t="s">
        <v>1145</v>
      </c>
      <c r="J2" s="11" t="s">
        <v>1144</v>
      </c>
      <c r="K2" s="11" t="s">
        <v>1145</v>
      </c>
      <c r="L2" s="11" t="s">
        <v>766</v>
      </c>
      <c r="M2" s="11" t="n">
        <v>1</v>
      </c>
      <c r="P2" s="11" t="s">
        <v>27</v>
      </c>
    </row>
    <row r="3" customFormat="false" ht="15" hidden="false" customHeight="false" outlineLevel="0" collapsed="false">
      <c r="A3" s="2" t="s">
        <v>1146</v>
      </c>
      <c r="B3" s="11" t="s">
        <v>1061</v>
      </c>
      <c r="C3" s="11" t="s">
        <v>1068</v>
      </c>
      <c r="D3" s="11" t="s">
        <v>743</v>
      </c>
      <c r="F3" s="11" t="s">
        <v>258</v>
      </c>
      <c r="G3" s="11" t="n">
        <v>2</v>
      </c>
      <c r="H3" s="11" t="s">
        <v>1144</v>
      </c>
      <c r="I3" s="11" t="s">
        <v>1145</v>
      </c>
      <c r="J3" s="11" t="s">
        <v>1144</v>
      </c>
      <c r="K3" s="11" t="s">
        <v>1145</v>
      </c>
      <c r="L3" s="11" t="s">
        <v>766</v>
      </c>
      <c r="M3" s="11" t="n">
        <v>1</v>
      </c>
      <c r="P3" s="11" t="s">
        <v>27</v>
      </c>
    </row>
    <row r="4" customFormat="false" ht="15" hidden="false" customHeight="false" outlineLevel="0" collapsed="false">
      <c r="A4" s="2" t="s">
        <v>1147</v>
      </c>
      <c r="B4" s="11" t="s">
        <v>1068</v>
      </c>
      <c r="C4" s="11" t="s">
        <v>1075</v>
      </c>
      <c r="D4" s="11" t="s">
        <v>743</v>
      </c>
      <c r="F4" s="11" t="s">
        <v>258</v>
      </c>
      <c r="G4" s="11" t="n">
        <v>3</v>
      </c>
      <c r="H4" s="11" t="s">
        <v>1144</v>
      </c>
      <c r="I4" s="11" t="s">
        <v>1145</v>
      </c>
      <c r="J4" s="11" t="s">
        <v>1144</v>
      </c>
      <c r="K4" s="11" t="s">
        <v>1145</v>
      </c>
      <c r="L4" s="11" t="s">
        <v>766</v>
      </c>
      <c r="M4" s="11" t="n">
        <v>1</v>
      </c>
      <c r="P4" s="11" t="s">
        <v>27</v>
      </c>
    </row>
    <row r="5" customFormat="false" ht="15" hidden="false" customHeight="false" outlineLevel="0" collapsed="false">
      <c r="A5" s="2" t="s">
        <v>1148</v>
      </c>
      <c r="B5" s="11" t="s">
        <v>1075</v>
      </c>
      <c r="C5" s="11" t="s">
        <v>1083</v>
      </c>
      <c r="D5" s="11" t="s">
        <v>743</v>
      </c>
      <c r="F5" s="11" t="s">
        <v>258</v>
      </c>
      <c r="G5" s="11" t="n">
        <v>4</v>
      </c>
      <c r="H5" s="11" t="s">
        <v>1144</v>
      </c>
      <c r="I5" s="11" t="s">
        <v>1145</v>
      </c>
      <c r="J5" s="11" t="s">
        <v>1144</v>
      </c>
      <c r="K5" s="11" t="s">
        <v>1145</v>
      </c>
      <c r="L5" s="11" t="s">
        <v>766</v>
      </c>
      <c r="M5" s="11" t="n">
        <v>1</v>
      </c>
      <c r="P5" s="11" t="s">
        <v>27</v>
      </c>
    </row>
    <row r="6" customFormat="false" ht="15" hidden="false" customHeight="false" outlineLevel="0" collapsed="false">
      <c r="A6" s="2" t="s">
        <v>1149</v>
      </c>
      <c r="B6" s="11" t="s">
        <v>1083</v>
      </c>
      <c r="C6" s="11" t="s">
        <v>1068</v>
      </c>
      <c r="D6" s="11" t="s">
        <v>856</v>
      </c>
      <c r="F6" s="11" t="s">
        <v>272</v>
      </c>
      <c r="G6" s="11" t="n">
        <v>5</v>
      </c>
      <c r="H6" s="11" t="s">
        <v>1144</v>
      </c>
      <c r="I6" s="11" t="s">
        <v>1145</v>
      </c>
      <c r="J6" s="11" t="s">
        <v>1144</v>
      </c>
      <c r="K6" s="11" t="s">
        <v>1145</v>
      </c>
      <c r="L6" s="11" t="s">
        <v>766</v>
      </c>
      <c r="M6" s="11" t="n">
        <v>1</v>
      </c>
      <c r="P6" s="11" t="s">
        <v>27</v>
      </c>
    </row>
    <row r="7" customFormat="false" ht="15" hidden="false" customHeight="false" outlineLevel="0" collapsed="false">
      <c r="A7" s="2" t="s">
        <v>1150</v>
      </c>
      <c r="B7" s="11" t="s">
        <v>1083</v>
      </c>
      <c r="C7" s="11" t="s">
        <v>1051</v>
      </c>
      <c r="D7" s="11" t="s">
        <v>795</v>
      </c>
      <c r="F7" s="11" t="s">
        <v>272</v>
      </c>
      <c r="G7" s="11" t="n">
        <v>6</v>
      </c>
      <c r="H7" s="11" t="s">
        <v>1144</v>
      </c>
      <c r="I7" s="11" t="s">
        <v>1145</v>
      </c>
      <c r="J7" s="11" t="s">
        <v>1144</v>
      </c>
      <c r="K7" s="11" t="s">
        <v>1145</v>
      </c>
      <c r="L7" s="11" t="s">
        <v>766</v>
      </c>
      <c r="M7" s="11" t="n">
        <v>1</v>
      </c>
      <c r="P7" s="11" t="s">
        <v>27</v>
      </c>
    </row>
    <row r="8" customFormat="false" ht="15" hidden="false" customHeight="false" outlineLevel="0" collapsed="false">
      <c r="A8" s="2" t="s">
        <v>1151</v>
      </c>
      <c r="B8" s="11" t="s">
        <v>1068</v>
      </c>
      <c r="C8" s="11" t="s">
        <v>1091</v>
      </c>
      <c r="D8" s="11" t="s">
        <v>840</v>
      </c>
      <c r="E8" s="11" t="s">
        <v>1152</v>
      </c>
      <c r="F8" s="11" t="s">
        <v>272</v>
      </c>
      <c r="G8" s="11" t="n">
        <v>7</v>
      </c>
      <c r="H8" s="11" t="s">
        <v>1144</v>
      </c>
      <c r="I8" s="11" t="s">
        <v>1145</v>
      </c>
      <c r="J8" s="11" t="s">
        <v>1144</v>
      </c>
      <c r="K8" s="11" t="s">
        <v>1145</v>
      </c>
      <c r="L8" s="11" t="s">
        <v>766</v>
      </c>
      <c r="M8" s="11" t="n">
        <v>1</v>
      </c>
      <c r="P8" s="11" t="s">
        <v>27</v>
      </c>
    </row>
    <row r="9" customFormat="false" ht="15" hidden="false" customHeight="false" outlineLevel="0" collapsed="false">
      <c r="A9" s="2" t="s">
        <v>1153</v>
      </c>
      <c r="B9" s="11" t="s">
        <v>1075</v>
      </c>
      <c r="C9" s="11" t="s">
        <v>1091</v>
      </c>
      <c r="D9" s="11" t="s">
        <v>840</v>
      </c>
      <c r="E9" s="11" t="s">
        <v>1152</v>
      </c>
      <c r="F9" s="11" t="s">
        <v>272</v>
      </c>
      <c r="G9" s="11" t="n">
        <v>8</v>
      </c>
      <c r="H9" s="11" t="s">
        <v>1144</v>
      </c>
      <c r="I9" s="11" t="s">
        <v>1145</v>
      </c>
      <c r="J9" s="11" t="s">
        <v>1144</v>
      </c>
      <c r="K9" s="11" t="s">
        <v>1145</v>
      </c>
      <c r="L9" s="11" t="s">
        <v>766</v>
      </c>
      <c r="M9" s="11" t="n">
        <v>1</v>
      </c>
      <c r="P9" s="11" t="s">
        <v>27</v>
      </c>
    </row>
    <row r="10" customFormat="false" ht="15" hidden="false" customHeight="false" outlineLevel="0" collapsed="false">
      <c r="A10" s="2" t="s">
        <v>1154</v>
      </c>
      <c r="B10" s="11" t="s">
        <v>1091</v>
      </c>
      <c r="C10" s="11" t="s">
        <v>1099</v>
      </c>
      <c r="D10" s="11" t="s">
        <v>743</v>
      </c>
      <c r="F10" s="11" t="s">
        <v>258</v>
      </c>
      <c r="G10" s="11" t="n">
        <v>9</v>
      </c>
      <c r="H10" s="11" t="s">
        <v>1144</v>
      </c>
      <c r="I10" s="11" t="s">
        <v>1145</v>
      </c>
      <c r="J10" s="11" t="s">
        <v>1144</v>
      </c>
      <c r="K10" s="11" t="s">
        <v>1145</v>
      </c>
      <c r="L10" s="11" t="s">
        <v>766</v>
      </c>
      <c r="M10" s="11" t="n">
        <v>1</v>
      </c>
      <c r="P10" s="11" t="s">
        <v>27</v>
      </c>
    </row>
    <row r="11" customFormat="false" ht="15" hidden="false" customHeight="false" outlineLevel="0" collapsed="false">
      <c r="A11" s="2" t="s">
        <v>1155</v>
      </c>
      <c r="B11" s="11" t="s">
        <v>1099</v>
      </c>
      <c r="C11" s="11" t="s">
        <v>1107</v>
      </c>
      <c r="D11" s="11" t="s">
        <v>743</v>
      </c>
      <c r="F11" s="11" t="s">
        <v>258</v>
      </c>
      <c r="G11" s="11" t="n">
        <v>10</v>
      </c>
      <c r="H11" s="11" t="s">
        <v>1144</v>
      </c>
      <c r="I11" s="11" t="s">
        <v>1145</v>
      </c>
      <c r="J11" s="11" t="s">
        <v>1144</v>
      </c>
      <c r="K11" s="11" t="s">
        <v>1145</v>
      </c>
      <c r="L11" s="11" t="s">
        <v>766</v>
      </c>
      <c r="M11" s="11" t="n">
        <v>1</v>
      </c>
      <c r="P11" s="11" t="s">
        <v>27</v>
      </c>
    </row>
    <row r="12" customFormat="false" ht="15" hidden="false" customHeight="false" outlineLevel="0" collapsed="false">
      <c r="A12" s="2" t="s">
        <v>1156</v>
      </c>
      <c r="B12" s="11" t="s">
        <v>1107</v>
      </c>
      <c r="C12" s="11" t="s">
        <v>1114</v>
      </c>
      <c r="D12" s="11" t="s">
        <v>743</v>
      </c>
      <c r="F12" s="11" t="s">
        <v>258</v>
      </c>
      <c r="G12" s="11" t="n">
        <v>11</v>
      </c>
      <c r="H12" s="11" t="s">
        <v>1144</v>
      </c>
      <c r="I12" s="11" t="s">
        <v>1145</v>
      </c>
      <c r="J12" s="11" t="s">
        <v>1144</v>
      </c>
      <c r="K12" s="11" t="s">
        <v>1145</v>
      </c>
      <c r="L12" s="11" t="s">
        <v>766</v>
      </c>
      <c r="M12" s="11" t="n">
        <v>1</v>
      </c>
      <c r="P12" s="11" t="s">
        <v>27</v>
      </c>
    </row>
    <row r="13" customFormat="false" ht="15" hidden="false" customHeight="false" outlineLevel="0" collapsed="false">
      <c r="A13" s="2" t="s">
        <v>1157</v>
      </c>
      <c r="B13" s="11" t="s">
        <v>1114</v>
      </c>
      <c r="C13" s="11" t="s">
        <v>1121</v>
      </c>
      <c r="D13" s="11" t="s">
        <v>743</v>
      </c>
      <c r="F13" s="11" t="s">
        <v>258</v>
      </c>
      <c r="G13" s="11" t="n">
        <v>12</v>
      </c>
      <c r="H13" s="11" t="s">
        <v>1144</v>
      </c>
      <c r="I13" s="11" t="s">
        <v>1145</v>
      </c>
      <c r="J13" s="11" t="s">
        <v>1144</v>
      </c>
      <c r="K13" s="11" t="s">
        <v>1145</v>
      </c>
      <c r="L13" s="11" t="s">
        <v>766</v>
      </c>
      <c r="M13" s="11" t="n">
        <v>1</v>
      </c>
      <c r="P13" s="11" t="s">
        <v>27</v>
      </c>
    </row>
    <row r="14" customFormat="false" ht="15" hidden="false" customHeight="false" outlineLevel="0" collapsed="false">
      <c r="A14" s="2" t="s">
        <v>1158</v>
      </c>
      <c r="B14" s="11" t="s">
        <v>1121</v>
      </c>
      <c r="C14" s="11" t="s">
        <v>1128</v>
      </c>
      <c r="D14" s="11" t="s">
        <v>743</v>
      </c>
      <c r="F14" s="11" t="s">
        <v>258</v>
      </c>
      <c r="G14" s="11" t="n">
        <v>13</v>
      </c>
      <c r="H14" s="11" t="s">
        <v>1144</v>
      </c>
      <c r="I14" s="11" t="s">
        <v>1145</v>
      </c>
      <c r="J14" s="11" t="s">
        <v>1144</v>
      </c>
      <c r="K14" s="11" t="s">
        <v>1145</v>
      </c>
      <c r="L14" s="11" t="s">
        <v>766</v>
      </c>
      <c r="M14" s="11" t="n">
        <v>1</v>
      </c>
      <c r="P14" s="11" t="s">
        <v>27</v>
      </c>
    </row>
    <row r="15" customFormat="false" ht="15" hidden="false" customHeight="false" outlineLevel="0" collapsed="false">
      <c r="A15" s="2" t="s">
        <v>1159</v>
      </c>
      <c r="B15" s="11" t="s">
        <v>1128</v>
      </c>
      <c r="C15" s="11" t="s">
        <v>1136</v>
      </c>
      <c r="D15" s="11" t="s">
        <v>743</v>
      </c>
      <c r="F15" s="11" t="s">
        <v>258</v>
      </c>
      <c r="G15" s="11" t="n">
        <v>14</v>
      </c>
      <c r="H15" s="11" t="s">
        <v>1144</v>
      </c>
      <c r="I15" s="11" t="s">
        <v>1145</v>
      </c>
      <c r="J15" s="11" t="s">
        <v>1144</v>
      </c>
      <c r="K15" s="11" t="s">
        <v>1145</v>
      </c>
      <c r="L15" s="11" t="s">
        <v>766</v>
      </c>
      <c r="M15" s="11" t="n">
        <v>1</v>
      </c>
      <c r="P15" s="11" t="s">
        <v>27</v>
      </c>
    </row>
    <row r="16" customFormat="false" ht="15" hidden="false" customHeight="false" outlineLevel="0" collapsed="false">
      <c r="A16" s="2" t="s">
        <v>1160</v>
      </c>
      <c r="B16" s="11" t="s">
        <v>1114</v>
      </c>
      <c r="C16" s="11" t="s">
        <v>1107</v>
      </c>
      <c r="D16" s="11" t="s">
        <v>795</v>
      </c>
      <c r="F16" s="11" t="s">
        <v>272</v>
      </c>
      <c r="G16" s="11" t="n">
        <v>15</v>
      </c>
      <c r="H16" s="11" t="s">
        <v>1144</v>
      </c>
      <c r="I16" s="11" t="s">
        <v>1145</v>
      </c>
      <c r="J16" s="11" t="s">
        <v>1144</v>
      </c>
      <c r="K16" s="11" t="s">
        <v>1145</v>
      </c>
      <c r="L16" s="11" t="s">
        <v>766</v>
      </c>
      <c r="M16" s="11" t="n">
        <v>1</v>
      </c>
      <c r="P16" s="11" t="s">
        <v>27</v>
      </c>
    </row>
    <row r="17" customFormat="false" ht="15" hidden="false" customHeight="false" outlineLevel="0" collapsed="false">
      <c r="A17" s="2" t="s">
        <v>1161</v>
      </c>
      <c r="B17" s="11" t="s">
        <v>1136</v>
      </c>
      <c r="C17" s="11" t="s">
        <v>1083</v>
      </c>
      <c r="D17" s="11" t="s">
        <v>819</v>
      </c>
      <c r="F17" s="11" t="s">
        <v>272</v>
      </c>
      <c r="G17" s="11" t="n">
        <v>16</v>
      </c>
      <c r="H17" s="11" t="s">
        <v>1144</v>
      </c>
      <c r="I17" s="11" t="s">
        <v>1145</v>
      </c>
      <c r="J17" s="11" t="s">
        <v>1144</v>
      </c>
      <c r="K17" s="11" t="s">
        <v>1145</v>
      </c>
      <c r="L17" s="11" t="s">
        <v>766</v>
      </c>
      <c r="M17" s="11" t="n">
        <v>1</v>
      </c>
      <c r="P17" s="11" t="s">
        <v>27</v>
      </c>
    </row>
  </sheetData>
  <autoFilter ref="A1:P17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17" type="list">
      <formula1>procesfase!$C$2:$C$2000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17" type="list">
      <formula1>procesfase!$C$2:$C$2000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17" type="list">
      <formula1>Keuzelijsten!$C$5:$C$60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17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17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A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40"/>
    <col collapsed="false" customWidth="true" hidden="false" outlineLevel="0" max="7" min="7" style="0" width="17"/>
    <col collapsed="false" customWidth="true" hidden="false" outlineLevel="0" max="13" min="8" style="0" width="40"/>
    <col collapsed="false" customWidth="true" hidden="false" outlineLevel="0" max="14" min="14" style="0" width="25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21"/>
    <col collapsed="false" customWidth="true" hidden="false" outlineLevel="0" max="18" min="18" style="0" width="23"/>
    <col collapsed="false" customWidth="true" hidden="false" outlineLevel="0" max="22" min="19" style="0" width="14"/>
    <col collapsed="false" customWidth="true" hidden="false" outlineLevel="0" max="23" min="23" style="0" width="40"/>
    <col collapsed="false" customWidth="true" hidden="false" outlineLevel="0" max="24" min="24" style="0" width="17"/>
    <col collapsed="false" customWidth="true" hidden="false" outlineLevel="0" max="26" min="25" style="0" width="14"/>
    <col collapsed="false" customWidth="true" hidden="false" outlineLevel="0" max="27" min="27" style="0" width="40"/>
  </cols>
  <sheetData>
    <row r="1" customFormat="false" ht="15" hidden="false" customHeight="false" outlineLevel="0" collapsed="false">
      <c r="A1" s="13" t="s">
        <v>353</v>
      </c>
      <c r="B1" s="13" t="s">
        <v>354</v>
      </c>
      <c r="C1" s="13" t="s">
        <v>322</v>
      </c>
      <c r="D1" s="13" t="s">
        <v>264</v>
      </c>
      <c r="E1" s="13" t="s">
        <v>330</v>
      </c>
      <c r="F1" s="14" t="s">
        <v>319</v>
      </c>
      <c r="G1" s="13" t="s">
        <v>360</v>
      </c>
      <c r="H1" s="13" t="s">
        <v>363</v>
      </c>
      <c r="I1" s="13" t="s">
        <v>366</v>
      </c>
      <c r="J1" s="14" t="s">
        <v>369</v>
      </c>
      <c r="K1" s="14" t="s">
        <v>371</v>
      </c>
      <c r="L1" s="14" t="s">
        <v>373</v>
      </c>
      <c r="M1" s="14" t="s">
        <v>375</v>
      </c>
      <c r="N1" s="13" t="s">
        <v>377</v>
      </c>
      <c r="O1" s="14" t="s">
        <v>379</v>
      </c>
      <c r="P1" s="13" t="s">
        <v>382</v>
      </c>
      <c r="Q1" s="13" t="s">
        <v>340</v>
      </c>
      <c r="R1" s="13" t="s">
        <v>342</v>
      </c>
      <c r="S1" s="15" t="s">
        <v>292</v>
      </c>
      <c r="T1" s="15" t="s">
        <v>295</v>
      </c>
      <c r="U1" s="15" t="s">
        <v>298</v>
      </c>
      <c r="V1" s="15" t="s">
        <v>300</v>
      </c>
      <c r="W1" s="15" t="s">
        <v>302</v>
      </c>
      <c r="X1" s="15" t="s">
        <v>305</v>
      </c>
      <c r="Y1" s="15" t="s">
        <v>307</v>
      </c>
      <c r="Z1" s="15" t="s">
        <v>310</v>
      </c>
      <c r="AA1" s="15" t="s">
        <v>312</v>
      </c>
    </row>
    <row r="2" customFormat="false" ht="15" hidden="false" customHeight="false" outlineLevel="0" collapsed="false">
      <c r="A2" s="2" t="s">
        <v>1162</v>
      </c>
      <c r="B2" s="11" t="s">
        <v>1163</v>
      </c>
      <c r="C2" s="11" t="s">
        <v>1051</v>
      </c>
      <c r="D2" s="11" t="s">
        <v>1164</v>
      </c>
      <c r="E2" s="11" t="s">
        <v>1053</v>
      </c>
      <c r="F2" s="11" t="s">
        <v>1165</v>
      </c>
      <c r="G2" s="11" t="s">
        <v>1166</v>
      </c>
      <c r="H2" s="11" t="s">
        <v>796</v>
      </c>
      <c r="I2" s="11" t="s">
        <v>770</v>
      </c>
      <c r="J2" s="11" t="s">
        <v>1167</v>
      </c>
      <c r="K2" s="11" t="s">
        <v>1168</v>
      </c>
      <c r="L2" s="11" t="s">
        <v>1169</v>
      </c>
      <c r="M2" s="11" t="s">
        <v>1170</v>
      </c>
      <c r="N2" s="11" t="s">
        <v>258</v>
      </c>
      <c r="O2" s="11" t="s">
        <v>1171</v>
      </c>
      <c r="P2" s="11" t="s">
        <v>258</v>
      </c>
      <c r="Q2" s="11" t="s">
        <v>258</v>
      </c>
      <c r="R2" s="11" t="s">
        <v>1058</v>
      </c>
      <c r="S2" s="11" t="s">
        <v>1144</v>
      </c>
      <c r="T2" s="11" t="s">
        <v>1145</v>
      </c>
      <c r="U2" s="11" t="s">
        <v>1144</v>
      </c>
      <c r="V2" s="11" t="s">
        <v>1145</v>
      </c>
      <c r="W2" s="11" t="s">
        <v>766</v>
      </c>
      <c r="X2" s="11" t="n">
        <v>1</v>
      </c>
      <c r="AA2" s="11" t="s">
        <v>27</v>
      </c>
    </row>
    <row r="3" customFormat="false" ht="15" hidden="false" customHeight="false" outlineLevel="0" collapsed="false">
      <c r="A3" s="2" t="s">
        <v>1172</v>
      </c>
      <c r="B3" s="11" t="s">
        <v>1173</v>
      </c>
      <c r="C3" s="11" t="s">
        <v>1061</v>
      </c>
      <c r="D3" s="11" t="s">
        <v>1174</v>
      </c>
      <c r="E3" s="11" t="s">
        <v>1063</v>
      </c>
      <c r="F3" s="11" t="s">
        <v>1175</v>
      </c>
      <c r="G3" s="11" t="s">
        <v>1176</v>
      </c>
      <c r="H3" s="11" t="s">
        <v>769</v>
      </c>
      <c r="I3" s="11" t="s">
        <v>745</v>
      </c>
      <c r="J3" s="11" t="s">
        <v>1177</v>
      </c>
      <c r="K3" s="11" t="s">
        <v>1178</v>
      </c>
      <c r="L3" s="11" t="s">
        <v>1066</v>
      </c>
      <c r="M3" s="11" t="s">
        <v>1179</v>
      </c>
      <c r="N3" s="11" t="s">
        <v>272</v>
      </c>
      <c r="O3" s="11" t="s">
        <v>1180</v>
      </c>
      <c r="P3" s="11" t="s">
        <v>258</v>
      </c>
      <c r="Q3" s="11" t="s">
        <v>258</v>
      </c>
      <c r="R3" s="11" t="s">
        <v>1058</v>
      </c>
      <c r="S3" s="11" t="s">
        <v>1144</v>
      </c>
      <c r="T3" s="11" t="s">
        <v>1145</v>
      </c>
      <c r="U3" s="11" t="s">
        <v>1144</v>
      </c>
      <c r="V3" s="11" t="s">
        <v>1145</v>
      </c>
      <c r="W3" s="11" t="s">
        <v>766</v>
      </c>
      <c r="X3" s="11" t="n">
        <v>1</v>
      </c>
      <c r="AA3" s="11" t="s">
        <v>27</v>
      </c>
    </row>
    <row r="4" customFormat="false" ht="15" hidden="false" customHeight="false" outlineLevel="0" collapsed="false">
      <c r="A4" s="2" t="s">
        <v>1181</v>
      </c>
      <c r="B4" s="11" t="s">
        <v>1182</v>
      </c>
      <c r="C4" s="11" t="s">
        <v>1068</v>
      </c>
      <c r="D4" s="11" t="s">
        <v>1179</v>
      </c>
      <c r="E4" s="11" t="s">
        <v>1183</v>
      </c>
      <c r="F4" s="11" t="s">
        <v>1184</v>
      </c>
      <c r="G4" s="11" t="s">
        <v>1185</v>
      </c>
      <c r="H4" s="11" t="s">
        <v>769</v>
      </c>
      <c r="I4" s="11" t="s">
        <v>770</v>
      </c>
      <c r="J4" s="11" t="s">
        <v>1186</v>
      </c>
      <c r="K4" s="11" t="s">
        <v>1187</v>
      </c>
      <c r="L4" s="11" t="s">
        <v>1188</v>
      </c>
      <c r="M4" s="11" t="s">
        <v>1189</v>
      </c>
      <c r="N4" s="11" t="s">
        <v>272</v>
      </c>
      <c r="O4" s="11" t="s">
        <v>1180</v>
      </c>
      <c r="P4" s="11" t="s">
        <v>258</v>
      </c>
      <c r="Q4" s="11" t="s">
        <v>258</v>
      </c>
      <c r="R4" s="11" t="s">
        <v>1058</v>
      </c>
      <c r="S4" s="11" t="s">
        <v>1144</v>
      </c>
      <c r="T4" s="11" t="s">
        <v>1145</v>
      </c>
      <c r="U4" s="11" t="s">
        <v>1144</v>
      </c>
      <c r="V4" s="11" t="s">
        <v>1145</v>
      </c>
      <c r="W4" s="11" t="s">
        <v>766</v>
      </c>
      <c r="X4" s="11" t="n">
        <v>1</v>
      </c>
      <c r="AA4" s="11" t="s">
        <v>27</v>
      </c>
    </row>
    <row r="5" customFormat="false" ht="15" hidden="false" customHeight="false" outlineLevel="0" collapsed="false">
      <c r="A5" s="2" t="s">
        <v>1190</v>
      </c>
      <c r="B5" s="11" t="s">
        <v>1191</v>
      </c>
      <c r="C5" s="11" t="s">
        <v>1068</v>
      </c>
      <c r="D5" s="11" t="s">
        <v>1192</v>
      </c>
      <c r="E5" s="11" t="s">
        <v>1193</v>
      </c>
      <c r="F5" s="11" t="s">
        <v>1194</v>
      </c>
      <c r="G5" s="11" t="s">
        <v>1195</v>
      </c>
      <c r="H5" s="11" t="s">
        <v>796</v>
      </c>
      <c r="I5" s="11" t="s">
        <v>797</v>
      </c>
      <c r="J5" s="11" t="s">
        <v>1196</v>
      </c>
      <c r="K5" s="11" t="s">
        <v>1197</v>
      </c>
      <c r="L5" s="11" t="s">
        <v>1198</v>
      </c>
      <c r="M5" s="11" t="s">
        <v>1199</v>
      </c>
      <c r="N5" s="11" t="s">
        <v>258</v>
      </c>
      <c r="O5" s="11" t="s">
        <v>1200</v>
      </c>
      <c r="P5" s="11" t="s">
        <v>258</v>
      </c>
      <c r="Q5" s="11" t="s">
        <v>258</v>
      </c>
      <c r="R5" s="11" t="s">
        <v>1058</v>
      </c>
      <c r="S5" s="11" t="s">
        <v>1144</v>
      </c>
      <c r="T5" s="11" t="s">
        <v>1145</v>
      </c>
      <c r="U5" s="11" t="s">
        <v>1144</v>
      </c>
      <c r="V5" s="11" t="s">
        <v>1145</v>
      </c>
      <c r="W5" s="11" t="s">
        <v>766</v>
      </c>
      <c r="X5" s="11" t="n">
        <v>1</v>
      </c>
      <c r="AA5" s="11" t="s">
        <v>27</v>
      </c>
    </row>
    <row r="6" customFormat="false" ht="15" hidden="false" customHeight="false" outlineLevel="0" collapsed="false">
      <c r="A6" s="2" t="s">
        <v>1201</v>
      </c>
      <c r="B6" s="11" t="s">
        <v>1202</v>
      </c>
      <c r="C6" s="11" t="s">
        <v>1075</v>
      </c>
      <c r="D6" s="11" t="s">
        <v>1203</v>
      </c>
      <c r="E6" s="11" t="s">
        <v>1204</v>
      </c>
      <c r="F6" s="11" t="s">
        <v>1205</v>
      </c>
      <c r="G6" s="11" t="s">
        <v>1206</v>
      </c>
      <c r="H6" s="11" t="s">
        <v>796</v>
      </c>
      <c r="I6" s="11" t="s">
        <v>797</v>
      </c>
      <c r="J6" s="11" t="s">
        <v>1207</v>
      </c>
      <c r="K6" s="11" t="s">
        <v>1208</v>
      </c>
      <c r="L6" s="11" t="s">
        <v>1209</v>
      </c>
      <c r="M6" s="11" t="s">
        <v>1210</v>
      </c>
      <c r="N6" s="11" t="s">
        <v>258</v>
      </c>
      <c r="O6" s="11" t="s">
        <v>1211</v>
      </c>
      <c r="P6" s="11" t="s">
        <v>258</v>
      </c>
      <c r="Q6" s="11" t="s">
        <v>258</v>
      </c>
      <c r="R6" s="11" t="s">
        <v>1058</v>
      </c>
      <c r="S6" s="11" t="s">
        <v>1144</v>
      </c>
      <c r="T6" s="11" t="s">
        <v>1145</v>
      </c>
      <c r="U6" s="11" t="s">
        <v>1144</v>
      </c>
      <c r="V6" s="11" t="s">
        <v>1145</v>
      </c>
      <c r="W6" s="11" t="s">
        <v>766</v>
      </c>
      <c r="X6" s="11" t="n">
        <v>1</v>
      </c>
      <c r="AA6" s="11" t="s">
        <v>27</v>
      </c>
    </row>
    <row r="7" customFormat="false" ht="15" hidden="false" customHeight="false" outlineLevel="0" collapsed="false">
      <c r="A7" s="2" t="s">
        <v>1212</v>
      </c>
      <c r="B7" s="11" t="s">
        <v>1213</v>
      </c>
      <c r="C7" s="11" t="s">
        <v>1083</v>
      </c>
      <c r="D7" s="11" t="s">
        <v>1214</v>
      </c>
      <c r="E7" s="11" t="s">
        <v>1215</v>
      </c>
      <c r="F7" s="11" t="s">
        <v>1216</v>
      </c>
      <c r="G7" s="11" t="s">
        <v>1217</v>
      </c>
      <c r="H7" s="11" t="s">
        <v>769</v>
      </c>
      <c r="I7" s="11" t="s">
        <v>745</v>
      </c>
      <c r="J7" s="11" t="s">
        <v>1218</v>
      </c>
      <c r="K7" s="11" t="s">
        <v>1219</v>
      </c>
      <c r="L7" s="11" t="s">
        <v>1220</v>
      </c>
      <c r="M7" s="11" t="s">
        <v>1221</v>
      </c>
      <c r="N7" s="11" t="s">
        <v>272</v>
      </c>
      <c r="O7" s="11" t="s">
        <v>1222</v>
      </c>
      <c r="P7" s="11" t="s">
        <v>258</v>
      </c>
      <c r="Q7" s="11" t="s">
        <v>258</v>
      </c>
      <c r="R7" s="11" t="s">
        <v>1058</v>
      </c>
      <c r="S7" s="11" t="s">
        <v>1144</v>
      </c>
      <c r="T7" s="11" t="s">
        <v>1145</v>
      </c>
      <c r="U7" s="11" t="s">
        <v>1144</v>
      </c>
      <c r="V7" s="11" t="s">
        <v>1145</v>
      </c>
      <c r="W7" s="11" t="s">
        <v>766</v>
      </c>
      <c r="X7" s="11" t="n">
        <v>1</v>
      </c>
      <c r="AA7" s="11" t="s">
        <v>27</v>
      </c>
    </row>
    <row r="8" customFormat="false" ht="15" hidden="false" customHeight="false" outlineLevel="0" collapsed="false">
      <c r="A8" s="2" t="s">
        <v>1223</v>
      </c>
      <c r="B8" s="11" t="s">
        <v>1224</v>
      </c>
      <c r="C8" s="11" t="s">
        <v>1083</v>
      </c>
      <c r="D8" s="11" t="s">
        <v>1221</v>
      </c>
      <c r="E8" s="11" t="s">
        <v>1225</v>
      </c>
      <c r="F8" s="11" t="s">
        <v>1226</v>
      </c>
      <c r="G8" s="11" t="s">
        <v>1227</v>
      </c>
      <c r="H8" s="11" t="s">
        <v>796</v>
      </c>
      <c r="I8" s="11" t="s">
        <v>797</v>
      </c>
      <c r="J8" s="11" t="s">
        <v>1228</v>
      </c>
      <c r="K8" s="11" t="s">
        <v>1229</v>
      </c>
      <c r="L8" s="11" t="s">
        <v>1230</v>
      </c>
      <c r="M8" s="11" t="s">
        <v>1231</v>
      </c>
      <c r="N8" s="11" t="s">
        <v>258</v>
      </c>
      <c r="O8" s="11" t="s">
        <v>1171</v>
      </c>
      <c r="P8" s="11" t="s">
        <v>258</v>
      </c>
      <c r="Q8" s="11" t="s">
        <v>258</v>
      </c>
      <c r="R8" s="11" t="s">
        <v>1058</v>
      </c>
      <c r="S8" s="11" t="s">
        <v>1144</v>
      </c>
      <c r="T8" s="11" t="s">
        <v>1145</v>
      </c>
      <c r="U8" s="11" t="s">
        <v>1144</v>
      </c>
      <c r="V8" s="11" t="s">
        <v>1145</v>
      </c>
      <c r="W8" s="11" t="s">
        <v>766</v>
      </c>
      <c r="X8" s="11" t="n">
        <v>1</v>
      </c>
      <c r="AA8" s="11" t="s">
        <v>27</v>
      </c>
    </row>
    <row r="9" customFormat="false" ht="15" hidden="false" customHeight="false" outlineLevel="0" collapsed="false">
      <c r="A9" s="2" t="s">
        <v>1232</v>
      </c>
      <c r="B9" s="11" t="s">
        <v>1233</v>
      </c>
      <c r="C9" s="11" t="s">
        <v>1091</v>
      </c>
      <c r="D9" s="11" t="s">
        <v>1234</v>
      </c>
      <c r="E9" s="11" t="s">
        <v>1093</v>
      </c>
      <c r="F9" s="11" t="s">
        <v>1235</v>
      </c>
      <c r="G9" s="11" t="s">
        <v>1176</v>
      </c>
      <c r="H9" s="11" t="s">
        <v>769</v>
      </c>
      <c r="I9" s="11" t="s">
        <v>745</v>
      </c>
      <c r="J9" s="11" t="s">
        <v>1236</v>
      </c>
      <c r="K9" s="11" t="s">
        <v>1237</v>
      </c>
      <c r="L9" s="11" t="s">
        <v>1097</v>
      </c>
      <c r="M9" s="11" t="s">
        <v>1238</v>
      </c>
      <c r="N9" s="11" t="s">
        <v>272</v>
      </c>
      <c r="O9" s="11" t="s">
        <v>1239</v>
      </c>
      <c r="P9" s="11" t="s">
        <v>258</v>
      </c>
      <c r="Q9" s="11" t="s">
        <v>258</v>
      </c>
      <c r="R9" s="11" t="s">
        <v>1058</v>
      </c>
      <c r="S9" s="11" t="s">
        <v>1144</v>
      </c>
      <c r="T9" s="11" t="s">
        <v>1145</v>
      </c>
      <c r="U9" s="11" t="s">
        <v>1144</v>
      </c>
      <c r="V9" s="11" t="s">
        <v>1145</v>
      </c>
      <c r="W9" s="11" t="s">
        <v>766</v>
      </c>
      <c r="X9" s="11" t="n">
        <v>1</v>
      </c>
      <c r="AA9" s="11" t="s">
        <v>27</v>
      </c>
    </row>
    <row r="10" customFormat="false" ht="15" hidden="false" customHeight="false" outlineLevel="0" collapsed="false">
      <c r="A10" s="2" t="s">
        <v>1240</v>
      </c>
      <c r="B10" s="11" t="s">
        <v>1241</v>
      </c>
      <c r="C10" s="11" t="s">
        <v>1099</v>
      </c>
      <c r="D10" s="11" t="s">
        <v>1242</v>
      </c>
      <c r="E10" s="11" t="s">
        <v>1101</v>
      </c>
      <c r="F10" s="11" t="s">
        <v>1243</v>
      </c>
      <c r="G10" s="11" t="s">
        <v>1244</v>
      </c>
      <c r="H10" s="11" t="s">
        <v>769</v>
      </c>
      <c r="I10" s="11" t="s">
        <v>745</v>
      </c>
      <c r="J10" s="11" t="s">
        <v>1245</v>
      </c>
      <c r="K10" s="11" t="s">
        <v>1246</v>
      </c>
      <c r="L10" s="11" t="s">
        <v>1105</v>
      </c>
      <c r="M10" s="11" t="s">
        <v>1247</v>
      </c>
      <c r="N10" s="11" t="s">
        <v>272</v>
      </c>
      <c r="P10" s="11" t="s">
        <v>258</v>
      </c>
      <c r="Q10" s="11" t="s">
        <v>258</v>
      </c>
      <c r="R10" s="11" t="s">
        <v>1058</v>
      </c>
      <c r="S10" s="11" t="s">
        <v>1144</v>
      </c>
      <c r="T10" s="11" t="s">
        <v>1145</v>
      </c>
      <c r="U10" s="11" t="s">
        <v>1144</v>
      </c>
      <c r="V10" s="11" t="s">
        <v>1145</v>
      </c>
      <c r="W10" s="11" t="s">
        <v>766</v>
      </c>
      <c r="X10" s="11" t="n">
        <v>1</v>
      </c>
      <c r="AA10" s="11" t="s">
        <v>27</v>
      </c>
    </row>
    <row r="11" customFormat="false" ht="15" hidden="false" customHeight="false" outlineLevel="0" collapsed="false">
      <c r="A11" s="2" t="s">
        <v>1248</v>
      </c>
      <c r="B11" s="11" t="s">
        <v>1249</v>
      </c>
      <c r="C11" s="11" t="s">
        <v>1107</v>
      </c>
      <c r="D11" s="11" t="s">
        <v>1247</v>
      </c>
      <c r="E11" s="11" t="s">
        <v>1109</v>
      </c>
      <c r="F11" s="11" t="s">
        <v>1250</v>
      </c>
      <c r="G11" s="11" t="s">
        <v>1251</v>
      </c>
      <c r="H11" s="11" t="s">
        <v>796</v>
      </c>
      <c r="I11" s="11" t="s">
        <v>770</v>
      </c>
      <c r="J11" s="11" t="s">
        <v>1252</v>
      </c>
      <c r="K11" s="11" t="s">
        <v>1253</v>
      </c>
      <c r="L11" s="11" t="s">
        <v>1254</v>
      </c>
      <c r="M11" s="11" t="s">
        <v>1255</v>
      </c>
      <c r="N11" s="11" t="s">
        <v>258</v>
      </c>
      <c r="P11" s="11" t="s">
        <v>258</v>
      </c>
      <c r="Q11" s="11" t="s">
        <v>258</v>
      </c>
      <c r="R11" s="11" t="s">
        <v>1058</v>
      </c>
      <c r="S11" s="11" t="s">
        <v>1144</v>
      </c>
      <c r="T11" s="11" t="s">
        <v>1145</v>
      </c>
      <c r="U11" s="11" t="s">
        <v>1144</v>
      </c>
      <c r="V11" s="11" t="s">
        <v>1145</v>
      </c>
      <c r="W11" s="11" t="s">
        <v>766</v>
      </c>
      <c r="X11" s="11" t="n">
        <v>1</v>
      </c>
      <c r="AA11" s="11" t="s">
        <v>27</v>
      </c>
    </row>
    <row r="12" customFormat="false" ht="15" hidden="false" customHeight="false" outlineLevel="0" collapsed="false">
      <c r="A12" s="2" t="s">
        <v>1256</v>
      </c>
      <c r="B12" s="11" t="s">
        <v>1257</v>
      </c>
      <c r="C12" s="11" t="s">
        <v>1114</v>
      </c>
      <c r="D12" s="11" t="s">
        <v>1258</v>
      </c>
      <c r="E12" s="11" t="s">
        <v>1259</v>
      </c>
      <c r="F12" s="11" t="s">
        <v>1260</v>
      </c>
      <c r="G12" s="11" t="s">
        <v>1244</v>
      </c>
      <c r="H12" s="11" t="s">
        <v>769</v>
      </c>
      <c r="I12" s="11" t="s">
        <v>745</v>
      </c>
      <c r="J12" s="11" t="s">
        <v>1261</v>
      </c>
      <c r="K12" s="11" t="s">
        <v>1262</v>
      </c>
      <c r="L12" s="11" t="s">
        <v>1263</v>
      </c>
      <c r="M12" s="11" t="s">
        <v>1264</v>
      </c>
      <c r="N12" s="11" t="s">
        <v>272</v>
      </c>
      <c r="P12" s="11" t="s">
        <v>258</v>
      </c>
      <c r="Q12" s="11" t="s">
        <v>258</v>
      </c>
      <c r="R12" s="11" t="s">
        <v>1058</v>
      </c>
      <c r="S12" s="11" t="s">
        <v>1144</v>
      </c>
      <c r="T12" s="11" t="s">
        <v>1145</v>
      </c>
      <c r="U12" s="11" t="s">
        <v>1144</v>
      </c>
      <c r="V12" s="11" t="s">
        <v>1145</v>
      </c>
      <c r="W12" s="11" t="s">
        <v>766</v>
      </c>
      <c r="X12" s="11" t="n">
        <v>1</v>
      </c>
      <c r="AA12" s="11" t="s">
        <v>27</v>
      </c>
    </row>
    <row r="13" customFormat="false" ht="15" hidden="false" customHeight="false" outlineLevel="0" collapsed="false">
      <c r="A13" s="2" t="s">
        <v>1265</v>
      </c>
      <c r="B13" s="11" t="s">
        <v>1266</v>
      </c>
      <c r="C13" s="11" t="s">
        <v>1114</v>
      </c>
      <c r="D13" s="11" t="s">
        <v>1267</v>
      </c>
      <c r="E13" s="11" t="s">
        <v>1268</v>
      </c>
      <c r="F13" s="11" t="s">
        <v>1269</v>
      </c>
      <c r="G13" s="11" t="s">
        <v>1270</v>
      </c>
      <c r="H13" s="11" t="s">
        <v>796</v>
      </c>
      <c r="I13" s="11" t="s">
        <v>797</v>
      </c>
      <c r="J13" s="11" t="s">
        <v>1271</v>
      </c>
      <c r="K13" s="11" t="s">
        <v>1272</v>
      </c>
      <c r="L13" s="11" t="s">
        <v>1273</v>
      </c>
      <c r="M13" s="11" t="s">
        <v>1274</v>
      </c>
      <c r="N13" s="11" t="s">
        <v>258</v>
      </c>
      <c r="O13" s="11" t="s">
        <v>1275</v>
      </c>
      <c r="P13" s="11" t="s">
        <v>258</v>
      </c>
      <c r="Q13" s="11" t="s">
        <v>258</v>
      </c>
      <c r="R13" s="11" t="s">
        <v>1058</v>
      </c>
      <c r="S13" s="11" t="s">
        <v>1144</v>
      </c>
      <c r="T13" s="11" t="s">
        <v>1145</v>
      </c>
      <c r="U13" s="11" t="s">
        <v>1144</v>
      </c>
      <c r="V13" s="11" t="s">
        <v>1145</v>
      </c>
      <c r="W13" s="11" t="s">
        <v>766</v>
      </c>
      <c r="X13" s="11" t="n">
        <v>1</v>
      </c>
      <c r="AA13" s="11" t="s">
        <v>27</v>
      </c>
    </row>
    <row r="14" customFormat="false" ht="15" hidden="false" customHeight="false" outlineLevel="0" collapsed="false">
      <c r="A14" s="2" t="s">
        <v>1276</v>
      </c>
      <c r="B14" s="11" t="s">
        <v>1277</v>
      </c>
      <c r="C14" s="11" t="s">
        <v>1114</v>
      </c>
      <c r="D14" s="11" t="s">
        <v>1274</v>
      </c>
      <c r="E14" s="11" t="s">
        <v>1278</v>
      </c>
      <c r="F14" s="11" t="s">
        <v>1279</v>
      </c>
      <c r="G14" s="11" t="s">
        <v>1206</v>
      </c>
      <c r="H14" s="11" t="s">
        <v>820</v>
      </c>
      <c r="I14" s="11" t="s">
        <v>797</v>
      </c>
      <c r="J14" s="11" t="s">
        <v>1280</v>
      </c>
      <c r="K14" s="11" t="s">
        <v>1281</v>
      </c>
      <c r="L14" s="11" t="s">
        <v>1282</v>
      </c>
      <c r="M14" s="11" t="s">
        <v>1283</v>
      </c>
      <c r="N14" s="11" t="s">
        <v>258</v>
      </c>
      <c r="O14" s="11" t="s">
        <v>1211</v>
      </c>
      <c r="P14" s="11" t="s">
        <v>258</v>
      </c>
      <c r="Q14" s="11" t="s">
        <v>258</v>
      </c>
      <c r="R14" s="11" t="s">
        <v>1058</v>
      </c>
      <c r="S14" s="11" t="s">
        <v>1144</v>
      </c>
      <c r="T14" s="11" t="s">
        <v>1145</v>
      </c>
      <c r="U14" s="11" t="s">
        <v>1144</v>
      </c>
      <c r="V14" s="11" t="s">
        <v>1145</v>
      </c>
      <c r="W14" s="11" t="s">
        <v>766</v>
      </c>
      <c r="X14" s="11" t="n">
        <v>1</v>
      </c>
      <c r="AA14" s="11" t="s">
        <v>27</v>
      </c>
    </row>
    <row r="15" customFormat="false" ht="15" hidden="false" customHeight="false" outlineLevel="0" collapsed="false">
      <c r="A15" s="2" t="s">
        <v>1284</v>
      </c>
      <c r="B15" s="11" t="s">
        <v>1285</v>
      </c>
      <c r="C15" s="11" t="s">
        <v>1121</v>
      </c>
      <c r="D15" s="11" t="s">
        <v>1286</v>
      </c>
      <c r="E15" s="11" t="s">
        <v>1287</v>
      </c>
      <c r="F15" s="11" t="s">
        <v>1288</v>
      </c>
      <c r="G15" s="11" t="s">
        <v>1289</v>
      </c>
      <c r="H15" s="11" t="s">
        <v>820</v>
      </c>
      <c r="I15" s="11" t="s">
        <v>797</v>
      </c>
      <c r="J15" s="11" t="s">
        <v>1290</v>
      </c>
      <c r="K15" s="11" t="s">
        <v>1291</v>
      </c>
      <c r="L15" s="11" t="s">
        <v>1292</v>
      </c>
      <c r="M15" s="11" t="s">
        <v>1293</v>
      </c>
      <c r="N15" s="11" t="s">
        <v>272</v>
      </c>
      <c r="P15" s="11" t="s">
        <v>258</v>
      </c>
      <c r="Q15" s="11" t="s">
        <v>258</v>
      </c>
      <c r="R15" s="11" t="s">
        <v>1058</v>
      </c>
      <c r="S15" s="11" t="s">
        <v>1144</v>
      </c>
      <c r="T15" s="11" t="s">
        <v>1145</v>
      </c>
      <c r="U15" s="11" t="s">
        <v>1144</v>
      </c>
      <c r="V15" s="11" t="s">
        <v>1145</v>
      </c>
      <c r="W15" s="11" t="s">
        <v>766</v>
      </c>
      <c r="X15" s="11" t="n">
        <v>1</v>
      </c>
      <c r="AA15" s="11" t="s">
        <v>27</v>
      </c>
    </row>
    <row r="16" customFormat="false" ht="15" hidden="false" customHeight="false" outlineLevel="0" collapsed="false">
      <c r="A16" s="2" t="s">
        <v>1294</v>
      </c>
      <c r="B16" s="11" t="s">
        <v>1295</v>
      </c>
      <c r="C16" s="11" t="s">
        <v>1128</v>
      </c>
      <c r="D16" s="11" t="s">
        <v>1296</v>
      </c>
      <c r="E16" s="11" t="s">
        <v>1130</v>
      </c>
      <c r="F16" s="11" t="s">
        <v>1297</v>
      </c>
      <c r="G16" s="11" t="s">
        <v>1298</v>
      </c>
      <c r="H16" s="11" t="s">
        <v>769</v>
      </c>
      <c r="I16" s="11" t="s">
        <v>797</v>
      </c>
      <c r="J16" s="11" t="s">
        <v>1299</v>
      </c>
      <c r="K16" s="11" t="s">
        <v>1300</v>
      </c>
      <c r="L16" s="11" t="s">
        <v>1134</v>
      </c>
      <c r="M16" s="11" t="s">
        <v>1301</v>
      </c>
      <c r="N16" s="11" t="s">
        <v>272</v>
      </c>
      <c r="P16" s="11" t="s">
        <v>258</v>
      </c>
      <c r="Q16" s="11" t="s">
        <v>258</v>
      </c>
      <c r="R16" s="11" t="s">
        <v>1058</v>
      </c>
      <c r="S16" s="11" t="s">
        <v>1144</v>
      </c>
      <c r="T16" s="11" t="s">
        <v>1145</v>
      </c>
      <c r="U16" s="11" t="s">
        <v>1144</v>
      </c>
      <c r="V16" s="11" t="s">
        <v>1145</v>
      </c>
      <c r="W16" s="11" t="s">
        <v>766</v>
      </c>
      <c r="X16" s="11" t="n">
        <v>1</v>
      </c>
      <c r="AA16" s="11" t="s">
        <v>27</v>
      </c>
    </row>
    <row r="17" customFormat="false" ht="15" hidden="false" customHeight="false" outlineLevel="0" collapsed="false">
      <c r="A17" s="2" t="s">
        <v>1302</v>
      </c>
      <c r="B17" s="11" t="s">
        <v>1303</v>
      </c>
      <c r="C17" s="11" t="s">
        <v>1136</v>
      </c>
      <c r="D17" s="11" t="s">
        <v>1304</v>
      </c>
      <c r="E17" s="11" t="s">
        <v>1138</v>
      </c>
      <c r="F17" s="11" t="s">
        <v>1305</v>
      </c>
      <c r="G17" s="11" t="s">
        <v>1217</v>
      </c>
      <c r="H17" s="11" t="s">
        <v>769</v>
      </c>
      <c r="I17" s="11" t="s">
        <v>770</v>
      </c>
      <c r="J17" s="11" t="s">
        <v>1306</v>
      </c>
      <c r="K17" s="11" t="s">
        <v>1307</v>
      </c>
      <c r="L17" s="11" t="s">
        <v>1308</v>
      </c>
      <c r="M17" s="11" t="s">
        <v>1309</v>
      </c>
      <c r="N17" s="11" t="s">
        <v>272</v>
      </c>
      <c r="O17" s="11" t="s">
        <v>1310</v>
      </c>
      <c r="P17" s="11" t="s">
        <v>258</v>
      </c>
      <c r="Q17" s="11" t="s">
        <v>258</v>
      </c>
      <c r="R17" s="11" t="s">
        <v>1058</v>
      </c>
      <c r="S17" s="11" t="s">
        <v>1144</v>
      </c>
      <c r="T17" s="11" t="s">
        <v>1145</v>
      </c>
      <c r="U17" s="11" t="s">
        <v>1144</v>
      </c>
      <c r="V17" s="11" t="s">
        <v>1145</v>
      </c>
      <c r="W17" s="11" t="s">
        <v>766</v>
      </c>
      <c r="X17" s="11" t="n">
        <v>1</v>
      </c>
      <c r="AA17" s="11" t="s">
        <v>27</v>
      </c>
    </row>
  </sheetData>
  <autoFilter ref="A1:AA17"/>
  <dataValidations count="10">
    <dataValidation allowBlank="true" error="Kies een waarde uit de lijst of voeg haar eerst toe aan de bronlijst." errorStyle="stop" errorTitle="Onbekende waarde" operator="between" showDropDown="false" showErrorMessage="true" showInputMessage="false" sqref="C2:C1017" type="list">
      <formula1>procesfase!$C$2:$C$2000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G2:G1017" type="list">
      <formula1>besluittype!$B$2:$B$2000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H2:H1017" type="list">
      <formula1>Keuzelijsten!$D$5:$D$60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I2:I1017" type="list">
      <formula1>Keuzelijsten!$E$5:$E$60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N2:N1017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O2:O1017" type="list">
      <formula1>pc_moment!$B$2:$B$2000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P2:P1017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17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R2:R1017" type="list">
      <formula1>validation_status!$B$2:$B$2000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W2:W1017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360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1311</v>
      </c>
      <c r="B2" s="11" t="s">
        <v>1176</v>
      </c>
      <c r="C2" s="11" t="s">
        <v>1312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1313</v>
      </c>
      <c r="B3" s="11" t="s">
        <v>1251</v>
      </c>
      <c r="C3" s="11" t="s">
        <v>770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1314</v>
      </c>
      <c r="B4" s="11" t="s">
        <v>1166</v>
      </c>
      <c r="C4" s="11" t="s">
        <v>1315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1316</v>
      </c>
      <c r="B5" s="11" t="s">
        <v>1185</v>
      </c>
      <c r="C5" s="11" t="s">
        <v>1317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1318</v>
      </c>
      <c r="B6" s="11" t="s">
        <v>1195</v>
      </c>
      <c r="C6" s="11" t="s">
        <v>1319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1320</v>
      </c>
      <c r="B7" s="11" t="s">
        <v>1244</v>
      </c>
      <c r="C7" s="11" t="s">
        <v>1321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1322</v>
      </c>
      <c r="B8" s="11" t="s">
        <v>1270</v>
      </c>
      <c r="C8" s="11" t="s">
        <v>1323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1324</v>
      </c>
      <c r="B9" s="11" t="s">
        <v>1206</v>
      </c>
      <c r="C9" s="11" t="s">
        <v>1325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1326</v>
      </c>
      <c r="B10" s="11" t="s">
        <v>1327</v>
      </c>
      <c r="C10" s="11" t="s">
        <v>1328</v>
      </c>
      <c r="E10" s="11" t="n">
        <v>9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</row>
    <row r="11" customFormat="false" ht="15" hidden="false" customHeight="false" outlineLevel="0" collapsed="false">
      <c r="A11" s="2" t="s">
        <v>1329</v>
      </c>
      <c r="B11" s="11" t="s">
        <v>1289</v>
      </c>
      <c r="C11" s="11" t="s">
        <v>1330</v>
      </c>
      <c r="E11" s="11" t="n">
        <v>10</v>
      </c>
      <c r="F11" s="11" t="s">
        <v>985</v>
      </c>
      <c r="G11" s="11" t="s">
        <v>986</v>
      </c>
      <c r="H11" s="11" t="s">
        <v>985</v>
      </c>
      <c r="I11" s="11" t="s">
        <v>986</v>
      </c>
      <c r="J11" s="11" t="s">
        <v>766</v>
      </c>
      <c r="K11" s="11" t="n">
        <v>1</v>
      </c>
    </row>
    <row r="12" customFormat="false" ht="15" hidden="false" customHeight="false" outlineLevel="0" collapsed="false">
      <c r="A12" s="2" t="s">
        <v>1331</v>
      </c>
      <c r="B12" s="11" t="s">
        <v>1298</v>
      </c>
      <c r="C12" s="11" t="s">
        <v>1332</v>
      </c>
      <c r="E12" s="11" t="n">
        <v>11</v>
      </c>
      <c r="F12" s="11" t="s">
        <v>985</v>
      </c>
      <c r="G12" s="11" t="s">
        <v>986</v>
      </c>
      <c r="H12" s="11" t="s">
        <v>985</v>
      </c>
      <c r="I12" s="11" t="s">
        <v>986</v>
      </c>
      <c r="J12" s="11" t="s">
        <v>766</v>
      </c>
      <c r="K12" s="11" t="n">
        <v>1</v>
      </c>
    </row>
    <row r="13" customFormat="false" ht="15" hidden="false" customHeight="false" outlineLevel="0" collapsed="false">
      <c r="A13" s="2" t="s">
        <v>1333</v>
      </c>
      <c r="B13" s="11" t="s">
        <v>1217</v>
      </c>
      <c r="C13" s="11" t="s">
        <v>1334</v>
      </c>
      <c r="E13" s="11" t="n">
        <v>12</v>
      </c>
      <c r="F13" s="11" t="s">
        <v>985</v>
      </c>
      <c r="G13" s="11" t="s">
        <v>986</v>
      </c>
      <c r="H13" s="11" t="s">
        <v>985</v>
      </c>
      <c r="I13" s="11" t="s">
        <v>986</v>
      </c>
      <c r="J13" s="11" t="s">
        <v>766</v>
      </c>
      <c r="K13" s="11" t="n">
        <v>1</v>
      </c>
    </row>
    <row r="14" customFormat="false" ht="15" hidden="false" customHeight="false" outlineLevel="0" collapsed="false">
      <c r="A14" s="2" t="s">
        <v>1335</v>
      </c>
      <c r="B14" s="11" t="s">
        <v>1227</v>
      </c>
      <c r="C14" s="11" t="s">
        <v>1336</v>
      </c>
      <c r="E14" s="11" t="n">
        <v>13</v>
      </c>
      <c r="F14" s="11" t="s">
        <v>985</v>
      </c>
      <c r="G14" s="11" t="s">
        <v>986</v>
      </c>
      <c r="H14" s="11" t="s">
        <v>985</v>
      </c>
      <c r="I14" s="11" t="s">
        <v>986</v>
      </c>
      <c r="J14" s="11" t="s">
        <v>766</v>
      </c>
      <c r="K14" s="11" t="n">
        <v>1</v>
      </c>
    </row>
    <row r="15" customFormat="false" ht="15" hidden="false" customHeight="false" outlineLevel="0" collapsed="false">
      <c r="A15" s="2" t="s">
        <v>1337</v>
      </c>
      <c r="B15" s="11" t="s">
        <v>1338</v>
      </c>
      <c r="C15" s="11" t="s">
        <v>1339</v>
      </c>
      <c r="E15" s="11" t="n">
        <v>14</v>
      </c>
      <c r="F15" s="11" t="s">
        <v>985</v>
      </c>
      <c r="G15" s="11" t="s">
        <v>986</v>
      </c>
      <c r="H15" s="11" t="s">
        <v>985</v>
      </c>
      <c r="I15" s="11" t="s">
        <v>986</v>
      </c>
      <c r="J15" s="11" t="s">
        <v>766</v>
      </c>
      <c r="K15" s="11" t="n">
        <v>1</v>
      </c>
    </row>
  </sheetData>
  <autoFilter ref="A1:N15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U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8" min="5" style="0" width="40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21"/>
    <col collapsed="false" customWidth="true" hidden="false" outlineLevel="0" max="12" min="12" style="0" width="23"/>
    <col collapsed="false" customWidth="true" hidden="false" outlineLevel="0" max="16" min="13" style="0" width="14"/>
    <col collapsed="false" customWidth="true" hidden="false" outlineLevel="0" max="17" min="17" style="0" width="40"/>
    <col collapsed="false" customWidth="true" hidden="false" outlineLevel="0" max="18" min="18" style="0" width="17"/>
    <col collapsed="false" customWidth="true" hidden="false" outlineLevel="0" max="20" min="19" style="0" width="14"/>
    <col collapsed="false" customWidth="true" hidden="false" outlineLevel="0" max="21" min="21" style="0" width="40"/>
  </cols>
  <sheetData>
    <row r="1" customFormat="false" ht="15" hidden="false" customHeight="false" outlineLevel="0" collapsed="false">
      <c r="A1" s="13" t="s">
        <v>386</v>
      </c>
      <c r="B1" s="13" t="s">
        <v>387</v>
      </c>
      <c r="C1" s="13" t="s">
        <v>264</v>
      </c>
      <c r="D1" s="13" t="s">
        <v>391</v>
      </c>
      <c r="E1" s="13" t="s">
        <v>319</v>
      </c>
      <c r="F1" s="13" t="s">
        <v>395</v>
      </c>
      <c r="G1" s="14" t="s">
        <v>397</v>
      </c>
      <c r="H1" s="14" t="s">
        <v>399</v>
      </c>
      <c r="I1" s="13" t="s">
        <v>402</v>
      </c>
      <c r="J1" s="13" t="s">
        <v>404</v>
      </c>
      <c r="K1" s="13" t="s">
        <v>340</v>
      </c>
      <c r="L1" s="13" t="s">
        <v>342</v>
      </c>
      <c r="M1" s="15" t="s">
        <v>292</v>
      </c>
      <c r="N1" s="15" t="s">
        <v>295</v>
      </c>
      <c r="O1" s="15" t="s">
        <v>298</v>
      </c>
      <c r="P1" s="15" t="s">
        <v>300</v>
      </c>
      <c r="Q1" s="15" t="s">
        <v>302</v>
      </c>
      <c r="R1" s="15" t="s">
        <v>305</v>
      </c>
      <c r="S1" s="15" t="s">
        <v>307</v>
      </c>
      <c r="T1" s="15" t="s">
        <v>310</v>
      </c>
      <c r="U1" s="15" t="s">
        <v>312</v>
      </c>
    </row>
    <row r="2" customFormat="false" ht="15" hidden="false" customHeight="false" outlineLevel="0" collapsed="false">
      <c r="A2" s="2" t="s">
        <v>1340</v>
      </c>
      <c r="B2" s="11" t="s">
        <v>1341</v>
      </c>
      <c r="C2" s="11" t="s">
        <v>1342</v>
      </c>
      <c r="D2" s="11" t="s">
        <v>1343</v>
      </c>
      <c r="E2" s="11" t="s">
        <v>1344</v>
      </c>
      <c r="F2" s="11" t="s">
        <v>1345</v>
      </c>
      <c r="H2" s="11" t="s">
        <v>746</v>
      </c>
      <c r="I2" s="11" t="s">
        <v>272</v>
      </c>
      <c r="J2" s="11" t="s">
        <v>272</v>
      </c>
      <c r="K2" s="11" t="s">
        <v>258</v>
      </c>
      <c r="L2" s="11" t="s">
        <v>1058</v>
      </c>
      <c r="M2" s="11" t="s">
        <v>985</v>
      </c>
      <c r="N2" s="11" t="s">
        <v>986</v>
      </c>
      <c r="O2" s="11" t="s">
        <v>985</v>
      </c>
      <c r="P2" s="11" t="s">
        <v>986</v>
      </c>
      <c r="Q2" s="11" t="s">
        <v>766</v>
      </c>
      <c r="R2" s="11" t="n">
        <v>1</v>
      </c>
      <c r="U2" s="11" t="s">
        <v>1346</v>
      </c>
    </row>
    <row r="3" customFormat="false" ht="15" hidden="false" customHeight="false" outlineLevel="0" collapsed="false">
      <c r="A3" s="2" t="s">
        <v>1347</v>
      </c>
      <c r="B3" s="11" t="s">
        <v>1348</v>
      </c>
      <c r="C3" s="11" t="s">
        <v>1349</v>
      </c>
      <c r="D3" s="11" t="s">
        <v>1350</v>
      </c>
      <c r="E3" s="11" t="s">
        <v>1351</v>
      </c>
      <c r="F3" s="11" t="s">
        <v>1352</v>
      </c>
      <c r="H3" s="11" t="s">
        <v>746</v>
      </c>
      <c r="I3" s="11" t="s">
        <v>258</v>
      </c>
      <c r="J3" s="11" t="s">
        <v>272</v>
      </c>
      <c r="K3" s="11" t="s">
        <v>258</v>
      </c>
      <c r="L3" s="11" t="s">
        <v>1058</v>
      </c>
      <c r="M3" s="11" t="s">
        <v>985</v>
      </c>
      <c r="N3" s="11" t="s">
        <v>986</v>
      </c>
      <c r="O3" s="11" t="s">
        <v>985</v>
      </c>
      <c r="P3" s="11" t="s">
        <v>986</v>
      </c>
      <c r="Q3" s="11" t="s">
        <v>766</v>
      </c>
      <c r="R3" s="11" t="n">
        <v>1</v>
      </c>
      <c r="U3" s="11" t="s">
        <v>1346</v>
      </c>
    </row>
    <row r="4" customFormat="false" ht="15" hidden="false" customHeight="false" outlineLevel="0" collapsed="false">
      <c r="A4" s="2" t="s">
        <v>1353</v>
      </c>
      <c r="B4" s="11" t="s">
        <v>1354</v>
      </c>
      <c r="C4" s="11" t="s">
        <v>1355</v>
      </c>
      <c r="D4" s="11" t="s">
        <v>1350</v>
      </c>
      <c r="E4" s="11" t="s">
        <v>1356</v>
      </c>
      <c r="F4" s="11" t="s">
        <v>1357</v>
      </c>
      <c r="H4" s="11" t="s">
        <v>771</v>
      </c>
      <c r="I4" s="11" t="s">
        <v>258</v>
      </c>
      <c r="J4" s="11" t="s">
        <v>272</v>
      </c>
      <c r="K4" s="11" t="s">
        <v>258</v>
      </c>
      <c r="L4" s="11" t="s">
        <v>1058</v>
      </c>
      <c r="M4" s="11" t="s">
        <v>985</v>
      </c>
      <c r="N4" s="11" t="s">
        <v>986</v>
      </c>
      <c r="O4" s="11" t="s">
        <v>985</v>
      </c>
      <c r="P4" s="11" t="s">
        <v>986</v>
      </c>
      <c r="Q4" s="11" t="s">
        <v>766</v>
      </c>
      <c r="R4" s="11" t="n">
        <v>1</v>
      </c>
      <c r="U4" s="11" t="s">
        <v>1346</v>
      </c>
    </row>
    <row r="5" customFormat="false" ht="15" hidden="false" customHeight="false" outlineLevel="0" collapsed="false">
      <c r="A5" s="2" t="s">
        <v>1358</v>
      </c>
      <c r="B5" s="11" t="s">
        <v>1359</v>
      </c>
      <c r="C5" s="11" t="s">
        <v>1360</v>
      </c>
      <c r="D5" s="11" t="s">
        <v>1350</v>
      </c>
      <c r="E5" s="11" t="s">
        <v>1361</v>
      </c>
      <c r="F5" s="11" t="s">
        <v>1362</v>
      </c>
      <c r="H5" s="11" t="s">
        <v>771</v>
      </c>
      <c r="I5" s="11" t="s">
        <v>258</v>
      </c>
      <c r="J5" s="11" t="s">
        <v>272</v>
      </c>
      <c r="K5" s="11" t="s">
        <v>258</v>
      </c>
      <c r="L5" s="11" t="s">
        <v>1058</v>
      </c>
      <c r="M5" s="11" t="s">
        <v>985</v>
      </c>
      <c r="N5" s="11" t="s">
        <v>986</v>
      </c>
      <c r="O5" s="11" t="s">
        <v>985</v>
      </c>
      <c r="P5" s="11" t="s">
        <v>986</v>
      </c>
      <c r="Q5" s="11" t="s">
        <v>766</v>
      </c>
      <c r="R5" s="11" t="n">
        <v>1</v>
      </c>
      <c r="U5" s="11" t="s">
        <v>1346</v>
      </c>
    </row>
    <row r="6" customFormat="false" ht="15" hidden="false" customHeight="false" outlineLevel="0" collapsed="false">
      <c r="A6" s="2" t="s">
        <v>1363</v>
      </c>
      <c r="B6" s="11" t="s">
        <v>1364</v>
      </c>
      <c r="C6" s="11" t="s">
        <v>1365</v>
      </c>
      <c r="D6" s="11" t="s">
        <v>1350</v>
      </c>
      <c r="E6" s="11" t="s">
        <v>1366</v>
      </c>
      <c r="F6" s="11" t="s">
        <v>1367</v>
      </c>
      <c r="H6" s="11" t="s">
        <v>798</v>
      </c>
      <c r="I6" s="11" t="s">
        <v>258</v>
      </c>
      <c r="J6" s="11" t="s">
        <v>272</v>
      </c>
      <c r="K6" s="11" t="s">
        <v>258</v>
      </c>
      <c r="L6" s="11" t="s">
        <v>1058</v>
      </c>
      <c r="M6" s="11" t="s">
        <v>985</v>
      </c>
      <c r="N6" s="11" t="s">
        <v>986</v>
      </c>
      <c r="O6" s="11" t="s">
        <v>985</v>
      </c>
      <c r="P6" s="11" t="s">
        <v>986</v>
      </c>
      <c r="Q6" s="11" t="s">
        <v>766</v>
      </c>
      <c r="R6" s="11" t="n">
        <v>1</v>
      </c>
      <c r="U6" s="11" t="s">
        <v>1346</v>
      </c>
    </row>
    <row r="7" customFormat="false" ht="15" hidden="false" customHeight="false" outlineLevel="0" collapsed="false">
      <c r="A7" s="2" t="s">
        <v>1368</v>
      </c>
      <c r="B7" s="11" t="s">
        <v>1369</v>
      </c>
      <c r="C7" s="11" t="s">
        <v>777</v>
      </c>
      <c r="D7" s="11" t="s">
        <v>1370</v>
      </c>
      <c r="E7" s="11" t="s">
        <v>1371</v>
      </c>
      <c r="F7" s="11" t="s">
        <v>1372</v>
      </c>
      <c r="H7" s="11" t="s">
        <v>798</v>
      </c>
      <c r="I7" s="11" t="s">
        <v>272</v>
      </c>
      <c r="J7" s="11" t="s">
        <v>272</v>
      </c>
      <c r="K7" s="11" t="s">
        <v>258</v>
      </c>
      <c r="L7" s="11" t="s">
        <v>1058</v>
      </c>
      <c r="M7" s="11" t="s">
        <v>985</v>
      </c>
      <c r="N7" s="11" t="s">
        <v>986</v>
      </c>
      <c r="O7" s="11" t="s">
        <v>985</v>
      </c>
      <c r="P7" s="11" t="s">
        <v>986</v>
      </c>
      <c r="Q7" s="11" t="s">
        <v>766</v>
      </c>
      <c r="R7" s="11" t="n">
        <v>1</v>
      </c>
      <c r="U7" s="11" t="s">
        <v>1346</v>
      </c>
    </row>
    <row r="8" customFormat="false" ht="15" hidden="false" customHeight="false" outlineLevel="0" collapsed="false">
      <c r="A8" s="2" t="s">
        <v>1373</v>
      </c>
      <c r="B8" s="11" t="s">
        <v>1374</v>
      </c>
      <c r="C8" s="11" t="s">
        <v>1375</v>
      </c>
      <c r="D8" s="11" t="s">
        <v>1370</v>
      </c>
      <c r="E8" s="11" t="s">
        <v>1376</v>
      </c>
      <c r="F8" s="11" t="s">
        <v>1377</v>
      </c>
      <c r="H8" s="11" t="s">
        <v>798</v>
      </c>
      <c r="I8" s="11" t="s">
        <v>272</v>
      </c>
      <c r="J8" s="11" t="s">
        <v>272</v>
      </c>
      <c r="K8" s="11" t="s">
        <v>258</v>
      </c>
      <c r="L8" s="11" t="s">
        <v>1058</v>
      </c>
      <c r="M8" s="11" t="s">
        <v>985</v>
      </c>
      <c r="N8" s="11" t="s">
        <v>986</v>
      </c>
      <c r="O8" s="11" t="s">
        <v>985</v>
      </c>
      <c r="P8" s="11" t="s">
        <v>986</v>
      </c>
      <c r="Q8" s="11" t="s">
        <v>766</v>
      </c>
      <c r="R8" s="11" t="n">
        <v>1</v>
      </c>
      <c r="U8" s="11" t="s">
        <v>1346</v>
      </c>
    </row>
    <row r="9" customFormat="false" ht="15" hidden="false" customHeight="false" outlineLevel="0" collapsed="false">
      <c r="A9" s="2" t="s">
        <v>1378</v>
      </c>
      <c r="B9" s="11" t="s">
        <v>1379</v>
      </c>
      <c r="C9" s="11" t="s">
        <v>1380</v>
      </c>
      <c r="D9" s="11" t="s">
        <v>1381</v>
      </c>
      <c r="E9" s="11" t="s">
        <v>1382</v>
      </c>
      <c r="F9" s="11" t="s">
        <v>1383</v>
      </c>
      <c r="H9" s="11" t="s">
        <v>771</v>
      </c>
      <c r="I9" s="11" t="s">
        <v>258</v>
      </c>
      <c r="J9" s="11" t="s">
        <v>272</v>
      </c>
      <c r="K9" s="11" t="s">
        <v>258</v>
      </c>
      <c r="L9" s="11" t="s">
        <v>1058</v>
      </c>
      <c r="M9" s="11" t="s">
        <v>985</v>
      </c>
      <c r="N9" s="11" t="s">
        <v>986</v>
      </c>
      <c r="O9" s="11" t="s">
        <v>985</v>
      </c>
      <c r="P9" s="11" t="s">
        <v>986</v>
      </c>
      <c r="Q9" s="11" t="s">
        <v>766</v>
      </c>
      <c r="R9" s="11" t="n">
        <v>1</v>
      </c>
      <c r="U9" s="11" t="s">
        <v>1346</v>
      </c>
    </row>
    <row r="10" customFormat="false" ht="15" hidden="false" customHeight="false" outlineLevel="0" collapsed="false">
      <c r="A10" s="2" t="s">
        <v>1384</v>
      </c>
      <c r="B10" s="11" t="s">
        <v>1385</v>
      </c>
      <c r="C10" s="11" t="s">
        <v>1386</v>
      </c>
      <c r="D10" s="11" t="s">
        <v>1381</v>
      </c>
      <c r="E10" s="11" t="s">
        <v>1387</v>
      </c>
      <c r="F10" s="11" t="s">
        <v>1388</v>
      </c>
      <c r="H10" s="11" t="s">
        <v>746</v>
      </c>
      <c r="I10" s="11" t="s">
        <v>272</v>
      </c>
      <c r="J10" s="11" t="s">
        <v>272</v>
      </c>
      <c r="K10" s="11" t="s">
        <v>258</v>
      </c>
      <c r="L10" s="11" t="s">
        <v>1058</v>
      </c>
      <c r="M10" s="11" t="s">
        <v>985</v>
      </c>
      <c r="N10" s="11" t="s">
        <v>986</v>
      </c>
      <c r="O10" s="11" t="s">
        <v>985</v>
      </c>
      <c r="P10" s="11" t="s">
        <v>986</v>
      </c>
      <c r="Q10" s="11" t="s">
        <v>766</v>
      </c>
      <c r="R10" s="11" t="n">
        <v>1</v>
      </c>
      <c r="U10" s="11" t="s">
        <v>1346</v>
      </c>
    </row>
    <row r="11" customFormat="false" ht="15" hidden="false" customHeight="false" outlineLevel="0" collapsed="false">
      <c r="A11" s="2" t="s">
        <v>1389</v>
      </c>
      <c r="B11" s="11" t="s">
        <v>1390</v>
      </c>
      <c r="C11" s="11" t="s">
        <v>1391</v>
      </c>
      <c r="D11" s="11" t="s">
        <v>1381</v>
      </c>
      <c r="E11" s="11" t="s">
        <v>1392</v>
      </c>
      <c r="F11" s="11" t="s">
        <v>1393</v>
      </c>
      <c r="H11" s="11" t="s">
        <v>771</v>
      </c>
      <c r="I11" s="11" t="s">
        <v>272</v>
      </c>
      <c r="J11" s="11" t="s">
        <v>272</v>
      </c>
      <c r="K11" s="11" t="s">
        <v>258</v>
      </c>
      <c r="L11" s="11" t="s">
        <v>1058</v>
      </c>
      <c r="M11" s="11" t="s">
        <v>985</v>
      </c>
      <c r="N11" s="11" t="s">
        <v>986</v>
      </c>
      <c r="O11" s="11" t="s">
        <v>985</v>
      </c>
      <c r="P11" s="11" t="s">
        <v>986</v>
      </c>
      <c r="Q11" s="11" t="s">
        <v>766</v>
      </c>
      <c r="R11" s="11" t="n">
        <v>1</v>
      </c>
      <c r="U11" s="11" t="s">
        <v>1346</v>
      </c>
    </row>
    <row r="12" customFormat="false" ht="15" hidden="false" customHeight="false" outlineLevel="0" collapsed="false">
      <c r="A12" s="2" t="s">
        <v>1394</v>
      </c>
      <c r="B12" s="11" t="s">
        <v>1395</v>
      </c>
      <c r="C12" s="11" t="s">
        <v>1396</v>
      </c>
      <c r="D12" s="11" t="s">
        <v>1397</v>
      </c>
      <c r="E12" s="11" t="s">
        <v>1398</v>
      </c>
      <c r="F12" s="11" t="s">
        <v>1399</v>
      </c>
      <c r="H12" s="11" t="s">
        <v>771</v>
      </c>
      <c r="I12" s="11" t="s">
        <v>258</v>
      </c>
      <c r="J12" s="11" t="s">
        <v>272</v>
      </c>
      <c r="K12" s="11" t="s">
        <v>258</v>
      </c>
      <c r="L12" s="11" t="s">
        <v>1058</v>
      </c>
      <c r="M12" s="11" t="s">
        <v>985</v>
      </c>
      <c r="N12" s="11" t="s">
        <v>986</v>
      </c>
      <c r="O12" s="11" t="s">
        <v>985</v>
      </c>
      <c r="P12" s="11" t="s">
        <v>986</v>
      </c>
      <c r="Q12" s="11" t="s">
        <v>766</v>
      </c>
      <c r="R12" s="11" t="n">
        <v>1</v>
      </c>
      <c r="U12" s="11" t="s">
        <v>1346</v>
      </c>
    </row>
    <row r="13" customFormat="false" ht="15" hidden="false" customHeight="false" outlineLevel="0" collapsed="false">
      <c r="A13" s="2" t="s">
        <v>1400</v>
      </c>
      <c r="B13" s="11" t="s">
        <v>1401</v>
      </c>
      <c r="C13" s="11" t="s">
        <v>1402</v>
      </c>
      <c r="D13" s="11" t="s">
        <v>1397</v>
      </c>
      <c r="E13" s="11" t="s">
        <v>1403</v>
      </c>
      <c r="F13" s="11" t="s">
        <v>1404</v>
      </c>
      <c r="H13" s="11" t="s">
        <v>771</v>
      </c>
      <c r="I13" s="11" t="s">
        <v>258</v>
      </c>
      <c r="J13" s="11" t="s">
        <v>272</v>
      </c>
      <c r="K13" s="11" t="s">
        <v>258</v>
      </c>
      <c r="L13" s="11" t="s">
        <v>1058</v>
      </c>
      <c r="M13" s="11" t="s">
        <v>985</v>
      </c>
      <c r="N13" s="11" t="s">
        <v>986</v>
      </c>
      <c r="O13" s="11" t="s">
        <v>985</v>
      </c>
      <c r="P13" s="11" t="s">
        <v>986</v>
      </c>
      <c r="Q13" s="11" t="s">
        <v>766</v>
      </c>
      <c r="R13" s="11" t="n">
        <v>1</v>
      </c>
      <c r="U13" s="11" t="s">
        <v>1346</v>
      </c>
    </row>
    <row r="14" customFormat="false" ht="15" hidden="false" customHeight="false" outlineLevel="0" collapsed="false">
      <c r="A14" s="2" t="s">
        <v>1405</v>
      </c>
      <c r="B14" s="11" t="s">
        <v>1406</v>
      </c>
      <c r="C14" s="11" t="s">
        <v>1407</v>
      </c>
      <c r="D14" s="11" t="s">
        <v>1408</v>
      </c>
      <c r="E14" s="11" t="s">
        <v>1409</v>
      </c>
      <c r="F14" s="11" t="s">
        <v>1410</v>
      </c>
      <c r="H14" s="11" t="s">
        <v>798</v>
      </c>
      <c r="I14" s="11" t="s">
        <v>272</v>
      </c>
      <c r="J14" s="11" t="s">
        <v>272</v>
      </c>
      <c r="K14" s="11" t="s">
        <v>258</v>
      </c>
      <c r="L14" s="11" t="s">
        <v>1058</v>
      </c>
      <c r="M14" s="11" t="s">
        <v>985</v>
      </c>
      <c r="N14" s="11" t="s">
        <v>986</v>
      </c>
      <c r="O14" s="11" t="s">
        <v>985</v>
      </c>
      <c r="P14" s="11" t="s">
        <v>986</v>
      </c>
      <c r="Q14" s="11" t="s">
        <v>766</v>
      </c>
      <c r="R14" s="11" t="n">
        <v>1</v>
      </c>
      <c r="U14" s="11" t="s">
        <v>1346</v>
      </c>
    </row>
    <row r="15" customFormat="false" ht="15" hidden="false" customHeight="false" outlineLevel="0" collapsed="false">
      <c r="A15" s="2" t="s">
        <v>1411</v>
      </c>
      <c r="B15" s="11" t="s">
        <v>1412</v>
      </c>
      <c r="C15" s="11" t="s">
        <v>1413</v>
      </c>
      <c r="D15" s="11" t="s">
        <v>1414</v>
      </c>
      <c r="E15" s="11" t="s">
        <v>1415</v>
      </c>
      <c r="F15" s="11" t="s">
        <v>1416</v>
      </c>
      <c r="H15" s="11" t="s">
        <v>771</v>
      </c>
      <c r="I15" s="11" t="s">
        <v>272</v>
      </c>
      <c r="J15" s="11" t="s">
        <v>272</v>
      </c>
      <c r="K15" s="11" t="s">
        <v>258</v>
      </c>
      <c r="L15" s="11" t="s">
        <v>1058</v>
      </c>
      <c r="M15" s="11" t="s">
        <v>985</v>
      </c>
      <c r="N15" s="11" t="s">
        <v>986</v>
      </c>
      <c r="O15" s="11" t="s">
        <v>985</v>
      </c>
      <c r="P15" s="11" t="s">
        <v>986</v>
      </c>
      <c r="Q15" s="11" t="s">
        <v>766</v>
      </c>
      <c r="R15" s="11" t="n">
        <v>1</v>
      </c>
      <c r="U15" s="11" t="s">
        <v>1346</v>
      </c>
    </row>
    <row r="16" customFormat="false" ht="15" hidden="false" customHeight="false" outlineLevel="0" collapsed="false">
      <c r="A16" s="2" t="s">
        <v>1417</v>
      </c>
      <c r="B16" s="11" t="s">
        <v>1418</v>
      </c>
      <c r="C16" s="11" t="s">
        <v>1419</v>
      </c>
      <c r="D16" s="11" t="s">
        <v>1414</v>
      </c>
      <c r="E16" s="11" t="s">
        <v>1420</v>
      </c>
      <c r="F16" s="11" t="s">
        <v>1421</v>
      </c>
      <c r="H16" s="11" t="s">
        <v>771</v>
      </c>
      <c r="I16" s="11" t="s">
        <v>272</v>
      </c>
      <c r="J16" s="11" t="s">
        <v>272</v>
      </c>
      <c r="K16" s="11" t="s">
        <v>258</v>
      </c>
      <c r="L16" s="11" t="s">
        <v>1058</v>
      </c>
      <c r="M16" s="11" t="s">
        <v>985</v>
      </c>
      <c r="N16" s="11" t="s">
        <v>986</v>
      </c>
      <c r="O16" s="11" t="s">
        <v>985</v>
      </c>
      <c r="P16" s="11" t="s">
        <v>986</v>
      </c>
      <c r="Q16" s="11" t="s">
        <v>766</v>
      </c>
      <c r="R16" s="11" t="n">
        <v>1</v>
      </c>
      <c r="U16" s="11" t="s">
        <v>1346</v>
      </c>
    </row>
    <row r="17" customFormat="false" ht="15" hidden="false" customHeight="false" outlineLevel="0" collapsed="false">
      <c r="A17" s="2" t="s">
        <v>1422</v>
      </c>
      <c r="B17" s="11" t="s">
        <v>1423</v>
      </c>
      <c r="C17" s="11" t="s">
        <v>1424</v>
      </c>
      <c r="D17" s="11" t="s">
        <v>1343</v>
      </c>
      <c r="E17" s="11" t="s">
        <v>1425</v>
      </c>
      <c r="F17" s="11" t="s">
        <v>1426</v>
      </c>
      <c r="H17" s="11" t="s">
        <v>746</v>
      </c>
      <c r="I17" s="11" t="s">
        <v>272</v>
      </c>
      <c r="J17" s="11" t="s">
        <v>272</v>
      </c>
      <c r="K17" s="11" t="s">
        <v>258</v>
      </c>
      <c r="L17" s="11" t="s">
        <v>1058</v>
      </c>
      <c r="M17" s="11" t="s">
        <v>985</v>
      </c>
      <c r="N17" s="11" t="s">
        <v>986</v>
      </c>
      <c r="O17" s="11" t="s">
        <v>985</v>
      </c>
      <c r="P17" s="11" t="s">
        <v>986</v>
      </c>
      <c r="Q17" s="11" t="s">
        <v>766</v>
      </c>
      <c r="R17" s="11" t="n">
        <v>1</v>
      </c>
      <c r="U17" s="11" t="s">
        <v>1346</v>
      </c>
    </row>
    <row r="18" customFormat="false" ht="15" hidden="false" customHeight="false" outlineLevel="0" collapsed="false">
      <c r="A18" s="2" t="s">
        <v>1427</v>
      </c>
      <c r="B18" s="11" t="s">
        <v>1428</v>
      </c>
      <c r="C18" s="11" t="s">
        <v>1429</v>
      </c>
      <c r="D18" s="11" t="s">
        <v>1343</v>
      </c>
      <c r="E18" s="11" t="s">
        <v>1430</v>
      </c>
      <c r="F18" s="11" t="s">
        <v>1431</v>
      </c>
      <c r="H18" s="11" t="s">
        <v>746</v>
      </c>
      <c r="I18" s="11" t="s">
        <v>272</v>
      </c>
      <c r="J18" s="11" t="s">
        <v>272</v>
      </c>
      <c r="K18" s="11" t="s">
        <v>258</v>
      </c>
      <c r="L18" s="11" t="s">
        <v>1058</v>
      </c>
      <c r="M18" s="11" t="s">
        <v>985</v>
      </c>
      <c r="N18" s="11" t="s">
        <v>986</v>
      </c>
      <c r="O18" s="11" t="s">
        <v>985</v>
      </c>
      <c r="P18" s="11" t="s">
        <v>986</v>
      </c>
      <c r="Q18" s="11" t="s">
        <v>766</v>
      </c>
      <c r="R18" s="11" t="n">
        <v>1</v>
      </c>
      <c r="U18" s="11" t="s">
        <v>1346</v>
      </c>
    </row>
    <row r="19" customFormat="false" ht="15" hidden="false" customHeight="false" outlineLevel="0" collapsed="false">
      <c r="A19" s="2" t="s">
        <v>1432</v>
      </c>
      <c r="B19" s="11" t="s">
        <v>1433</v>
      </c>
      <c r="C19" s="11" t="s">
        <v>1434</v>
      </c>
      <c r="D19" s="11" t="s">
        <v>1343</v>
      </c>
      <c r="E19" s="11" t="s">
        <v>1435</v>
      </c>
      <c r="F19" s="11" t="s">
        <v>1436</v>
      </c>
      <c r="H19" s="11" t="s">
        <v>746</v>
      </c>
      <c r="I19" s="11" t="s">
        <v>272</v>
      </c>
      <c r="J19" s="11" t="s">
        <v>272</v>
      </c>
      <c r="K19" s="11" t="s">
        <v>258</v>
      </c>
      <c r="L19" s="11" t="s">
        <v>1058</v>
      </c>
      <c r="M19" s="11" t="s">
        <v>985</v>
      </c>
      <c r="N19" s="11" t="s">
        <v>986</v>
      </c>
      <c r="O19" s="11" t="s">
        <v>985</v>
      </c>
      <c r="P19" s="11" t="s">
        <v>986</v>
      </c>
      <c r="Q19" s="11" t="s">
        <v>766</v>
      </c>
      <c r="R19" s="11" t="n">
        <v>1</v>
      </c>
      <c r="U19" s="11" t="s">
        <v>1346</v>
      </c>
    </row>
    <row r="20" customFormat="false" ht="15" hidden="false" customHeight="false" outlineLevel="0" collapsed="false">
      <c r="A20" s="2" t="s">
        <v>1437</v>
      </c>
      <c r="B20" s="11" t="s">
        <v>1438</v>
      </c>
      <c r="C20" s="11" t="s">
        <v>1439</v>
      </c>
      <c r="D20" s="11" t="s">
        <v>1440</v>
      </c>
      <c r="E20" s="11" t="s">
        <v>1441</v>
      </c>
      <c r="F20" s="11" t="s">
        <v>1442</v>
      </c>
      <c r="H20" s="11" t="s">
        <v>798</v>
      </c>
      <c r="I20" s="11" t="s">
        <v>272</v>
      </c>
      <c r="J20" s="11" t="s">
        <v>258</v>
      </c>
      <c r="K20" s="11" t="s">
        <v>258</v>
      </c>
      <c r="L20" s="11" t="s">
        <v>1058</v>
      </c>
      <c r="M20" s="11" t="s">
        <v>985</v>
      </c>
      <c r="N20" s="11" t="s">
        <v>986</v>
      </c>
      <c r="O20" s="11" t="s">
        <v>985</v>
      </c>
      <c r="P20" s="11" t="s">
        <v>986</v>
      </c>
      <c r="Q20" s="11" t="s">
        <v>766</v>
      </c>
      <c r="R20" s="11" t="n">
        <v>1</v>
      </c>
      <c r="U20" s="11" t="s">
        <v>1346</v>
      </c>
    </row>
    <row r="21" customFormat="false" ht="15" hidden="false" customHeight="false" outlineLevel="0" collapsed="false">
      <c r="A21" s="2" t="s">
        <v>1443</v>
      </c>
      <c r="B21" s="11" t="s">
        <v>1444</v>
      </c>
      <c r="C21" s="11" t="s">
        <v>1445</v>
      </c>
      <c r="D21" s="11" t="s">
        <v>1440</v>
      </c>
      <c r="E21" s="11" t="s">
        <v>1446</v>
      </c>
      <c r="F21" s="11" t="s">
        <v>1447</v>
      </c>
      <c r="H21" s="11" t="s">
        <v>771</v>
      </c>
      <c r="I21" s="11" t="s">
        <v>272</v>
      </c>
      <c r="J21" s="11" t="s">
        <v>258</v>
      </c>
      <c r="K21" s="11" t="s">
        <v>258</v>
      </c>
      <c r="L21" s="11" t="s">
        <v>1058</v>
      </c>
      <c r="M21" s="11" t="s">
        <v>985</v>
      </c>
      <c r="N21" s="11" t="s">
        <v>986</v>
      </c>
      <c r="O21" s="11" t="s">
        <v>985</v>
      </c>
      <c r="P21" s="11" t="s">
        <v>986</v>
      </c>
      <c r="Q21" s="11" t="s">
        <v>766</v>
      </c>
      <c r="R21" s="11" t="n">
        <v>1</v>
      </c>
      <c r="U21" s="11" t="s">
        <v>1346</v>
      </c>
    </row>
    <row r="22" customFormat="false" ht="15" hidden="false" customHeight="false" outlineLevel="0" collapsed="false">
      <c r="A22" s="2" t="s">
        <v>1448</v>
      </c>
      <c r="B22" s="11" t="s">
        <v>1449</v>
      </c>
      <c r="C22" s="11" t="s">
        <v>1450</v>
      </c>
      <c r="D22" s="11" t="s">
        <v>1451</v>
      </c>
      <c r="E22" s="11" t="s">
        <v>1452</v>
      </c>
      <c r="F22" s="11" t="s">
        <v>1453</v>
      </c>
      <c r="H22" s="11" t="s">
        <v>798</v>
      </c>
      <c r="I22" s="11" t="s">
        <v>272</v>
      </c>
      <c r="J22" s="11" t="s">
        <v>258</v>
      </c>
      <c r="K22" s="11" t="s">
        <v>258</v>
      </c>
      <c r="L22" s="11" t="s">
        <v>1058</v>
      </c>
      <c r="M22" s="11" t="s">
        <v>985</v>
      </c>
      <c r="N22" s="11" t="s">
        <v>986</v>
      </c>
      <c r="O22" s="11" t="s">
        <v>985</v>
      </c>
      <c r="P22" s="11" t="s">
        <v>986</v>
      </c>
      <c r="Q22" s="11" t="s">
        <v>766</v>
      </c>
      <c r="R22" s="11" t="n">
        <v>1</v>
      </c>
      <c r="U22" s="11" t="s">
        <v>1346</v>
      </c>
    </row>
    <row r="23" customFormat="false" ht="15" hidden="false" customHeight="false" outlineLevel="0" collapsed="false">
      <c r="A23" s="2" t="s">
        <v>1454</v>
      </c>
      <c r="B23" s="11" t="s">
        <v>1455</v>
      </c>
      <c r="C23" s="11" t="s">
        <v>881</v>
      </c>
      <c r="D23" s="11" t="s">
        <v>1451</v>
      </c>
      <c r="E23" s="11" t="s">
        <v>1456</v>
      </c>
      <c r="F23" s="11" t="s">
        <v>1457</v>
      </c>
      <c r="H23" s="11" t="s">
        <v>771</v>
      </c>
      <c r="I23" s="11" t="s">
        <v>272</v>
      </c>
      <c r="J23" s="11" t="s">
        <v>258</v>
      </c>
      <c r="K23" s="11" t="s">
        <v>258</v>
      </c>
      <c r="L23" s="11" t="s">
        <v>1058</v>
      </c>
      <c r="M23" s="11" t="s">
        <v>985</v>
      </c>
      <c r="N23" s="11" t="s">
        <v>986</v>
      </c>
      <c r="O23" s="11" t="s">
        <v>985</v>
      </c>
      <c r="P23" s="11" t="s">
        <v>986</v>
      </c>
      <c r="Q23" s="11" t="s">
        <v>766</v>
      </c>
      <c r="R23" s="11" t="n">
        <v>1</v>
      </c>
      <c r="U23" s="11" t="s">
        <v>1346</v>
      </c>
    </row>
  </sheetData>
  <autoFilter ref="A1:U23"/>
  <dataValidations count="7">
    <dataValidation allowBlank="true" error="Kies een waarde uit de lijst of voeg haar eerst toe aan de bronlijst." errorStyle="stop" errorTitle="Onbekende waarde" operator="between" showDropDown="false" showErrorMessage="true" showInputMessage="false" sqref="D2:D1023" type="list">
      <formula1>rolcluster!$B$2:$B$2000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H2:H1023" type="list">
      <formula1>Keuzelijsten!$F$5:$F$60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I2:I1023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23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23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23" type="list">
      <formula1>validation_status!$B$2:$B$2000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23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391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1458</v>
      </c>
      <c r="B2" s="11" t="s">
        <v>1350</v>
      </c>
      <c r="C2" s="11" t="s">
        <v>1459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1460</v>
      </c>
      <c r="B3" s="11" t="s">
        <v>1397</v>
      </c>
      <c r="C3" s="11" t="s">
        <v>1461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1462</v>
      </c>
      <c r="B4" s="11" t="s">
        <v>1381</v>
      </c>
      <c r="C4" s="11" t="s">
        <v>1463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1464</v>
      </c>
      <c r="B5" s="11" t="s">
        <v>1343</v>
      </c>
      <c r="C5" s="11" t="s">
        <v>1465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1466</v>
      </c>
      <c r="B6" s="11" t="s">
        <v>1370</v>
      </c>
      <c r="C6" s="11" t="s">
        <v>1467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1468</v>
      </c>
      <c r="B7" s="11" t="s">
        <v>1440</v>
      </c>
      <c r="C7" s="11" t="s">
        <v>1469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1470</v>
      </c>
      <c r="B8" s="11" t="s">
        <v>1414</v>
      </c>
      <c r="C8" s="11" t="s">
        <v>1471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1472</v>
      </c>
      <c r="B9" s="11" t="s">
        <v>1408</v>
      </c>
      <c r="C9" s="11" t="s">
        <v>1473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1474</v>
      </c>
      <c r="B10" s="11" t="s">
        <v>1451</v>
      </c>
      <c r="C10" s="11" t="s">
        <v>1475</v>
      </c>
      <c r="E10" s="11" t="n">
        <v>9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</row>
  </sheetData>
  <autoFilter ref="A1:N10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0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406</v>
      </c>
      <c r="B1" s="13" t="s">
        <v>386</v>
      </c>
      <c r="C1" s="13" t="s">
        <v>408</v>
      </c>
      <c r="D1" s="14" t="s">
        <v>409</v>
      </c>
      <c r="E1" s="14" t="s">
        <v>410</v>
      </c>
      <c r="F1" s="13" t="s">
        <v>411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1476</v>
      </c>
      <c r="B2" s="11" t="s">
        <v>1354</v>
      </c>
      <c r="C2" s="11" t="s">
        <v>1477</v>
      </c>
      <c r="D2" s="11" t="s">
        <v>1478</v>
      </c>
      <c r="F2" s="11" t="s">
        <v>258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27</v>
      </c>
    </row>
    <row r="3" customFormat="false" ht="15" hidden="false" customHeight="false" outlineLevel="0" collapsed="false">
      <c r="A3" s="2" t="s">
        <v>1479</v>
      </c>
      <c r="B3" s="11" t="s">
        <v>1354</v>
      </c>
      <c r="C3" s="11" t="s">
        <v>1480</v>
      </c>
      <c r="D3" s="11" t="s">
        <v>1478</v>
      </c>
      <c r="F3" s="11" t="s">
        <v>272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27</v>
      </c>
    </row>
    <row r="4" customFormat="false" ht="15" hidden="false" customHeight="false" outlineLevel="0" collapsed="false">
      <c r="A4" s="2" t="s">
        <v>1481</v>
      </c>
      <c r="B4" s="11" t="s">
        <v>1359</v>
      </c>
      <c r="C4" s="11" t="s">
        <v>1482</v>
      </c>
      <c r="D4" s="11" t="s">
        <v>1478</v>
      </c>
      <c r="F4" s="11" t="s">
        <v>258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27</v>
      </c>
    </row>
    <row r="5" customFormat="false" ht="15" hidden="false" customHeight="false" outlineLevel="0" collapsed="false">
      <c r="A5" s="2" t="s">
        <v>1483</v>
      </c>
      <c r="B5" s="11" t="s">
        <v>1359</v>
      </c>
      <c r="C5" s="11" t="s">
        <v>1484</v>
      </c>
      <c r="D5" s="11" t="s">
        <v>1478</v>
      </c>
      <c r="F5" s="11" t="s">
        <v>272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27</v>
      </c>
    </row>
    <row r="6" customFormat="false" ht="15" hidden="false" customHeight="false" outlineLevel="0" collapsed="false">
      <c r="A6" s="2" t="s">
        <v>1485</v>
      </c>
      <c r="B6" s="11" t="s">
        <v>1364</v>
      </c>
      <c r="C6" s="11" t="s">
        <v>1486</v>
      </c>
      <c r="D6" s="11" t="s">
        <v>1478</v>
      </c>
      <c r="F6" s="11" t="s">
        <v>258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27</v>
      </c>
    </row>
    <row r="7" customFormat="false" ht="15" hidden="false" customHeight="false" outlineLevel="0" collapsed="false">
      <c r="A7" s="2" t="s">
        <v>1487</v>
      </c>
      <c r="B7" s="11" t="s">
        <v>1364</v>
      </c>
      <c r="C7" s="11" t="s">
        <v>1488</v>
      </c>
      <c r="D7" s="11" t="s">
        <v>1478</v>
      </c>
      <c r="F7" s="11" t="s">
        <v>272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27</v>
      </c>
    </row>
    <row r="8" customFormat="false" ht="15" hidden="false" customHeight="false" outlineLevel="0" collapsed="false">
      <c r="A8" s="2" t="s">
        <v>1489</v>
      </c>
      <c r="B8" s="11" t="s">
        <v>1369</v>
      </c>
      <c r="C8" s="11" t="s">
        <v>1490</v>
      </c>
      <c r="D8" s="11" t="s">
        <v>1478</v>
      </c>
      <c r="F8" s="11" t="s">
        <v>258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27</v>
      </c>
    </row>
    <row r="9" customFormat="false" ht="15" hidden="false" customHeight="false" outlineLevel="0" collapsed="false">
      <c r="A9" s="2" t="s">
        <v>1491</v>
      </c>
      <c r="B9" s="11" t="s">
        <v>1369</v>
      </c>
      <c r="C9" s="11" t="s">
        <v>1492</v>
      </c>
      <c r="D9" s="11" t="s">
        <v>1478</v>
      </c>
      <c r="F9" s="11" t="s">
        <v>272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27</v>
      </c>
    </row>
    <row r="10" customFormat="false" ht="15" hidden="false" customHeight="false" outlineLevel="0" collapsed="false">
      <c r="A10" s="2" t="s">
        <v>1493</v>
      </c>
      <c r="B10" s="11" t="s">
        <v>1395</v>
      </c>
      <c r="C10" s="11" t="s">
        <v>1494</v>
      </c>
      <c r="D10" s="11" t="s">
        <v>1478</v>
      </c>
      <c r="F10" s="11" t="s">
        <v>258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27</v>
      </c>
    </row>
    <row r="11" customFormat="false" ht="15" hidden="false" customHeight="false" outlineLevel="0" collapsed="false">
      <c r="A11" s="2" t="s">
        <v>1495</v>
      </c>
      <c r="B11" s="11" t="s">
        <v>1395</v>
      </c>
      <c r="C11" s="11" t="s">
        <v>1496</v>
      </c>
      <c r="D11" s="11" t="s">
        <v>1478</v>
      </c>
      <c r="F11" s="11" t="s">
        <v>272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27</v>
      </c>
    </row>
    <row r="12" customFormat="false" ht="15" hidden="false" customHeight="false" outlineLevel="0" collapsed="false">
      <c r="A12" s="2" t="s">
        <v>1497</v>
      </c>
      <c r="B12" s="11" t="s">
        <v>1401</v>
      </c>
      <c r="C12" s="11" t="s">
        <v>1498</v>
      </c>
      <c r="D12" s="11" t="s">
        <v>1478</v>
      </c>
      <c r="F12" s="11" t="s">
        <v>258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27</v>
      </c>
    </row>
    <row r="13" customFormat="false" ht="15" hidden="false" customHeight="false" outlineLevel="0" collapsed="false">
      <c r="A13" s="2" t="s">
        <v>1499</v>
      </c>
      <c r="B13" s="11" t="s">
        <v>1401</v>
      </c>
      <c r="C13" s="11" t="s">
        <v>1500</v>
      </c>
      <c r="D13" s="11" t="s">
        <v>1478</v>
      </c>
      <c r="F13" s="11" t="s">
        <v>272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27</v>
      </c>
    </row>
    <row r="14" customFormat="false" ht="15" hidden="false" customHeight="false" outlineLevel="0" collapsed="false">
      <c r="A14" s="2" t="s">
        <v>1501</v>
      </c>
      <c r="B14" s="11" t="s">
        <v>1379</v>
      </c>
      <c r="C14" s="11" t="s">
        <v>1502</v>
      </c>
      <c r="D14" s="11" t="s">
        <v>1478</v>
      </c>
      <c r="F14" s="11" t="s">
        <v>258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27</v>
      </c>
    </row>
    <row r="15" customFormat="false" ht="15" hidden="false" customHeight="false" outlineLevel="0" collapsed="false">
      <c r="A15" s="2" t="s">
        <v>1503</v>
      </c>
      <c r="B15" s="11" t="s">
        <v>1379</v>
      </c>
      <c r="C15" s="11" t="s">
        <v>1504</v>
      </c>
      <c r="D15" s="11" t="s">
        <v>1478</v>
      </c>
      <c r="F15" s="11" t="s">
        <v>272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27</v>
      </c>
    </row>
    <row r="16" customFormat="false" ht="15" hidden="false" customHeight="false" outlineLevel="0" collapsed="false">
      <c r="A16" s="2" t="s">
        <v>1505</v>
      </c>
      <c r="B16" s="11" t="s">
        <v>1406</v>
      </c>
      <c r="C16" s="11" t="s">
        <v>1506</v>
      </c>
      <c r="D16" s="11" t="s">
        <v>1478</v>
      </c>
      <c r="F16" s="11" t="s">
        <v>258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27</v>
      </c>
    </row>
    <row r="17" customFormat="false" ht="15" hidden="false" customHeight="false" outlineLevel="0" collapsed="false">
      <c r="A17" s="2" t="s">
        <v>1507</v>
      </c>
      <c r="B17" s="11" t="s">
        <v>1406</v>
      </c>
      <c r="C17" s="11" t="s">
        <v>1508</v>
      </c>
      <c r="D17" s="11" t="s">
        <v>1478</v>
      </c>
      <c r="F17" s="11" t="s">
        <v>272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27</v>
      </c>
    </row>
    <row r="18" customFormat="false" ht="15" hidden="false" customHeight="false" outlineLevel="0" collapsed="false">
      <c r="A18" s="2" t="s">
        <v>1509</v>
      </c>
      <c r="B18" s="11" t="s">
        <v>1428</v>
      </c>
      <c r="C18" s="11" t="s">
        <v>1510</v>
      </c>
      <c r="D18" s="11" t="s">
        <v>1478</v>
      </c>
      <c r="F18" s="11" t="s">
        <v>258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27</v>
      </c>
    </row>
    <row r="19" customFormat="false" ht="15" hidden="false" customHeight="false" outlineLevel="0" collapsed="false">
      <c r="A19" s="2" t="s">
        <v>1511</v>
      </c>
      <c r="B19" s="11" t="s">
        <v>1390</v>
      </c>
      <c r="C19" s="11" t="s">
        <v>1512</v>
      </c>
      <c r="D19" s="11" t="s">
        <v>1478</v>
      </c>
      <c r="F19" s="11" t="s">
        <v>258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27</v>
      </c>
    </row>
  </sheetData>
  <autoFilter ref="A1:O19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B2:B1019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19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19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10" min="6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412</v>
      </c>
      <c r="B1" s="13" t="s">
        <v>315</v>
      </c>
      <c r="C1" s="13" t="s">
        <v>264</v>
      </c>
      <c r="D1" s="14" t="s">
        <v>319</v>
      </c>
      <c r="E1" s="13" t="s">
        <v>413</v>
      </c>
      <c r="F1" s="13" t="s">
        <v>285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1513</v>
      </c>
      <c r="B2" s="11" t="s">
        <v>1514</v>
      </c>
      <c r="C2" s="11" t="s">
        <v>848</v>
      </c>
      <c r="E2" s="11" t="s">
        <v>258</v>
      </c>
      <c r="F2" s="11" t="n">
        <v>1</v>
      </c>
      <c r="G2" s="11" t="s">
        <v>985</v>
      </c>
      <c r="H2" s="11" t="s">
        <v>986</v>
      </c>
      <c r="I2" s="11" t="s">
        <v>985</v>
      </c>
      <c r="J2" s="11" t="s">
        <v>986</v>
      </c>
      <c r="K2" s="11" t="s">
        <v>766</v>
      </c>
      <c r="L2" s="11" t="n">
        <v>1</v>
      </c>
    </row>
    <row r="3" customFormat="false" ht="15" hidden="false" customHeight="false" outlineLevel="0" collapsed="false">
      <c r="A3" s="2" t="s">
        <v>1515</v>
      </c>
      <c r="B3" s="11" t="s">
        <v>1516</v>
      </c>
      <c r="C3" s="11" t="s">
        <v>1517</v>
      </c>
      <c r="E3" s="11" t="s">
        <v>272</v>
      </c>
      <c r="F3" s="11" t="n">
        <v>2</v>
      </c>
      <c r="G3" s="11" t="s">
        <v>985</v>
      </c>
      <c r="H3" s="11" t="s">
        <v>986</v>
      </c>
      <c r="I3" s="11" t="s">
        <v>985</v>
      </c>
      <c r="J3" s="11" t="s">
        <v>986</v>
      </c>
      <c r="K3" s="11" t="s">
        <v>766</v>
      </c>
      <c r="L3" s="11" t="n">
        <v>1</v>
      </c>
    </row>
    <row r="4" customFormat="false" ht="15" hidden="false" customHeight="false" outlineLevel="0" collapsed="false">
      <c r="A4" s="2" t="s">
        <v>1518</v>
      </c>
      <c r="B4" s="11" t="s">
        <v>1519</v>
      </c>
      <c r="C4" s="11" t="s">
        <v>1520</v>
      </c>
      <c r="E4" s="11" t="s">
        <v>272</v>
      </c>
      <c r="F4" s="11" t="n">
        <v>3</v>
      </c>
      <c r="G4" s="11" t="s">
        <v>985</v>
      </c>
      <c r="H4" s="11" t="s">
        <v>986</v>
      </c>
      <c r="I4" s="11" t="s">
        <v>985</v>
      </c>
      <c r="J4" s="11" t="s">
        <v>986</v>
      </c>
      <c r="K4" s="11" t="s">
        <v>766</v>
      </c>
      <c r="L4" s="11" t="n">
        <v>1</v>
      </c>
    </row>
    <row r="5" customFormat="false" ht="15" hidden="false" customHeight="false" outlineLevel="0" collapsed="false">
      <c r="A5" s="2" t="s">
        <v>1521</v>
      </c>
      <c r="B5" s="11" t="s">
        <v>1522</v>
      </c>
      <c r="C5" s="11" t="s">
        <v>1523</v>
      </c>
      <c r="E5" s="11" t="s">
        <v>272</v>
      </c>
      <c r="F5" s="11" t="n">
        <v>4</v>
      </c>
      <c r="G5" s="11" t="s">
        <v>985</v>
      </c>
      <c r="H5" s="11" t="s">
        <v>986</v>
      </c>
      <c r="I5" s="11" t="s">
        <v>985</v>
      </c>
      <c r="J5" s="11" t="s">
        <v>986</v>
      </c>
      <c r="K5" s="11" t="s">
        <v>766</v>
      </c>
      <c r="L5" s="11" t="n">
        <v>1</v>
      </c>
    </row>
    <row r="6" customFormat="false" ht="15" hidden="false" customHeight="false" outlineLevel="0" collapsed="false">
      <c r="A6" s="2" t="s">
        <v>1524</v>
      </c>
      <c r="B6" s="11" t="s">
        <v>1525</v>
      </c>
      <c r="C6" s="11" t="s">
        <v>1526</v>
      </c>
      <c r="E6" s="11" t="s">
        <v>272</v>
      </c>
      <c r="F6" s="11" t="n">
        <v>5</v>
      </c>
      <c r="G6" s="11" t="s">
        <v>985</v>
      </c>
      <c r="H6" s="11" t="s">
        <v>986</v>
      </c>
      <c r="I6" s="11" t="s">
        <v>985</v>
      </c>
      <c r="J6" s="11" t="s">
        <v>986</v>
      </c>
      <c r="K6" s="11" t="s">
        <v>766</v>
      </c>
      <c r="L6" s="11" t="n">
        <v>1</v>
      </c>
    </row>
    <row r="7" customFormat="false" ht="15" hidden="false" customHeight="false" outlineLevel="0" collapsed="false">
      <c r="A7" s="2" t="s">
        <v>1527</v>
      </c>
      <c r="B7" s="11" t="s">
        <v>1528</v>
      </c>
      <c r="C7" s="11" t="s">
        <v>1529</v>
      </c>
      <c r="E7" s="11" t="s">
        <v>272</v>
      </c>
      <c r="F7" s="11" t="n">
        <v>6</v>
      </c>
      <c r="G7" s="11" t="s">
        <v>985</v>
      </c>
      <c r="H7" s="11" t="s">
        <v>986</v>
      </c>
      <c r="I7" s="11" t="s">
        <v>985</v>
      </c>
      <c r="J7" s="11" t="s">
        <v>986</v>
      </c>
      <c r="K7" s="11" t="s">
        <v>766</v>
      </c>
      <c r="L7" s="11" t="n">
        <v>1</v>
      </c>
    </row>
    <row r="8" customFormat="false" ht="15" hidden="false" customHeight="false" outlineLevel="0" collapsed="false">
      <c r="A8" s="2" t="s">
        <v>1530</v>
      </c>
      <c r="B8" s="11" t="s">
        <v>1531</v>
      </c>
      <c r="C8" s="11" t="s">
        <v>1532</v>
      </c>
      <c r="E8" s="11" t="s">
        <v>272</v>
      </c>
      <c r="F8" s="11" t="n">
        <v>7</v>
      </c>
      <c r="G8" s="11" t="s">
        <v>985</v>
      </c>
      <c r="H8" s="11" t="s">
        <v>986</v>
      </c>
      <c r="I8" s="11" t="s">
        <v>985</v>
      </c>
      <c r="J8" s="11" t="s">
        <v>986</v>
      </c>
      <c r="K8" s="11" t="s">
        <v>766</v>
      </c>
      <c r="L8" s="11" t="n">
        <v>1</v>
      </c>
    </row>
    <row r="9" customFormat="false" ht="15" hidden="false" customHeight="false" outlineLevel="0" collapsed="false">
      <c r="A9" s="2" t="s">
        <v>1533</v>
      </c>
      <c r="B9" s="11" t="s">
        <v>1534</v>
      </c>
      <c r="C9" s="11" t="s">
        <v>1535</v>
      </c>
      <c r="E9" s="11" t="s">
        <v>272</v>
      </c>
      <c r="F9" s="11" t="n">
        <v>8</v>
      </c>
      <c r="G9" s="11" t="s">
        <v>985</v>
      </c>
      <c r="H9" s="11" t="s">
        <v>986</v>
      </c>
      <c r="I9" s="11" t="s">
        <v>985</v>
      </c>
      <c r="J9" s="11" t="s">
        <v>986</v>
      </c>
      <c r="K9" s="11" t="s">
        <v>766</v>
      </c>
      <c r="L9" s="11" t="n">
        <v>1</v>
      </c>
    </row>
    <row r="10" customFormat="false" ht="15" hidden="false" customHeight="false" outlineLevel="0" collapsed="false">
      <c r="A10" s="2" t="s">
        <v>1536</v>
      </c>
      <c r="B10" s="11" t="s">
        <v>1537</v>
      </c>
      <c r="C10" s="11" t="s">
        <v>1538</v>
      </c>
      <c r="E10" s="11" t="s">
        <v>272</v>
      </c>
      <c r="F10" s="11" t="n">
        <v>9</v>
      </c>
      <c r="G10" s="11" t="s">
        <v>985</v>
      </c>
      <c r="H10" s="11" t="s">
        <v>986</v>
      </c>
      <c r="I10" s="11" t="s">
        <v>985</v>
      </c>
      <c r="J10" s="11" t="s">
        <v>986</v>
      </c>
      <c r="K10" s="11" t="s">
        <v>766</v>
      </c>
      <c r="L10" s="11" t="n">
        <v>1</v>
      </c>
    </row>
    <row r="11" customFormat="false" ht="15" hidden="false" customHeight="false" outlineLevel="0" collapsed="false">
      <c r="A11" s="2" t="s">
        <v>1539</v>
      </c>
      <c r="B11" s="11" t="s">
        <v>1540</v>
      </c>
      <c r="C11" s="11" t="s">
        <v>1541</v>
      </c>
      <c r="E11" s="11" t="s">
        <v>272</v>
      </c>
      <c r="F11" s="11" t="n">
        <v>10</v>
      </c>
      <c r="G11" s="11" t="s">
        <v>985</v>
      </c>
      <c r="H11" s="11" t="s">
        <v>986</v>
      </c>
      <c r="I11" s="11" t="s">
        <v>985</v>
      </c>
      <c r="J11" s="11" t="s">
        <v>986</v>
      </c>
      <c r="K11" s="11" t="s">
        <v>766</v>
      </c>
      <c r="L11" s="11" t="n">
        <v>1</v>
      </c>
    </row>
  </sheetData>
  <autoFilter ref="A1:O11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E2:E1011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11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760A6"/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5" min="5" style="0" width="40"/>
    <col collapsed="false" customWidth="true" hidden="false" outlineLevel="0" max="10" min="6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414</v>
      </c>
      <c r="B1" s="13" t="s">
        <v>415</v>
      </c>
      <c r="C1" s="13" t="s">
        <v>264</v>
      </c>
      <c r="D1" s="14" t="s">
        <v>416</v>
      </c>
      <c r="E1" s="14" t="s">
        <v>319</v>
      </c>
      <c r="F1" s="13" t="s">
        <v>285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1542</v>
      </c>
      <c r="B2" s="11" t="s">
        <v>1543</v>
      </c>
      <c r="C2" s="11" t="s">
        <v>1544</v>
      </c>
      <c r="F2" s="11" t="n">
        <v>1</v>
      </c>
      <c r="G2" s="11" t="s">
        <v>985</v>
      </c>
      <c r="H2" s="11" t="s">
        <v>986</v>
      </c>
      <c r="I2" s="11" t="s">
        <v>985</v>
      </c>
      <c r="J2" s="11" t="s">
        <v>986</v>
      </c>
      <c r="K2" s="11" t="s">
        <v>766</v>
      </c>
      <c r="L2" s="11" t="n">
        <v>1</v>
      </c>
    </row>
    <row r="3" customFormat="false" ht="15" hidden="false" customHeight="false" outlineLevel="0" collapsed="false">
      <c r="A3" s="2" t="s">
        <v>1545</v>
      </c>
      <c r="B3" s="11" t="s">
        <v>1546</v>
      </c>
      <c r="C3" s="11" t="s">
        <v>1547</v>
      </c>
      <c r="D3" s="11" t="s">
        <v>1543</v>
      </c>
      <c r="F3" s="11" t="n">
        <v>2</v>
      </c>
      <c r="G3" s="11" t="s">
        <v>985</v>
      </c>
      <c r="H3" s="11" t="s">
        <v>986</v>
      </c>
      <c r="I3" s="11" t="s">
        <v>985</v>
      </c>
      <c r="J3" s="11" t="s">
        <v>986</v>
      </c>
      <c r="K3" s="11" t="s">
        <v>766</v>
      </c>
      <c r="L3" s="11" t="n">
        <v>1</v>
      </c>
    </row>
    <row r="4" customFormat="false" ht="15" hidden="false" customHeight="false" outlineLevel="0" collapsed="false">
      <c r="A4" s="2" t="s">
        <v>1548</v>
      </c>
      <c r="B4" s="11" t="s">
        <v>1549</v>
      </c>
      <c r="C4" s="11" t="s">
        <v>1550</v>
      </c>
      <c r="D4" s="11" t="s">
        <v>1546</v>
      </c>
      <c r="F4" s="11" t="n">
        <v>3</v>
      </c>
      <c r="G4" s="11" t="s">
        <v>985</v>
      </c>
      <c r="H4" s="11" t="s">
        <v>986</v>
      </c>
      <c r="I4" s="11" t="s">
        <v>985</v>
      </c>
      <c r="J4" s="11" t="s">
        <v>986</v>
      </c>
      <c r="K4" s="11" t="s">
        <v>766</v>
      </c>
      <c r="L4" s="11" t="n">
        <v>1</v>
      </c>
    </row>
    <row r="5" customFormat="false" ht="15" hidden="false" customHeight="false" outlineLevel="0" collapsed="false">
      <c r="A5" s="2" t="s">
        <v>1551</v>
      </c>
      <c r="B5" s="11" t="s">
        <v>1552</v>
      </c>
      <c r="C5" s="11" t="s">
        <v>1553</v>
      </c>
      <c r="D5" s="11" t="s">
        <v>1546</v>
      </c>
      <c r="F5" s="11" t="n">
        <v>4</v>
      </c>
      <c r="G5" s="11" t="s">
        <v>985</v>
      </c>
      <c r="H5" s="11" t="s">
        <v>986</v>
      </c>
      <c r="I5" s="11" t="s">
        <v>985</v>
      </c>
      <c r="J5" s="11" t="s">
        <v>986</v>
      </c>
      <c r="K5" s="11" t="s">
        <v>766</v>
      </c>
      <c r="L5" s="11" t="n">
        <v>1</v>
      </c>
    </row>
    <row r="6" customFormat="false" ht="15" hidden="false" customHeight="false" outlineLevel="0" collapsed="false">
      <c r="A6" s="2" t="s">
        <v>1554</v>
      </c>
      <c r="B6" s="11" t="s">
        <v>1555</v>
      </c>
      <c r="C6" s="11" t="s">
        <v>1556</v>
      </c>
      <c r="D6" s="11" t="s">
        <v>1546</v>
      </c>
      <c r="F6" s="11" t="n">
        <v>5</v>
      </c>
      <c r="G6" s="11" t="s">
        <v>985</v>
      </c>
      <c r="H6" s="11" t="s">
        <v>986</v>
      </c>
      <c r="I6" s="11" t="s">
        <v>985</v>
      </c>
      <c r="J6" s="11" t="s">
        <v>986</v>
      </c>
      <c r="K6" s="11" t="s">
        <v>766</v>
      </c>
      <c r="L6" s="11" t="n">
        <v>1</v>
      </c>
    </row>
    <row r="7" customFormat="false" ht="15" hidden="false" customHeight="false" outlineLevel="0" collapsed="false">
      <c r="A7" s="2" t="s">
        <v>1557</v>
      </c>
      <c r="B7" s="11" t="s">
        <v>1558</v>
      </c>
      <c r="C7" s="11" t="s">
        <v>1559</v>
      </c>
      <c r="D7" s="11" t="s">
        <v>1543</v>
      </c>
      <c r="F7" s="11" t="n">
        <v>6</v>
      </c>
      <c r="G7" s="11" t="s">
        <v>985</v>
      </c>
      <c r="H7" s="11" t="s">
        <v>986</v>
      </c>
      <c r="I7" s="11" t="s">
        <v>985</v>
      </c>
      <c r="J7" s="11" t="s">
        <v>986</v>
      </c>
      <c r="K7" s="11" t="s">
        <v>766</v>
      </c>
      <c r="L7" s="11" t="n">
        <v>1</v>
      </c>
    </row>
    <row r="8" customFormat="false" ht="15" hidden="false" customHeight="false" outlineLevel="0" collapsed="false">
      <c r="A8" s="2" t="s">
        <v>1560</v>
      </c>
      <c r="B8" s="11" t="s">
        <v>1561</v>
      </c>
      <c r="C8" s="11" t="s">
        <v>1562</v>
      </c>
      <c r="D8" s="11" t="s">
        <v>1558</v>
      </c>
      <c r="F8" s="11" t="n">
        <v>7</v>
      </c>
      <c r="G8" s="11" t="s">
        <v>985</v>
      </c>
      <c r="H8" s="11" t="s">
        <v>986</v>
      </c>
      <c r="I8" s="11" t="s">
        <v>985</v>
      </c>
      <c r="J8" s="11" t="s">
        <v>986</v>
      </c>
      <c r="K8" s="11" t="s">
        <v>766</v>
      </c>
      <c r="L8" s="11" t="n">
        <v>1</v>
      </c>
    </row>
    <row r="9" customFormat="false" ht="15" hidden="false" customHeight="false" outlineLevel="0" collapsed="false">
      <c r="A9" s="2" t="s">
        <v>1563</v>
      </c>
      <c r="B9" s="11" t="s">
        <v>1564</v>
      </c>
      <c r="C9" s="11" t="s">
        <v>1565</v>
      </c>
      <c r="D9" s="11" t="s">
        <v>1558</v>
      </c>
      <c r="F9" s="11" t="n">
        <v>8</v>
      </c>
      <c r="G9" s="11" t="s">
        <v>985</v>
      </c>
      <c r="H9" s="11" t="s">
        <v>986</v>
      </c>
      <c r="I9" s="11" t="s">
        <v>985</v>
      </c>
      <c r="J9" s="11" t="s">
        <v>986</v>
      </c>
      <c r="K9" s="11" t="s">
        <v>766</v>
      </c>
      <c r="L9" s="11" t="n">
        <v>1</v>
      </c>
    </row>
    <row r="10" customFormat="false" ht="15" hidden="false" customHeight="false" outlineLevel="0" collapsed="false">
      <c r="A10" s="2" t="s">
        <v>1566</v>
      </c>
      <c r="B10" s="11" t="s">
        <v>1567</v>
      </c>
      <c r="C10" s="11" t="s">
        <v>1568</v>
      </c>
      <c r="D10" s="11" t="s">
        <v>1543</v>
      </c>
      <c r="F10" s="11" t="n">
        <v>9</v>
      </c>
      <c r="G10" s="11" t="s">
        <v>985</v>
      </c>
      <c r="H10" s="11" t="s">
        <v>986</v>
      </c>
      <c r="I10" s="11" t="s">
        <v>985</v>
      </c>
      <c r="J10" s="11" t="s">
        <v>986</v>
      </c>
      <c r="K10" s="11" t="s">
        <v>766</v>
      </c>
      <c r="L10" s="11" t="n">
        <v>1</v>
      </c>
    </row>
    <row r="11" customFormat="false" ht="15" hidden="false" customHeight="false" outlineLevel="0" collapsed="false">
      <c r="A11" s="2" t="s">
        <v>1569</v>
      </c>
      <c r="B11" s="11" t="s">
        <v>1570</v>
      </c>
      <c r="C11" s="11" t="s">
        <v>1571</v>
      </c>
      <c r="D11" s="11" t="s">
        <v>1567</v>
      </c>
      <c r="F11" s="11" t="n">
        <v>10</v>
      </c>
      <c r="G11" s="11" t="s">
        <v>985</v>
      </c>
      <c r="H11" s="11" t="s">
        <v>986</v>
      </c>
      <c r="I11" s="11" t="s">
        <v>985</v>
      </c>
      <c r="J11" s="11" t="s">
        <v>986</v>
      </c>
      <c r="K11" s="11" t="s">
        <v>766</v>
      </c>
      <c r="L11" s="11" t="n">
        <v>1</v>
      </c>
    </row>
    <row r="12" customFormat="false" ht="15" hidden="false" customHeight="false" outlineLevel="0" collapsed="false">
      <c r="A12" s="2" t="s">
        <v>1572</v>
      </c>
      <c r="B12" s="11" t="s">
        <v>1573</v>
      </c>
      <c r="C12" s="11" t="s">
        <v>1574</v>
      </c>
      <c r="D12" s="11" t="s">
        <v>1567</v>
      </c>
      <c r="F12" s="11" t="n">
        <v>11</v>
      </c>
      <c r="G12" s="11" t="s">
        <v>985</v>
      </c>
      <c r="H12" s="11" t="s">
        <v>986</v>
      </c>
      <c r="I12" s="11" t="s">
        <v>985</v>
      </c>
      <c r="J12" s="11" t="s">
        <v>986</v>
      </c>
      <c r="K12" s="11" t="s">
        <v>766</v>
      </c>
      <c r="L12" s="11" t="n">
        <v>1</v>
      </c>
    </row>
    <row r="13" customFormat="false" ht="15" hidden="false" customHeight="false" outlineLevel="0" collapsed="false">
      <c r="A13" s="2" t="s">
        <v>1575</v>
      </c>
      <c r="B13" s="11" t="s">
        <v>1576</v>
      </c>
      <c r="C13" s="11" t="s">
        <v>1577</v>
      </c>
      <c r="D13" s="11" t="s">
        <v>1567</v>
      </c>
      <c r="F13" s="11" t="n">
        <v>12</v>
      </c>
      <c r="G13" s="11" t="s">
        <v>985</v>
      </c>
      <c r="H13" s="11" t="s">
        <v>986</v>
      </c>
      <c r="I13" s="11" t="s">
        <v>985</v>
      </c>
      <c r="J13" s="11" t="s">
        <v>986</v>
      </c>
      <c r="K13" s="11" t="s">
        <v>766</v>
      </c>
      <c r="L13" s="11" t="n">
        <v>1</v>
      </c>
    </row>
    <row r="14" customFormat="false" ht="15" hidden="false" customHeight="false" outlineLevel="0" collapsed="false">
      <c r="A14" s="2" t="s">
        <v>1578</v>
      </c>
      <c r="B14" s="11" t="s">
        <v>1579</v>
      </c>
      <c r="C14" s="11" t="s">
        <v>1580</v>
      </c>
      <c r="D14" s="11" t="s">
        <v>1543</v>
      </c>
      <c r="F14" s="11" t="n">
        <v>13</v>
      </c>
      <c r="G14" s="11" t="s">
        <v>985</v>
      </c>
      <c r="H14" s="11" t="s">
        <v>986</v>
      </c>
      <c r="I14" s="11" t="s">
        <v>985</v>
      </c>
      <c r="J14" s="11" t="s">
        <v>986</v>
      </c>
      <c r="K14" s="11" t="s">
        <v>766</v>
      </c>
      <c r="L14" s="11" t="n">
        <v>1</v>
      </c>
    </row>
    <row r="15" customFormat="false" ht="15" hidden="false" customHeight="false" outlineLevel="0" collapsed="false">
      <c r="A15" s="2" t="s">
        <v>1581</v>
      </c>
      <c r="B15" s="11" t="s">
        <v>1582</v>
      </c>
      <c r="C15" s="11" t="s">
        <v>1583</v>
      </c>
      <c r="D15" s="11" t="s">
        <v>1579</v>
      </c>
      <c r="F15" s="11" t="n">
        <v>14</v>
      </c>
      <c r="G15" s="11" t="s">
        <v>985</v>
      </c>
      <c r="H15" s="11" t="s">
        <v>986</v>
      </c>
      <c r="I15" s="11" t="s">
        <v>985</v>
      </c>
      <c r="J15" s="11" t="s">
        <v>986</v>
      </c>
      <c r="K15" s="11" t="s">
        <v>766</v>
      </c>
      <c r="L15" s="11" t="n">
        <v>1</v>
      </c>
    </row>
    <row r="16" customFormat="false" ht="15" hidden="false" customHeight="false" outlineLevel="0" collapsed="false">
      <c r="A16" s="2" t="s">
        <v>1584</v>
      </c>
      <c r="B16" s="11" t="s">
        <v>1585</v>
      </c>
      <c r="C16" s="11" t="s">
        <v>1586</v>
      </c>
      <c r="D16" s="11" t="s">
        <v>1579</v>
      </c>
      <c r="F16" s="11" t="n">
        <v>15</v>
      </c>
      <c r="G16" s="11" t="s">
        <v>985</v>
      </c>
      <c r="H16" s="11" t="s">
        <v>986</v>
      </c>
      <c r="I16" s="11" t="s">
        <v>985</v>
      </c>
      <c r="J16" s="11" t="s">
        <v>986</v>
      </c>
      <c r="K16" s="11" t="s">
        <v>766</v>
      </c>
      <c r="L16" s="11" t="n">
        <v>1</v>
      </c>
    </row>
    <row r="17" customFormat="false" ht="15" hidden="false" customHeight="false" outlineLevel="0" collapsed="false">
      <c r="A17" s="2" t="s">
        <v>1587</v>
      </c>
      <c r="B17" s="11" t="s">
        <v>1588</v>
      </c>
      <c r="C17" s="11" t="s">
        <v>1589</v>
      </c>
      <c r="D17" s="11" t="s">
        <v>1579</v>
      </c>
      <c r="F17" s="11" t="n">
        <v>16</v>
      </c>
      <c r="G17" s="11" t="s">
        <v>985</v>
      </c>
      <c r="H17" s="11" t="s">
        <v>986</v>
      </c>
      <c r="I17" s="11" t="s">
        <v>985</v>
      </c>
      <c r="J17" s="11" t="s">
        <v>986</v>
      </c>
      <c r="K17" s="11" t="s">
        <v>766</v>
      </c>
      <c r="L17" s="11" t="n">
        <v>1</v>
      </c>
    </row>
    <row r="18" customFormat="false" ht="15" hidden="false" customHeight="false" outlineLevel="0" collapsed="false">
      <c r="A18" s="2" t="s">
        <v>1590</v>
      </c>
      <c r="B18" s="11" t="s">
        <v>1591</v>
      </c>
      <c r="C18" s="11" t="s">
        <v>1592</v>
      </c>
      <c r="D18" s="11" t="s">
        <v>1543</v>
      </c>
      <c r="F18" s="11" t="n">
        <v>17</v>
      </c>
      <c r="G18" s="11" t="s">
        <v>985</v>
      </c>
      <c r="H18" s="11" t="s">
        <v>986</v>
      </c>
      <c r="I18" s="11" t="s">
        <v>985</v>
      </c>
      <c r="J18" s="11" t="s">
        <v>986</v>
      </c>
      <c r="K18" s="11" t="s">
        <v>766</v>
      </c>
      <c r="L18" s="11" t="n">
        <v>1</v>
      </c>
    </row>
    <row r="19" customFormat="false" ht="15" hidden="false" customHeight="false" outlineLevel="0" collapsed="false">
      <c r="A19" s="2" t="s">
        <v>1593</v>
      </c>
      <c r="B19" s="11" t="s">
        <v>1594</v>
      </c>
      <c r="C19" s="11" t="s">
        <v>1595</v>
      </c>
      <c r="D19" s="11" t="s">
        <v>1543</v>
      </c>
      <c r="F19" s="11" t="n">
        <v>18</v>
      </c>
      <c r="G19" s="11" t="s">
        <v>985</v>
      </c>
      <c r="H19" s="11" t="s">
        <v>986</v>
      </c>
      <c r="I19" s="11" t="s">
        <v>985</v>
      </c>
      <c r="J19" s="11" t="s">
        <v>986</v>
      </c>
      <c r="K19" s="11" t="s">
        <v>766</v>
      </c>
      <c r="L19" s="11" t="n">
        <v>1</v>
      </c>
    </row>
    <row r="20" customFormat="false" ht="15" hidden="false" customHeight="false" outlineLevel="0" collapsed="false">
      <c r="A20" s="2" t="s">
        <v>1596</v>
      </c>
      <c r="B20" s="11" t="s">
        <v>1597</v>
      </c>
      <c r="C20" s="11" t="s">
        <v>1598</v>
      </c>
      <c r="D20" s="11" t="s">
        <v>1543</v>
      </c>
      <c r="F20" s="11" t="n">
        <v>19</v>
      </c>
      <c r="G20" s="11" t="s">
        <v>985</v>
      </c>
      <c r="H20" s="11" t="s">
        <v>986</v>
      </c>
      <c r="I20" s="11" t="s">
        <v>985</v>
      </c>
      <c r="J20" s="11" t="s">
        <v>986</v>
      </c>
      <c r="K20" s="11" t="s">
        <v>766</v>
      </c>
      <c r="L20" s="11" t="n">
        <v>1</v>
      </c>
    </row>
    <row r="21" customFormat="false" ht="15" hidden="false" customHeight="false" outlineLevel="0" collapsed="false">
      <c r="A21" s="2" t="s">
        <v>1599</v>
      </c>
      <c r="B21" s="11" t="s">
        <v>1600</v>
      </c>
      <c r="C21" s="11" t="s">
        <v>1601</v>
      </c>
      <c r="D21" s="11" t="s">
        <v>1543</v>
      </c>
      <c r="F21" s="11" t="n">
        <v>20</v>
      </c>
      <c r="G21" s="11" t="s">
        <v>985</v>
      </c>
      <c r="H21" s="11" t="s">
        <v>986</v>
      </c>
      <c r="I21" s="11" t="s">
        <v>985</v>
      </c>
      <c r="J21" s="11" t="s">
        <v>986</v>
      </c>
      <c r="K21" s="11" t="s">
        <v>766</v>
      </c>
      <c r="L21" s="11" t="n">
        <v>1</v>
      </c>
    </row>
    <row r="22" customFormat="false" ht="15" hidden="false" customHeight="false" outlineLevel="0" collapsed="false">
      <c r="A22" s="2" t="s">
        <v>1602</v>
      </c>
      <c r="B22" s="11" t="s">
        <v>1603</v>
      </c>
      <c r="C22" s="11" t="s">
        <v>1541</v>
      </c>
      <c r="D22" s="11" t="s">
        <v>1543</v>
      </c>
      <c r="F22" s="11" t="n">
        <v>21</v>
      </c>
      <c r="G22" s="11" t="s">
        <v>985</v>
      </c>
      <c r="H22" s="11" t="s">
        <v>986</v>
      </c>
      <c r="I22" s="11" t="s">
        <v>985</v>
      </c>
      <c r="J22" s="11" t="s">
        <v>986</v>
      </c>
      <c r="K22" s="11" t="s">
        <v>766</v>
      </c>
      <c r="L22" s="11" t="n">
        <v>1</v>
      </c>
    </row>
  </sheetData>
  <autoFilter ref="A1:O22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D2:D1022" type="list">
      <formula1>objecttype!$B$2:$B$2000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22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12" min="8" style="0" width="14"/>
    <col collapsed="false" customWidth="true" hidden="false" outlineLevel="0" max="13" min="13" style="0" width="40"/>
    <col collapsed="false" customWidth="true" hidden="false" outlineLevel="0" max="14" min="14" style="0" width="17"/>
    <col collapsed="false" customWidth="true" hidden="false" outlineLevel="0" max="16" min="15" style="0" width="14"/>
    <col collapsed="false" customWidth="true" hidden="false" outlineLevel="0" max="17" min="17" style="0" width="40"/>
  </cols>
  <sheetData>
    <row r="1" customFormat="false" ht="15" hidden="false" customHeight="false" outlineLevel="0" collapsed="false">
      <c r="A1" s="13" t="s">
        <v>418</v>
      </c>
      <c r="B1" s="13" t="s">
        <v>419</v>
      </c>
      <c r="C1" s="13" t="s">
        <v>420</v>
      </c>
      <c r="D1" s="13" t="s">
        <v>421</v>
      </c>
      <c r="E1" s="13" t="s">
        <v>422</v>
      </c>
      <c r="F1" s="14" t="s">
        <v>319</v>
      </c>
      <c r="G1" s="14" t="s">
        <v>424</v>
      </c>
      <c r="H1" s="13" t="s">
        <v>285</v>
      </c>
      <c r="I1" s="15" t="s">
        <v>292</v>
      </c>
      <c r="J1" s="15" t="s">
        <v>295</v>
      </c>
      <c r="K1" s="15" t="s">
        <v>298</v>
      </c>
      <c r="L1" s="15" t="s">
        <v>300</v>
      </c>
      <c r="M1" s="15" t="s">
        <v>302</v>
      </c>
      <c r="N1" s="15" t="s">
        <v>305</v>
      </c>
      <c r="O1" s="15" t="s">
        <v>307</v>
      </c>
      <c r="P1" s="15" t="s">
        <v>310</v>
      </c>
      <c r="Q1" s="15" t="s">
        <v>312</v>
      </c>
    </row>
    <row r="2" customFormat="false" ht="15" hidden="false" customHeight="false" outlineLevel="0" collapsed="false">
      <c r="A2" s="2" t="s">
        <v>1604</v>
      </c>
      <c r="B2" s="11" t="s">
        <v>1605</v>
      </c>
      <c r="C2" s="11" t="s">
        <v>1606</v>
      </c>
      <c r="D2" s="11" t="s">
        <v>1607</v>
      </c>
      <c r="E2" s="11" t="s">
        <v>1608</v>
      </c>
      <c r="G2" s="11" t="s">
        <v>1609</v>
      </c>
      <c r="H2" s="11" t="n">
        <v>1</v>
      </c>
      <c r="I2" s="11" t="s">
        <v>985</v>
      </c>
      <c r="J2" s="11" t="s">
        <v>986</v>
      </c>
      <c r="K2" s="11" t="s">
        <v>985</v>
      </c>
      <c r="L2" s="11" t="s">
        <v>986</v>
      </c>
      <c r="M2" s="11" t="s">
        <v>766</v>
      </c>
      <c r="N2" s="11" t="n">
        <v>1</v>
      </c>
      <c r="Q2" s="11" t="s">
        <v>1610</v>
      </c>
    </row>
    <row r="3" customFormat="false" ht="15" hidden="false" customHeight="false" outlineLevel="0" collapsed="false">
      <c r="A3" s="2" t="s">
        <v>1611</v>
      </c>
      <c r="B3" s="11" t="s">
        <v>1612</v>
      </c>
      <c r="C3" s="11" t="s">
        <v>1613</v>
      </c>
      <c r="D3" s="11" t="s">
        <v>1614</v>
      </c>
      <c r="E3" s="11" t="s">
        <v>1615</v>
      </c>
      <c r="G3" s="11" t="s">
        <v>1609</v>
      </c>
      <c r="H3" s="11" t="n">
        <v>2</v>
      </c>
      <c r="I3" s="11" t="s">
        <v>985</v>
      </c>
      <c r="J3" s="11" t="s">
        <v>986</v>
      </c>
      <c r="K3" s="11" t="s">
        <v>985</v>
      </c>
      <c r="L3" s="11" t="s">
        <v>986</v>
      </c>
      <c r="M3" s="11" t="s">
        <v>766</v>
      </c>
      <c r="N3" s="11" t="n">
        <v>1</v>
      </c>
      <c r="Q3" s="11" t="s">
        <v>1610</v>
      </c>
    </row>
    <row r="4" customFormat="false" ht="15" hidden="false" customHeight="false" outlineLevel="0" collapsed="false">
      <c r="A4" s="2" t="s">
        <v>1616</v>
      </c>
      <c r="B4" s="11" t="s">
        <v>1617</v>
      </c>
      <c r="C4" s="11" t="s">
        <v>1618</v>
      </c>
      <c r="D4" s="11" t="s">
        <v>1619</v>
      </c>
      <c r="E4" s="11" t="s">
        <v>1620</v>
      </c>
      <c r="G4" s="11" t="s">
        <v>1609</v>
      </c>
      <c r="H4" s="11" t="n">
        <v>3</v>
      </c>
      <c r="I4" s="11" t="s">
        <v>985</v>
      </c>
      <c r="J4" s="11" t="s">
        <v>986</v>
      </c>
      <c r="K4" s="11" t="s">
        <v>985</v>
      </c>
      <c r="L4" s="11" t="s">
        <v>986</v>
      </c>
      <c r="M4" s="11" t="s">
        <v>766</v>
      </c>
      <c r="N4" s="11" t="n">
        <v>1</v>
      </c>
      <c r="Q4" s="11" t="s">
        <v>1610</v>
      </c>
    </row>
    <row r="5" customFormat="false" ht="15" hidden="false" customHeight="false" outlineLevel="0" collapsed="false">
      <c r="A5" s="2" t="s">
        <v>1621</v>
      </c>
      <c r="B5" s="11" t="s">
        <v>1622</v>
      </c>
      <c r="C5" s="11" t="s">
        <v>1623</v>
      </c>
      <c r="D5" s="11" t="s">
        <v>1624</v>
      </c>
      <c r="E5" s="11" t="s">
        <v>1625</v>
      </c>
      <c r="G5" s="11" t="s">
        <v>1626</v>
      </c>
      <c r="H5" s="11" t="n">
        <v>4</v>
      </c>
      <c r="I5" s="11" t="s">
        <v>985</v>
      </c>
      <c r="J5" s="11" t="s">
        <v>986</v>
      </c>
      <c r="K5" s="11" t="s">
        <v>985</v>
      </c>
      <c r="L5" s="11" t="s">
        <v>986</v>
      </c>
      <c r="M5" s="11" t="s">
        <v>766</v>
      </c>
      <c r="N5" s="11" t="n">
        <v>1</v>
      </c>
      <c r="Q5" s="11" t="s">
        <v>1610</v>
      </c>
    </row>
    <row r="6" customFormat="false" ht="15" hidden="false" customHeight="false" outlineLevel="0" collapsed="false">
      <c r="A6" s="2" t="s">
        <v>1627</v>
      </c>
      <c r="B6" s="11" t="s">
        <v>1628</v>
      </c>
      <c r="C6" s="11" t="s">
        <v>1629</v>
      </c>
      <c r="D6" s="11" t="s">
        <v>1630</v>
      </c>
      <c r="E6" s="11" t="s">
        <v>1631</v>
      </c>
      <c r="G6" s="11" t="s">
        <v>1626</v>
      </c>
      <c r="H6" s="11" t="n">
        <v>5</v>
      </c>
      <c r="I6" s="11" t="s">
        <v>985</v>
      </c>
      <c r="J6" s="11" t="s">
        <v>986</v>
      </c>
      <c r="K6" s="11" t="s">
        <v>985</v>
      </c>
      <c r="L6" s="11" t="s">
        <v>986</v>
      </c>
      <c r="M6" s="11" t="s">
        <v>766</v>
      </c>
      <c r="N6" s="11" t="n">
        <v>1</v>
      </c>
      <c r="Q6" s="11" t="s">
        <v>1610</v>
      </c>
    </row>
    <row r="7" customFormat="false" ht="15" hidden="false" customHeight="false" outlineLevel="0" collapsed="false">
      <c r="A7" s="2" t="s">
        <v>1632</v>
      </c>
      <c r="B7" s="11" t="s">
        <v>1633</v>
      </c>
      <c r="C7" s="11" t="s">
        <v>1634</v>
      </c>
      <c r="D7" s="11" t="s">
        <v>1635</v>
      </c>
      <c r="E7" s="11" t="s">
        <v>1636</v>
      </c>
      <c r="G7" s="11" t="s">
        <v>1626</v>
      </c>
      <c r="H7" s="11" t="n">
        <v>6</v>
      </c>
      <c r="I7" s="11" t="s">
        <v>985</v>
      </c>
      <c r="J7" s="11" t="s">
        <v>986</v>
      </c>
      <c r="K7" s="11" t="s">
        <v>985</v>
      </c>
      <c r="L7" s="11" t="s">
        <v>986</v>
      </c>
      <c r="M7" s="11" t="s">
        <v>766</v>
      </c>
      <c r="N7" s="11" t="n">
        <v>1</v>
      </c>
      <c r="Q7" s="11" t="s">
        <v>1610</v>
      </c>
    </row>
    <row r="8" customFormat="false" ht="15" hidden="false" customHeight="false" outlineLevel="0" collapsed="false">
      <c r="A8" s="2" t="s">
        <v>1637</v>
      </c>
      <c r="B8" s="11" t="s">
        <v>1638</v>
      </c>
      <c r="C8" s="11" t="s">
        <v>1639</v>
      </c>
      <c r="D8" s="11" t="s">
        <v>1640</v>
      </c>
      <c r="E8" s="11" t="s">
        <v>1641</v>
      </c>
      <c r="G8" s="11" t="s">
        <v>1626</v>
      </c>
      <c r="H8" s="11" t="n">
        <v>7</v>
      </c>
      <c r="I8" s="11" t="s">
        <v>985</v>
      </c>
      <c r="J8" s="11" t="s">
        <v>986</v>
      </c>
      <c r="K8" s="11" t="s">
        <v>985</v>
      </c>
      <c r="L8" s="11" t="s">
        <v>986</v>
      </c>
      <c r="M8" s="11" t="s">
        <v>766</v>
      </c>
      <c r="N8" s="11" t="n">
        <v>1</v>
      </c>
      <c r="Q8" s="11" t="s">
        <v>1610</v>
      </c>
    </row>
    <row r="9" customFormat="false" ht="15" hidden="false" customHeight="false" outlineLevel="0" collapsed="false">
      <c r="A9" s="2" t="s">
        <v>1642</v>
      </c>
      <c r="B9" s="11" t="s">
        <v>1643</v>
      </c>
      <c r="C9" s="11" t="s">
        <v>1644</v>
      </c>
      <c r="D9" s="11" t="s">
        <v>1645</v>
      </c>
      <c r="E9" s="11" t="s">
        <v>1646</v>
      </c>
      <c r="G9" s="11" t="s">
        <v>1626</v>
      </c>
      <c r="H9" s="11" t="n">
        <v>8</v>
      </c>
      <c r="I9" s="11" t="s">
        <v>985</v>
      </c>
      <c r="J9" s="11" t="s">
        <v>986</v>
      </c>
      <c r="K9" s="11" t="s">
        <v>985</v>
      </c>
      <c r="L9" s="11" t="s">
        <v>986</v>
      </c>
      <c r="M9" s="11" t="s">
        <v>766</v>
      </c>
      <c r="N9" s="11" t="n">
        <v>1</v>
      </c>
      <c r="Q9" s="11" t="s">
        <v>1610</v>
      </c>
    </row>
    <row r="10" customFormat="false" ht="15" hidden="false" customHeight="false" outlineLevel="0" collapsed="false">
      <c r="A10" s="2" t="s">
        <v>1647</v>
      </c>
      <c r="B10" s="11" t="s">
        <v>1648</v>
      </c>
      <c r="C10" s="11" t="s">
        <v>1649</v>
      </c>
      <c r="D10" s="11" t="s">
        <v>1105</v>
      </c>
      <c r="E10" s="11" t="s">
        <v>1646</v>
      </c>
      <c r="G10" s="11" t="s">
        <v>1626</v>
      </c>
      <c r="H10" s="11" t="n">
        <v>9</v>
      </c>
      <c r="I10" s="11" t="s">
        <v>985</v>
      </c>
      <c r="J10" s="11" t="s">
        <v>986</v>
      </c>
      <c r="K10" s="11" t="s">
        <v>985</v>
      </c>
      <c r="L10" s="11" t="s">
        <v>986</v>
      </c>
      <c r="M10" s="11" t="s">
        <v>766</v>
      </c>
      <c r="N10" s="11" t="n">
        <v>1</v>
      </c>
      <c r="Q10" s="11" t="s">
        <v>1610</v>
      </c>
    </row>
    <row r="11" customFormat="false" ht="15" hidden="false" customHeight="false" outlineLevel="0" collapsed="false">
      <c r="A11" s="2" t="s">
        <v>1650</v>
      </c>
      <c r="B11" s="11" t="s">
        <v>1651</v>
      </c>
      <c r="C11" s="11" t="s">
        <v>1652</v>
      </c>
      <c r="D11" s="11" t="s">
        <v>1653</v>
      </c>
      <c r="E11" s="11" t="s">
        <v>1654</v>
      </c>
      <c r="G11" s="11" t="s">
        <v>1626</v>
      </c>
      <c r="H11" s="11" t="n">
        <v>10</v>
      </c>
      <c r="I11" s="11" t="s">
        <v>985</v>
      </c>
      <c r="J11" s="11" t="s">
        <v>986</v>
      </c>
      <c r="K11" s="11" t="s">
        <v>985</v>
      </c>
      <c r="L11" s="11" t="s">
        <v>986</v>
      </c>
      <c r="M11" s="11" t="s">
        <v>766</v>
      </c>
      <c r="N11" s="11" t="n">
        <v>1</v>
      </c>
      <c r="Q11" s="11" t="s">
        <v>1610</v>
      </c>
    </row>
    <row r="12" customFormat="false" ht="15" hidden="false" customHeight="false" outlineLevel="0" collapsed="false">
      <c r="A12" s="2" t="s">
        <v>1655</v>
      </c>
      <c r="B12" s="11" t="s">
        <v>1656</v>
      </c>
      <c r="C12" s="11" t="s">
        <v>1657</v>
      </c>
      <c r="D12" s="11" t="s">
        <v>1658</v>
      </c>
      <c r="E12" s="11" t="s">
        <v>1659</v>
      </c>
      <c r="G12" s="11" t="s">
        <v>1626</v>
      </c>
      <c r="H12" s="11" t="n">
        <v>11</v>
      </c>
      <c r="I12" s="11" t="s">
        <v>985</v>
      </c>
      <c r="J12" s="11" t="s">
        <v>986</v>
      </c>
      <c r="K12" s="11" t="s">
        <v>985</v>
      </c>
      <c r="L12" s="11" t="s">
        <v>986</v>
      </c>
      <c r="M12" s="11" t="s">
        <v>766</v>
      </c>
      <c r="N12" s="11" t="n">
        <v>1</v>
      </c>
      <c r="Q12" s="11" t="s">
        <v>1610</v>
      </c>
    </row>
    <row r="13" customFormat="false" ht="15" hidden="false" customHeight="false" outlineLevel="0" collapsed="false">
      <c r="A13" s="2" t="s">
        <v>1660</v>
      </c>
      <c r="B13" s="11" t="s">
        <v>1661</v>
      </c>
      <c r="C13" s="11" t="s">
        <v>1662</v>
      </c>
      <c r="D13" s="11" t="s">
        <v>1663</v>
      </c>
      <c r="E13" s="11" t="s">
        <v>1664</v>
      </c>
      <c r="G13" s="11" t="s">
        <v>1626</v>
      </c>
      <c r="H13" s="11" t="n">
        <v>12</v>
      </c>
      <c r="I13" s="11" t="s">
        <v>985</v>
      </c>
      <c r="J13" s="11" t="s">
        <v>986</v>
      </c>
      <c r="K13" s="11" t="s">
        <v>985</v>
      </c>
      <c r="L13" s="11" t="s">
        <v>986</v>
      </c>
      <c r="M13" s="11" t="s">
        <v>766</v>
      </c>
      <c r="N13" s="11" t="n">
        <v>1</v>
      </c>
      <c r="Q13" s="11" t="s">
        <v>1610</v>
      </c>
    </row>
  </sheetData>
  <autoFilter ref="A1:Q13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E2:E1013" type="list">
      <formula1>financieel_thema!$B$2:$B$2000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M2:M1013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10" min="6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422</v>
      </c>
      <c r="B1" s="13" t="s">
        <v>425</v>
      </c>
      <c r="C1" s="13" t="s">
        <v>264</v>
      </c>
      <c r="D1" s="14" t="s">
        <v>319</v>
      </c>
      <c r="E1" s="14" t="s">
        <v>426</v>
      </c>
      <c r="F1" s="13" t="s">
        <v>285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1665</v>
      </c>
      <c r="B2" s="11" t="s">
        <v>1631</v>
      </c>
      <c r="C2" s="11" t="s">
        <v>1666</v>
      </c>
      <c r="F2" s="11" t="n">
        <v>1</v>
      </c>
      <c r="G2" s="11" t="s">
        <v>985</v>
      </c>
      <c r="H2" s="11" t="s">
        <v>986</v>
      </c>
      <c r="I2" s="11" t="s">
        <v>985</v>
      </c>
      <c r="J2" s="11" t="s">
        <v>986</v>
      </c>
      <c r="K2" s="11" t="s">
        <v>766</v>
      </c>
      <c r="L2" s="11" t="n">
        <v>1</v>
      </c>
    </row>
    <row r="3" customFormat="false" ht="15" hidden="false" customHeight="false" outlineLevel="0" collapsed="false">
      <c r="A3" s="2" t="s">
        <v>1667</v>
      </c>
      <c r="B3" s="11" t="s">
        <v>1608</v>
      </c>
      <c r="C3" s="11" t="s">
        <v>1668</v>
      </c>
      <c r="F3" s="11" t="n">
        <v>2</v>
      </c>
      <c r="G3" s="11" t="s">
        <v>985</v>
      </c>
      <c r="H3" s="11" t="s">
        <v>986</v>
      </c>
      <c r="I3" s="11" t="s">
        <v>985</v>
      </c>
      <c r="J3" s="11" t="s">
        <v>986</v>
      </c>
      <c r="K3" s="11" t="s">
        <v>766</v>
      </c>
      <c r="L3" s="11" t="n">
        <v>1</v>
      </c>
    </row>
    <row r="4" customFormat="false" ht="15" hidden="false" customHeight="false" outlineLevel="0" collapsed="false">
      <c r="A4" s="2" t="s">
        <v>1669</v>
      </c>
      <c r="B4" s="11" t="s">
        <v>1615</v>
      </c>
      <c r="C4" s="11" t="s">
        <v>1670</v>
      </c>
      <c r="F4" s="11" t="n">
        <v>3</v>
      </c>
      <c r="G4" s="11" t="s">
        <v>985</v>
      </c>
      <c r="H4" s="11" t="s">
        <v>986</v>
      </c>
      <c r="I4" s="11" t="s">
        <v>985</v>
      </c>
      <c r="J4" s="11" t="s">
        <v>986</v>
      </c>
      <c r="K4" s="11" t="s">
        <v>766</v>
      </c>
      <c r="L4" s="11" t="n">
        <v>1</v>
      </c>
    </row>
    <row r="5" customFormat="false" ht="15" hidden="false" customHeight="false" outlineLevel="0" collapsed="false">
      <c r="A5" s="2" t="s">
        <v>1671</v>
      </c>
      <c r="B5" s="11" t="s">
        <v>1636</v>
      </c>
      <c r="C5" s="11" t="s">
        <v>1672</v>
      </c>
      <c r="F5" s="11" t="n">
        <v>4</v>
      </c>
      <c r="G5" s="11" t="s">
        <v>985</v>
      </c>
      <c r="H5" s="11" t="s">
        <v>986</v>
      </c>
      <c r="I5" s="11" t="s">
        <v>985</v>
      </c>
      <c r="J5" s="11" t="s">
        <v>986</v>
      </c>
      <c r="K5" s="11" t="s">
        <v>766</v>
      </c>
      <c r="L5" s="11" t="n">
        <v>1</v>
      </c>
    </row>
    <row r="6" customFormat="false" ht="15" hidden="false" customHeight="false" outlineLevel="0" collapsed="false">
      <c r="A6" s="2" t="s">
        <v>1673</v>
      </c>
      <c r="B6" s="11" t="s">
        <v>1674</v>
      </c>
      <c r="C6" s="11" t="s">
        <v>1675</v>
      </c>
      <c r="E6" s="11" t="s">
        <v>1636</v>
      </c>
      <c r="F6" s="11" t="n">
        <v>5</v>
      </c>
      <c r="G6" s="11" t="s">
        <v>985</v>
      </c>
      <c r="H6" s="11" t="s">
        <v>986</v>
      </c>
      <c r="I6" s="11" t="s">
        <v>985</v>
      </c>
      <c r="J6" s="11" t="s">
        <v>986</v>
      </c>
      <c r="K6" s="11" t="s">
        <v>766</v>
      </c>
      <c r="L6" s="11" t="n">
        <v>1</v>
      </c>
      <c r="O6" s="11" t="s">
        <v>1676</v>
      </c>
    </row>
    <row r="7" customFormat="false" ht="15" hidden="false" customHeight="false" outlineLevel="0" collapsed="false">
      <c r="A7" s="2" t="s">
        <v>1677</v>
      </c>
      <c r="B7" s="11" t="s">
        <v>1620</v>
      </c>
      <c r="C7" s="11" t="s">
        <v>1678</v>
      </c>
      <c r="F7" s="11" t="n">
        <v>6</v>
      </c>
      <c r="G7" s="11" t="s">
        <v>985</v>
      </c>
      <c r="H7" s="11" t="s">
        <v>986</v>
      </c>
      <c r="I7" s="11" t="s">
        <v>985</v>
      </c>
      <c r="J7" s="11" t="s">
        <v>986</v>
      </c>
      <c r="K7" s="11" t="s">
        <v>766</v>
      </c>
      <c r="L7" s="11" t="n">
        <v>1</v>
      </c>
    </row>
    <row r="8" customFormat="false" ht="15" hidden="false" customHeight="false" outlineLevel="0" collapsed="false">
      <c r="A8" s="2" t="s">
        <v>1679</v>
      </c>
      <c r="B8" s="11" t="s">
        <v>1654</v>
      </c>
      <c r="C8" s="11" t="s">
        <v>1680</v>
      </c>
      <c r="E8" s="11" t="s">
        <v>1620</v>
      </c>
      <c r="F8" s="11" t="n">
        <v>7</v>
      </c>
      <c r="G8" s="11" t="s">
        <v>985</v>
      </c>
      <c r="H8" s="11" t="s">
        <v>986</v>
      </c>
      <c r="I8" s="11" t="s">
        <v>985</v>
      </c>
      <c r="J8" s="11" t="s">
        <v>986</v>
      </c>
      <c r="K8" s="11" t="s">
        <v>766</v>
      </c>
      <c r="L8" s="11" t="n">
        <v>1</v>
      </c>
      <c r="O8" s="11" t="s">
        <v>1676</v>
      </c>
    </row>
    <row r="9" customFormat="false" ht="15" hidden="false" customHeight="false" outlineLevel="0" collapsed="false">
      <c r="A9" s="2" t="s">
        <v>1681</v>
      </c>
      <c r="B9" s="11" t="s">
        <v>1641</v>
      </c>
      <c r="C9" s="11" t="s">
        <v>1682</v>
      </c>
      <c r="F9" s="11" t="n">
        <v>8</v>
      </c>
      <c r="G9" s="11" t="s">
        <v>985</v>
      </c>
      <c r="H9" s="11" t="s">
        <v>986</v>
      </c>
      <c r="I9" s="11" t="s">
        <v>985</v>
      </c>
      <c r="J9" s="11" t="s">
        <v>986</v>
      </c>
      <c r="K9" s="11" t="s">
        <v>766</v>
      </c>
      <c r="L9" s="11" t="n">
        <v>1</v>
      </c>
    </row>
    <row r="10" customFormat="false" ht="15" hidden="false" customHeight="false" outlineLevel="0" collapsed="false">
      <c r="A10" s="2" t="s">
        <v>1683</v>
      </c>
      <c r="B10" s="11" t="s">
        <v>1625</v>
      </c>
      <c r="C10" s="11" t="s">
        <v>1684</v>
      </c>
      <c r="F10" s="11" t="n">
        <v>9</v>
      </c>
      <c r="G10" s="11" t="s">
        <v>985</v>
      </c>
      <c r="H10" s="11" t="s">
        <v>986</v>
      </c>
      <c r="I10" s="11" t="s">
        <v>985</v>
      </c>
      <c r="J10" s="11" t="s">
        <v>986</v>
      </c>
      <c r="K10" s="11" t="s">
        <v>766</v>
      </c>
      <c r="L10" s="11" t="n">
        <v>1</v>
      </c>
    </row>
    <row r="11" customFormat="false" ht="15" hidden="false" customHeight="false" outlineLevel="0" collapsed="false">
      <c r="A11" s="2" t="s">
        <v>1685</v>
      </c>
      <c r="B11" s="11" t="s">
        <v>1686</v>
      </c>
      <c r="C11" s="11" t="s">
        <v>1687</v>
      </c>
      <c r="E11" s="11" t="s">
        <v>1625</v>
      </c>
      <c r="F11" s="11" t="n">
        <v>10</v>
      </c>
      <c r="G11" s="11" t="s">
        <v>985</v>
      </c>
      <c r="H11" s="11" t="s">
        <v>986</v>
      </c>
      <c r="I11" s="11" t="s">
        <v>985</v>
      </c>
      <c r="J11" s="11" t="s">
        <v>986</v>
      </c>
      <c r="K11" s="11" t="s">
        <v>766</v>
      </c>
      <c r="L11" s="11" t="n">
        <v>1</v>
      </c>
      <c r="O11" s="11" t="s">
        <v>1676</v>
      </c>
    </row>
    <row r="12" customFormat="false" ht="15" hidden="false" customHeight="false" outlineLevel="0" collapsed="false">
      <c r="A12" s="2" t="s">
        <v>1688</v>
      </c>
      <c r="B12" s="11" t="s">
        <v>1689</v>
      </c>
      <c r="C12" s="11" t="s">
        <v>1690</v>
      </c>
      <c r="E12" s="11" t="s">
        <v>1636</v>
      </c>
      <c r="F12" s="11" t="n">
        <v>11</v>
      </c>
      <c r="G12" s="11" t="s">
        <v>985</v>
      </c>
      <c r="H12" s="11" t="s">
        <v>986</v>
      </c>
      <c r="I12" s="11" t="s">
        <v>985</v>
      </c>
      <c r="J12" s="11" t="s">
        <v>986</v>
      </c>
      <c r="K12" s="11" t="s">
        <v>766</v>
      </c>
      <c r="L12" s="11" t="n">
        <v>1</v>
      </c>
      <c r="O12" s="11" t="s">
        <v>1676</v>
      </c>
    </row>
    <row r="13" customFormat="false" ht="15" hidden="false" customHeight="false" outlineLevel="0" collapsed="false">
      <c r="A13" s="2" t="s">
        <v>1691</v>
      </c>
      <c r="B13" s="11" t="s">
        <v>1692</v>
      </c>
      <c r="C13" s="11" t="s">
        <v>1693</v>
      </c>
      <c r="F13" s="11" t="n">
        <v>12</v>
      </c>
      <c r="G13" s="11" t="s">
        <v>985</v>
      </c>
      <c r="H13" s="11" t="s">
        <v>986</v>
      </c>
      <c r="I13" s="11" t="s">
        <v>985</v>
      </c>
      <c r="J13" s="11" t="s">
        <v>986</v>
      </c>
      <c r="K13" s="11" t="s">
        <v>766</v>
      </c>
      <c r="L13" s="11" t="n">
        <v>1</v>
      </c>
    </row>
    <row r="14" customFormat="false" ht="15" hidden="false" customHeight="false" outlineLevel="0" collapsed="false">
      <c r="A14" s="2" t="s">
        <v>1694</v>
      </c>
      <c r="B14" s="11" t="s">
        <v>1664</v>
      </c>
      <c r="C14" s="11" t="s">
        <v>1695</v>
      </c>
      <c r="F14" s="11" t="n">
        <v>13</v>
      </c>
      <c r="G14" s="11" t="s">
        <v>985</v>
      </c>
      <c r="H14" s="11" t="s">
        <v>986</v>
      </c>
      <c r="I14" s="11" t="s">
        <v>985</v>
      </c>
      <c r="J14" s="11" t="s">
        <v>986</v>
      </c>
      <c r="K14" s="11" t="s">
        <v>766</v>
      </c>
      <c r="L14" s="11" t="n">
        <v>1</v>
      </c>
    </row>
    <row r="15" customFormat="false" ht="15" hidden="false" customHeight="false" outlineLevel="0" collapsed="false">
      <c r="A15" s="2" t="s">
        <v>1696</v>
      </c>
      <c r="B15" s="11" t="s">
        <v>1659</v>
      </c>
      <c r="C15" s="11" t="s">
        <v>1697</v>
      </c>
      <c r="F15" s="11" t="n">
        <v>14</v>
      </c>
      <c r="G15" s="11" t="s">
        <v>985</v>
      </c>
      <c r="H15" s="11" t="s">
        <v>986</v>
      </c>
      <c r="I15" s="11" t="s">
        <v>985</v>
      </c>
      <c r="J15" s="11" t="s">
        <v>986</v>
      </c>
      <c r="K15" s="11" t="s">
        <v>766</v>
      </c>
      <c r="L15" s="11" t="n">
        <v>1</v>
      </c>
    </row>
    <row r="16" customFormat="false" ht="15" hidden="false" customHeight="false" outlineLevel="0" collapsed="false">
      <c r="A16" s="2" t="s">
        <v>1698</v>
      </c>
      <c r="B16" s="11" t="s">
        <v>1699</v>
      </c>
      <c r="C16" s="11" t="s">
        <v>1700</v>
      </c>
      <c r="E16" s="11" t="s">
        <v>1659</v>
      </c>
      <c r="F16" s="11" t="n">
        <v>15</v>
      </c>
      <c r="G16" s="11" t="s">
        <v>985</v>
      </c>
      <c r="H16" s="11" t="s">
        <v>986</v>
      </c>
      <c r="I16" s="11" t="s">
        <v>985</v>
      </c>
      <c r="J16" s="11" t="s">
        <v>986</v>
      </c>
      <c r="K16" s="11" t="s">
        <v>766</v>
      </c>
      <c r="L16" s="11" t="n">
        <v>1</v>
      </c>
      <c r="O16" s="11" t="s">
        <v>1676</v>
      </c>
    </row>
    <row r="17" customFormat="false" ht="15" hidden="false" customHeight="false" outlineLevel="0" collapsed="false">
      <c r="A17" s="2" t="s">
        <v>1701</v>
      </c>
      <c r="B17" s="11" t="s">
        <v>1702</v>
      </c>
      <c r="C17" s="11" t="s">
        <v>1703</v>
      </c>
      <c r="E17" s="11" t="s">
        <v>1659</v>
      </c>
      <c r="F17" s="11" t="n">
        <v>16</v>
      </c>
      <c r="G17" s="11" t="s">
        <v>985</v>
      </c>
      <c r="H17" s="11" t="s">
        <v>986</v>
      </c>
      <c r="I17" s="11" t="s">
        <v>985</v>
      </c>
      <c r="J17" s="11" t="s">
        <v>986</v>
      </c>
      <c r="K17" s="11" t="s">
        <v>766</v>
      </c>
      <c r="L17" s="11" t="n">
        <v>1</v>
      </c>
      <c r="O17" s="11" t="s">
        <v>1676</v>
      </c>
    </row>
    <row r="18" customFormat="false" ht="15" hidden="false" customHeight="false" outlineLevel="0" collapsed="false">
      <c r="A18" s="2" t="s">
        <v>1704</v>
      </c>
      <c r="B18" s="11" t="s">
        <v>1646</v>
      </c>
      <c r="C18" s="11" t="s">
        <v>1705</v>
      </c>
      <c r="F18" s="11" t="n">
        <v>17</v>
      </c>
      <c r="G18" s="11" t="s">
        <v>985</v>
      </c>
      <c r="H18" s="11" t="s">
        <v>986</v>
      </c>
      <c r="I18" s="11" t="s">
        <v>985</v>
      </c>
      <c r="J18" s="11" t="s">
        <v>986</v>
      </c>
      <c r="K18" s="11" t="s">
        <v>766</v>
      </c>
      <c r="L18" s="11" t="n">
        <v>1</v>
      </c>
    </row>
    <row r="19" customFormat="false" ht="15" hidden="false" customHeight="false" outlineLevel="0" collapsed="false">
      <c r="A19" s="2" t="s">
        <v>1706</v>
      </c>
      <c r="B19" s="11" t="s">
        <v>1707</v>
      </c>
      <c r="C19" s="11" t="s">
        <v>1708</v>
      </c>
      <c r="E19" s="11" t="s">
        <v>1686</v>
      </c>
      <c r="F19" s="11" t="n">
        <v>18</v>
      </c>
      <c r="G19" s="11" t="s">
        <v>985</v>
      </c>
      <c r="H19" s="11" t="s">
        <v>986</v>
      </c>
      <c r="I19" s="11" t="s">
        <v>985</v>
      </c>
      <c r="J19" s="11" t="s">
        <v>986</v>
      </c>
      <c r="K19" s="11" t="s">
        <v>766</v>
      </c>
      <c r="L19" s="11" t="n">
        <v>1</v>
      </c>
      <c r="O19" s="11" t="s">
        <v>1676</v>
      </c>
    </row>
    <row r="20" customFormat="false" ht="15" hidden="false" customHeight="false" outlineLevel="0" collapsed="false">
      <c r="A20" s="2" t="s">
        <v>1709</v>
      </c>
      <c r="B20" s="11" t="s">
        <v>1710</v>
      </c>
      <c r="C20" s="11" t="s">
        <v>1711</v>
      </c>
      <c r="F20" s="11" t="n">
        <v>19</v>
      </c>
      <c r="G20" s="11" t="s">
        <v>985</v>
      </c>
      <c r="H20" s="11" t="s">
        <v>986</v>
      </c>
      <c r="I20" s="11" t="s">
        <v>985</v>
      </c>
      <c r="J20" s="11" t="s">
        <v>986</v>
      </c>
      <c r="K20" s="11" t="s">
        <v>766</v>
      </c>
      <c r="L20" s="11" t="n">
        <v>1</v>
      </c>
    </row>
  </sheetData>
  <autoFilter ref="A1:O20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E2:E1020" type="list">
      <formula1>financieel_thema!$B$2:$B$2000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20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7" min="5" style="0" width="40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40"/>
    <col collapsed="false" customWidth="true" hidden="false" outlineLevel="0" max="11" min="11" style="0" width="25"/>
    <col collapsed="false" customWidth="true" hidden="false" outlineLevel="0" max="12" min="12" style="0" width="18"/>
    <col collapsed="false" customWidth="true" hidden="false" outlineLevel="0" max="16" min="13" style="0" width="14"/>
    <col collapsed="false" customWidth="true" hidden="false" outlineLevel="0" max="17" min="17" style="0" width="40"/>
    <col collapsed="false" customWidth="true" hidden="false" outlineLevel="0" max="18" min="18" style="0" width="17"/>
    <col collapsed="false" customWidth="true" hidden="false" outlineLevel="0" max="20" min="19" style="0" width="14"/>
    <col collapsed="false" customWidth="true" hidden="false" outlineLevel="0" max="21" min="21" style="0" width="40"/>
  </cols>
  <sheetData>
    <row r="1" customFormat="false" ht="15" hidden="false" customHeight="false" outlineLevel="0" collapsed="false">
      <c r="A1" s="13" t="s">
        <v>427</v>
      </c>
      <c r="B1" s="13" t="s">
        <v>428</v>
      </c>
      <c r="C1" s="13" t="s">
        <v>264</v>
      </c>
      <c r="D1" s="13" t="s">
        <v>429</v>
      </c>
      <c r="E1" s="13" t="s">
        <v>431</v>
      </c>
      <c r="F1" s="14" t="s">
        <v>319</v>
      </c>
      <c r="G1" s="14" t="s">
        <v>432</v>
      </c>
      <c r="H1" s="14" t="s">
        <v>434</v>
      </c>
      <c r="I1" s="14" t="s">
        <v>435</v>
      </c>
      <c r="J1" s="14" t="s">
        <v>436</v>
      </c>
      <c r="K1" s="13" t="s">
        <v>437</v>
      </c>
      <c r="L1" s="13" t="s">
        <v>438</v>
      </c>
      <c r="M1" s="15" t="s">
        <v>292</v>
      </c>
      <c r="N1" s="15" t="s">
        <v>295</v>
      </c>
      <c r="O1" s="15" t="s">
        <v>298</v>
      </c>
      <c r="P1" s="15" t="s">
        <v>300</v>
      </c>
      <c r="Q1" s="15" t="s">
        <v>302</v>
      </c>
      <c r="R1" s="15" t="s">
        <v>305</v>
      </c>
      <c r="S1" s="15" t="s">
        <v>307</v>
      </c>
      <c r="T1" s="15" t="s">
        <v>310</v>
      </c>
      <c r="U1" s="15" t="s">
        <v>312</v>
      </c>
    </row>
    <row r="2" customFormat="false" ht="15" hidden="false" customHeight="false" outlineLevel="0" collapsed="false">
      <c r="A2" s="2" t="s">
        <v>1712</v>
      </c>
      <c r="B2" s="11" t="s">
        <v>1713</v>
      </c>
      <c r="C2" s="11" t="s">
        <v>1714</v>
      </c>
      <c r="D2" s="11" t="s">
        <v>1715</v>
      </c>
      <c r="E2" s="11" t="s">
        <v>1716</v>
      </c>
      <c r="G2" s="11" t="s">
        <v>742</v>
      </c>
      <c r="H2" s="11" t="s">
        <v>1717</v>
      </c>
      <c r="I2" s="11" t="s">
        <v>1718</v>
      </c>
      <c r="K2" s="11" t="s">
        <v>258</v>
      </c>
      <c r="L2" s="11" t="s">
        <v>272</v>
      </c>
      <c r="M2" s="11" t="s">
        <v>1144</v>
      </c>
      <c r="N2" s="11" t="s">
        <v>1145</v>
      </c>
      <c r="O2" s="11" t="s">
        <v>1144</v>
      </c>
      <c r="P2" s="11" t="s">
        <v>1145</v>
      </c>
      <c r="Q2" s="11" t="s">
        <v>766</v>
      </c>
      <c r="R2" s="11" t="n">
        <v>1</v>
      </c>
      <c r="U2" s="11" t="s">
        <v>27</v>
      </c>
    </row>
    <row r="3" customFormat="false" ht="15" hidden="false" customHeight="false" outlineLevel="0" collapsed="false">
      <c r="A3" s="2" t="s">
        <v>1719</v>
      </c>
      <c r="B3" s="11" t="s">
        <v>1720</v>
      </c>
      <c r="C3" s="11" t="s">
        <v>1721</v>
      </c>
      <c r="D3" s="11" t="s">
        <v>1722</v>
      </c>
      <c r="E3" s="11" t="s">
        <v>1723</v>
      </c>
      <c r="G3" s="11" t="s">
        <v>742</v>
      </c>
      <c r="H3" s="11" t="s">
        <v>1717</v>
      </c>
      <c r="I3" s="11" t="s">
        <v>1718</v>
      </c>
      <c r="K3" s="11" t="s">
        <v>258</v>
      </c>
      <c r="L3" s="11" t="s">
        <v>272</v>
      </c>
      <c r="M3" s="11" t="s">
        <v>1144</v>
      </c>
      <c r="N3" s="11" t="s">
        <v>1145</v>
      </c>
      <c r="O3" s="11" t="s">
        <v>1144</v>
      </c>
      <c r="P3" s="11" t="s">
        <v>1145</v>
      </c>
      <c r="Q3" s="11" t="s">
        <v>766</v>
      </c>
      <c r="R3" s="11" t="n">
        <v>1</v>
      </c>
      <c r="U3" s="11" t="s">
        <v>27</v>
      </c>
    </row>
    <row r="4" customFormat="false" ht="15" hidden="false" customHeight="false" outlineLevel="0" collapsed="false">
      <c r="A4" s="2" t="s">
        <v>1724</v>
      </c>
      <c r="B4" s="11" t="s">
        <v>1725</v>
      </c>
      <c r="C4" s="11" t="s">
        <v>1726</v>
      </c>
      <c r="D4" s="11" t="s">
        <v>1727</v>
      </c>
      <c r="E4" s="11" t="s">
        <v>1728</v>
      </c>
      <c r="G4" s="11" t="s">
        <v>1729</v>
      </c>
      <c r="H4" s="11" t="s">
        <v>1717</v>
      </c>
      <c r="I4" s="11" t="s">
        <v>1718</v>
      </c>
      <c r="K4" s="11" t="s">
        <v>258</v>
      </c>
      <c r="L4" s="11" t="s">
        <v>258</v>
      </c>
      <c r="M4" s="11" t="s">
        <v>1144</v>
      </c>
      <c r="N4" s="11" t="s">
        <v>1145</v>
      </c>
      <c r="O4" s="11" t="s">
        <v>1144</v>
      </c>
      <c r="P4" s="11" t="s">
        <v>1145</v>
      </c>
      <c r="Q4" s="11" t="s">
        <v>766</v>
      </c>
      <c r="R4" s="11" t="n">
        <v>1</v>
      </c>
      <c r="U4" s="11" t="s">
        <v>27</v>
      </c>
    </row>
    <row r="5" customFormat="false" ht="15" hidden="false" customHeight="false" outlineLevel="0" collapsed="false">
      <c r="A5" s="2" t="s">
        <v>1730</v>
      </c>
      <c r="B5" s="11" t="s">
        <v>1731</v>
      </c>
      <c r="C5" s="11" t="s">
        <v>1732</v>
      </c>
      <c r="D5" s="11" t="s">
        <v>1733</v>
      </c>
      <c r="E5" s="11" t="s">
        <v>1734</v>
      </c>
      <c r="G5" s="11" t="s">
        <v>1729</v>
      </c>
      <c r="H5" s="11" t="s">
        <v>1717</v>
      </c>
      <c r="I5" s="11" t="s">
        <v>1718</v>
      </c>
      <c r="K5" s="11" t="s">
        <v>258</v>
      </c>
      <c r="L5" s="11" t="s">
        <v>258</v>
      </c>
      <c r="M5" s="11" t="s">
        <v>1144</v>
      </c>
      <c r="N5" s="11" t="s">
        <v>1145</v>
      </c>
      <c r="O5" s="11" t="s">
        <v>1144</v>
      </c>
      <c r="P5" s="11" t="s">
        <v>1145</v>
      </c>
      <c r="Q5" s="11" t="s">
        <v>766</v>
      </c>
      <c r="R5" s="11" t="n">
        <v>1</v>
      </c>
      <c r="U5" s="11" t="s">
        <v>27</v>
      </c>
    </row>
    <row r="6" customFormat="false" ht="15" hidden="false" customHeight="false" outlineLevel="0" collapsed="false">
      <c r="A6" s="2" t="s">
        <v>1735</v>
      </c>
      <c r="B6" s="11" t="s">
        <v>1736</v>
      </c>
      <c r="C6" s="11" t="s">
        <v>1737</v>
      </c>
      <c r="D6" s="11" t="s">
        <v>1738</v>
      </c>
      <c r="E6" s="11" t="s">
        <v>1739</v>
      </c>
      <c r="G6" s="11" t="s">
        <v>742</v>
      </c>
      <c r="H6" s="11" t="s">
        <v>1717</v>
      </c>
      <c r="I6" s="11" t="s">
        <v>1718</v>
      </c>
      <c r="K6" s="11" t="s">
        <v>272</v>
      </c>
      <c r="L6" s="11" t="s">
        <v>258</v>
      </c>
      <c r="M6" s="11" t="s">
        <v>1144</v>
      </c>
      <c r="N6" s="11" t="s">
        <v>1145</v>
      </c>
      <c r="O6" s="11" t="s">
        <v>1144</v>
      </c>
      <c r="P6" s="11" t="s">
        <v>1145</v>
      </c>
      <c r="Q6" s="11" t="s">
        <v>766</v>
      </c>
      <c r="R6" s="11" t="n">
        <v>1</v>
      </c>
      <c r="U6" s="11" t="s">
        <v>27</v>
      </c>
    </row>
    <row r="7" customFormat="false" ht="15" hidden="false" customHeight="false" outlineLevel="0" collapsed="false">
      <c r="A7" s="2" t="s">
        <v>1740</v>
      </c>
      <c r="B7" s="11" t="s">
        <v>1741</v>
      </c>
      <c r="C7" s="11" t="s">
        <v>1742</v>
      </c>
      <c r="D7" s="11" t="s">
        <v>1743</v>
      </c>
      <c r="E7" s="11" t="s">
        <v>1744</v>
      </c>
      <c r="G7" s="11" t="s">
        <v>1729</v>
      </c>
      <c r="H7" s="11" t="s">
        <v>1717</v>
      </c>
      <c r="I7" s="11" t="s">
        <v>1718</v>
      </c>
      <c r="K7" s="11" t="s">
        <v>258</v>
      </c>
      <c r="L7" s="11" t="s">
        <v>272</v>
      </c>
      <c r="M7" s="11" t="s">
        <v>1144</v>
      </c>
      <c r="N7" s="11" t="s">
        <v>1145</v>
      </c>
      <c r="O7" s="11" t="s">
        <v>1144</v>
      </c>
      <c r="P7" s="11" t="s">
        <v>1145</v>
      </c>
      <c r="Q7" s="11" t="s">
        <v>766</v>
      </c>
      <c r="R7" s="11" t="n">
        <v>1</v>
      </c>
      <c r="U7" s="11" t="s">
        <v>27</v>
      </c>
    </row>
    <row r="8" customFormat="false" ht="15" hidden="false" customHeight="false" outlineLevel="0" collapsed="false">
      <c r="A8" s="2" t="s">
        <v>1745</v>
      </c>
      <c r="B8" s="11" t="s">
        <v>1746</v>
      </c>
      <c r="C8" s="11" t="s">
        <v>1747</v>
      </c>
      <c r="D8" s="11" t="s">
        <v>1748</v>
      </c>
      <c r="E8" s="11" t="s">
        <v>1749</v>
      </c>
      <c r="G8" s="11" t="s">
        <v>1729</v>
      </c>
      <c r="H8" s="11" t="s">
        <v>1717</v>
      </c>
      <c r="I8" s="11" t="s">
        <v>1718</v>
      </c>
      <c r="K8" s="11" t="s">
        <v>258</v>
      </c>
      <c r="L8" s="11" t="s">
        <v>258</v>
      </c>
      <c r="M8" s="11" t="s">
        <v>1144</v>
      </c>
      <c r="N8" s="11" t="s">
        <v>1145</v>
      </c>
      <c r="O8" s="11" t="s">
        <v>1144</v>
      </c>
      <c r="P8" s="11" t="s">
        <v>1145</v>
      </c>
      <c r="Q8" s="11" t="s">
        <v>766</v>
      </c>
      <c r="R8" s="11" t="n">
        <v>1</v>
      </c>
      <c r="U8" s="11" t="s">
        <v>27</v>
      </c>
    </row>
    <row r="9" customFormat="false" ht="15" hidden="false" customHeight="false" outlineLevel="0" collapsed="false">
      <c r="A9" s="2" t="s">
        <v>1750</v>
      </c>
      <c r="B9" s="11" t="s">
        <v>1751</v>
      </c>
      <c r="C9" s="11" t="s">
        <v>1752</v>
      </c>
      <c r="D9" s="11" t="s">
        <v>1753</v>
      </c>
      <c r="E9" s="11" t="s">
        <v>1754</v>
      </c>
      <c r="G9" s="11" t="s">
        <v>742</v>
      </c>
      <c r="H9" s="11" t="s">
        <v>1717</v>
      </c>
      <c r="I9" s="11" t="s">
        <v>1718</v>
      </c>
      <c r="K9" s="11" t="s">
        <v>258</v>
      </c>
      <c r="L9" s="11" t="s">
        <v>272</v>
      </c>
      <c r="M9" s="11" t="s">
        <v>1144</v>
      </c>
      <c r="N9" s="11" t="s">
        <v>1145</v>
      </c>
      <c r="O9" s="11" t="s">
        <v>1144</v>
      </c>
      <c r="P9" s="11" t="s">
        <v>1145</v>
      </c>
      <c r="Q9" s="11" t="s">
        <v>766</v>
      </c>
      <c r="R9" s="11" t="n">
        <v>1</v>
      </c>
      <c r="U9" s="11" t="s">
        <v>27</v>
      </c>
    </row>
    <row r="10" customFormat="false" ht="15" hidden="false" customHeight="false" outlineLevel="0" collapsed="false">
      <c r="A10" s="2" t="s">
        <v>1755</v>
      </c>
      <c r="B10" s="11" t="s">
        <v>1756</v>
      </c>
      <c r="C10" s="11" t="s">
        <v>1757</v>
      </c>
      <c r="D10" s="11" t="s">
        <v>1758</v>
      </c>
      <c r="E10" s="11" t="s">
        <v>1759</v>
      </c>
      <c r="G10" s="11" t="s">
        <v>742</v>
      </c>
      <c r="H10" s="11" t="s">
        <v>1717</v>
      </c>
      <c r="I10" s="11" t="s">
        <v>1718</v>
      </c>
      <c r="K10" s="11" t="s">
        <v>258</v>
      </c>
      <c r="L10" s="11" t="s">
        <v>272</v>
      </c>
      <c r="M10" s="11" t="s">
        <v>1144</v>
      </c>
      <c r="N10" s="11" t="s">
        <v>1145</v>
      </c>
      <c r="O10" s="11" t="s">
        <v>1144</v>
      </c>
      <c r="P10" s="11" t="s">
        <v>1145</v>
      </c>
      <c r="Q10" s="11" t="s">
        <v>766</v>
      </c>
      <c r="R10" s="11" t="n">
        <v>1</v>
      </c>
      <c r="U10" s="11" t="s">
        <v>27</v>
      </c>
    </row>
    <row r="11" customFormat="false" ht="15" hidden="false" customHeight="false" outlineLevel="0" collapsed="false">
      <c r="A11" s="2" t="s">
        <v>1760</v>
      </c>
      <c r="B11" s="11" t="s">
        <v>1761</v>
      </c>
      <c r="C11" s="11" t="s">
        <v>1762</v>
      </c>
      <c r="D11" s="11" t="s">
        <v>1763</v>
      </c>
      <c r="E11" s="11" t="s">
        <v>1764</v>
      </c>
      <c r="G11" s="11" t="s">
        <v>742</v>
      </c>
      <c r="H11" s="11" t="s">
        <v>1717</v>
      </c>
      <c r="I11" s="11" t="s">
        <v>1718</v>
      </c>
      <c r="K11" s="11" t="s">
        <v>272</v>
      </c>
      <c r="L11" s="11" t="s">
        <v>258</v>
      </c>
      <c r="M11" s="11" t="s">
        <v>1144</v>
      </c>
      <c r="N11" s="11" t="s">
        <v>1145</v>
      </c>
      <c r="O11" s="11" t="s">
        <v>1144</v>
      </c>
      <c r="P11" s="11" t="s">
        <v>1145</v>
      </c>
      <c r="Q11" s="11" t="s">
        <v>766</v>
      </c>
      <c r="R11" s="11" t="n">
        <v>1</v>
      </c>
      <c r="U11" s="11" t="s">
        <v>27</v>
      </c>
    </row>
    <row r="12" customFormat="false" ht="15" hidden="false" customHeight="false" outlineLevel="0" collapsed="false">
      <c r="A12" s="2" t="s">
        <v>1765</v>
      </c>
      <c r="B12" s="11" t="s">
        <v>1766</v>
      </c>
      <c r="C12" s="11" t="s">
        <v>1767</v>
      </c>
      <c r="D12" s="11" t="s">
        <v>1768</v>
      </c>
      <c r="E12" s="11" t="s">
        <v>1769</v>
      </c>
      <c r="G12" s="11" t="s">
        <v>742</v>
      </c>
      <c r="H12" s="11" t="s">
        <v>1717</v>
      </c>
      <c r="I12" s="11" t="s">
        <v>1718</v>
      </c>
      <c r="K12" s="11" t="s">
        <v>258</v>
      </c>
      <c r="L12" s="11" t="s">
        <v>272</v>
      </c>
      <c r="M12" s="11" t="s">
        <v>1144</v>
      </c>
      <c r="N12" s="11" t="s">
        <v>1145</v>
      </c>
      <c r="O12" s="11" t="s">
        <v>1144</v>
      </c>
      <c r="P12" s="11" t="s">
        <v>1145</v>
      </c>
      <c r="Q12" s="11" t="s">
        <v>766</v>
      </c>
      <c r="R12" s="11" t="n">
        <v>1</v>
      </c>
      <c r="U12" s="11" t="s">
        <v>27</v>
      </c>
    </row>
    <row r="13" customFormat="false" ht="15" hidden="false" customHeight="false" outlineLevel="0" collapsed="false">
      <c r="A13" s="2" t="s">
        <v>1770</v>
      </c>
      <c r="B13" s="11" t="s">
        <v>1771</v>
      </c>
      <c r="C13" s="11" t="s">
        <v>1772</v>
      </c>
      <c r="D13" s="11" t="s">
        <v>1773</v>
      </c>
      <c r="E13" s="11" t="s">
        <v>1774</v>
      </c>
      <c r="G13" s="11" t="s">
        <v>742</v>
      </c>
      <c r="H13" s="11" t="s">
        <v>1717</v>
      </c>
      <c r="I13" s="11" t="s">
        <v>1718</v>
      </c>
      <c r="K13" s="11" t="s">
        <v>272</v>
      </c>
      <c r="L13" s="11" t="s">
        <v>258</v>
      </c>
      <c r="M13" s="11" t="s">
        <v>1144</v>
      </c>
      <c r="N13" s="11" t="s">
        <v>1145</v>
      </c>
      <c r="O13" s="11" t="s">
        <v>1144</v>
      </c>
      <c r="P13" s="11" t="s">
        <v>1145</v>
      </c>
      <c r="Q13" s="11" t="s">
        <v>766</v>
      </c>
      <c r="R13" s="11" t="n">
        <v>1</v>
      </c>
      <c r="U13" s="11" t="s">
        <v>27</v>
      </c>
    </row>
    <row r="14" customFormat="false" ht="15" hidden="false" customHeight="false" outlineLevel="0" collapsed="false">
      <c r="A14" s="2" t="s">
        <v>1775</v>
      </c>
      <c r="B14" s="11" t="s">
        <v>1776</v>
      </c>
      <c r="C14" s="11" t="s">
        <v>1777</v>
      </c>
      <c r="D14" s="11" t="s">
        <v>1778</v>
      </c>
      <c r="E14" s="11" t="s">
        <v>1779</v>
      </c>
      <c r="G14" s="11" t="s">
        <v>742</v>
      </c>
      <c r="H14" s="11" t="s">
        <v>1717</v>
      </c>
      <c r="I14" s="11" t="s">
        <v>1718</v>
      </c>
      <c r="K14" s="11" t="s">
        <v>272</v>
      </c>
      <c r="L14" s="11" t="s">
        <v>258</v>
      </c>
      <c r="M14" s="11" t="s">
        <v>1144</v>
      </c>
      <c r="N14" s="11" t="s">
        <v>1145</v>
      </c>
      <c r="O14" s="11" t="s">
        <v>1144</v>
      </c>
      <c r="P14" s="11" t="s">
        <v>1145</v>
      </c>
      <c r="Q14" s="11" t="s">
        <v>766</v>
      </c>
      <c r="R14" s="11" t="n">
        <v>1</v>
      </c>
      <c r="U14" s="11" t="s">
        <v>27</v>
      </c>
    </row>
    <row r="15" customFormat="false" ht="15" hidden="false" customHeight="false" outlineLevel="0" collapsed="false">
      <c r="A15" s="2" t="s">
        <v>1780</v>
      </c>
      <c r="B15" s="11" t="s">
        <v>1781</v>
      </c>
      <c r="C15" s="11" t="s">
        <v>1782</v>
      </c>
      <c r="D15" s="11" t="s">
        <v>1783</v>
      </c>
      <c r="E15" s="11" t="s">
        <v>1784</v>
      </c>
      <c r="G15" s="11" t="s">
        <v>742</v>
      </c>
      <c r="H15" s="11" t="s">
        <v>1717</v>
      </c>
      <c r="I15" s="11" t="s">
        <v>1718</v>
      </c>
      <c r="K15" s="11" t="s">
        <v>258</v>
      </c>
      <c r="L15" s="11" t="s">
        <v>272</v>
      </c>
      <c r="M15" s="11" t="s">
        <v>1144</v>
      </c>
      <c r="N15" s="11" t="s">
        <v>1145</v>
      </c>
      <c r="O15" s="11" t="s">
        <v>1144</v>
      </c>
      <c r="P15" s="11" t="s">
        <v>1145</v>
      </c>
      <c r="Q15" s="11" t="s">
        <v>766</v>
      </c>
      <c r="R15" s="11" t="n">
        <v>1</v>
      </c>
      <c r="U15" s="11" t="s">
        <v>27</v>
      </c>
    </row>
    <row r="16" customFormat="false" ht="15" hidden="false" customHeight="false" outlineLevel="0" collapsed="false">
      <c r="A16" s="2" t="s">
        <v>1785</v>
      </c>
      <c r="B16" s="11" t="s">
        <v>1786</v>
      </c>
      <c r="C16" s="11" t="s">
        <v>1219</v>
      </c>
      <c r="D16" s="11" t="s">
        <v>1787</v>
      </c>
      <c r="E16" s="11" t="s">
        <v>1788</v>
      </c>
      <c r="G16" s="11" t="s">
        <v>742</v>
      </c>
      <c r="H16" s="11" t="s">
        <v>1717</v>
      </c>
      <c r="I16" s="11" t="s">
        <v>1718</v>
      </c>
      <c r="K16" s="11" t="s">
        <v>258</v>
      </c>
      <c r="L16" s="11" t="s">
        <v>272</v>
      </c>
      <c r="M16" s="11" t="s">
        <v>1144</v>
      </c>
      <c r="N16" s="11" t="s">
        <v>1145</v>
      </c>
      <c r="O16" s="11" t="s">
        <v>1144</v>
      </c>
      <c r="P16" s="11" t="s">
        <v>1145</v>
      </c>
      <c r="Q16" s="11" t="s">
        <v>766</v>
      </c>
      <c r="R16" s="11" t="n">
        <v>1</v>
      </c>
      <c r="U16" s="11" t="s">
        <v>27</v>
      </c>
    </row>
  </sheetData>
  <autoFilter ref="A1:U16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D2:D1016" type="list">
      <formula1>informatietype!$B$2:$B$2000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16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16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16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429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1789</v>
      </c>
      <c r="B2" s="11" t="s">
        <v>1790</v>
      </c>
      <c r="C2" s="11" t="s">
        <v>1791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1792</v>
      </c>
      <c r="B3" s="11" t="s">
        <v>1715</v>
      </c>
      <c r="C3" s="11" t="s">
        <v>1793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1794</v>
      </c>
      <c r="B4" s="11" t="s">
        <v>1722</v>
      </c>
      <c r="C4" s="11" t="s">
        <v>1795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1796</v>
      </c>
      <c r="B5" s="11" t="s">
        <v>1797</v>
      </c>
      <c r="C5" s="11" t="s">
        <v>1798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1799</v>
      </c>
      <c r="B6" s="11" t="s">
        <v>1727</v>
      </c>
      <c r="C6" s="11" t="s">
        <v>1800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1801</v>
      </c>
      <c r="B7" s="11" t="s">
        <v>1733</v>
      </c>
      <c r="C7" s="11" t="s">
        <v>1802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1803</v>
      </c>
      <c r="B8" s="11" t="s">
        <v>1738</v>
      </c>
      <c r="C8" s="11" t="s">
        <v>1804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1805</v>
      </c>
      <c r="B9" s="11" t="s">
        <v>1743</v>
      </c>
      <c r="C9" s="11" t="s">
        <v>1806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1807</v>
      </c>
      <c r="B10" s="11" t="s">
        <v>1748</v>
      </c>
      <c r="C10" s="11" t="s">
        <v>1808</v>
      </c>
      <c r="E10" s="11" t="n">
        <v>9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</row>
    <row r="11" customFormat="false" ht="15" hidden="false" customHeight="false" outlineLevel="0" collapsed="false">
      <c r="A11" s="2" t="s">
        <v>1809</v>
      </c>
      <c r="B11" s="11" t="s">
        <v>1753</v>
      </c>
      <c r="C11" s="11" t="s">
        <v>1810</v>
      </c>
      <c r="E11" s="11" t="n">
        <v>10</v>
      </c>
      <c r="F11" s="11" t="s">
        <v>985</v>
      </c>
      <c r="G11" s="11" t="s">
        <v>986</v>
      </c>
      <c r="H11" s="11" t="s">
        <v>985</v>
      </c>
      <c r="I11" s="11" t="s">
        <v>986</v>
      </c>
      <c r="J11" s="11" t="s">
        <v>766</v>
      </c>
      <c r="K11" s="11" t="n">
        <v>1</v>
      </c>
    </row>
    <row r="12" customFormat="false" ht="15" hidden="false" customHeight="false" outlineLevel="0" collapsed="false">
      <c r="A12" s="2" t="s">
        <v>1811</v>
      </c>
      <c r="B12" s="11" t="s">
        <v>1758</v>
      </c>
      <c r="C12" s="11" t="s">
        <v>1812</v>
      </c>
      <c r="E12" s="11" t="n">
        <v>11</v>
      </c>
      <c r="F12" s="11" t="s">
        <v>985</v>
      </c>
      <c r="G12" s="11" t="s">
        <v>986</v>
      </c>
      <c r="H12" s="11" t="s">
        <v>985</v>
      </c>
      <c r="I12" s="11" t="s">
        <v>986</v>
      </c>
      <c r="J12" s="11" t="s">
        <v>766</v>
      </c>
      <c r="K12" s="11" t="n">
        <v>1</v>
      </c>
    </row>
    <row r="13" customFormat="false" ht="15" hidden="false" customHeight="false" outlineLevel="0" collapsed="false">
      <c r="A13" s="2" t="s">
        <v>1813</v>
      </c>
      <c r="B13" s="11" t="s">
        <v>1763</v>
      </c>
      <c r="C13" s="11" t="s">
        <v>1814</v>
      </c>
      <c r="E13" s="11" t="n">
        <v>12</v>
      </c>
      <c r="F13" s="11" t="s">
        <v>985</v>
      </c>
      <c r="G13" s="11" t="s">
        <v>986</v>
      </c>
      <c r="H13" s="11" t="s">
        <v>985</v>
      </c>
      <c r="I13" s="11" t="s">
        <v>986</v>
      </c>
      <c r="J13" s="11" t="s">
        <v>766</v>
      </c>
      <c r="K13" s="11" t="n">
        <v>1</v>
      </c>
    </row>
    <row r="14" customFormat="false" ht="15" hidden="false" customHeight="false" outlineLevel="0" collapsed="false">
      <c r="A14" s="2" t="s">
        <v>1815</v>
      </c>
      <c r="B14" s="11" t="s">
        <v>1768</v>
      </c>
      <c r="C14" s="11" t="s">
        <v>1816</v>
      </c>
      <c r="E14" s="11" t="n">
        <v>13</v>
      </c>
      <c r="F14" s="11" t="s">
        <v>985</v>
      </c>
      <c r="G14" s="11" t="s">
        <v>986</v>
      </c>
      <c r="H14" s="11" t="s">
        <v>985</v>
      </c>
      <c r="I14" s="11" t="s">
        <v>986</v>
      </c>
      <c r="J14" s="11" t="s">
        <v>766</v>
      </c>
      <c r="K14" s="11" t="n">
        <v>1</v>
      </c>
    </row>
    <row r="15" customFormat="false" ht="15" hidden="false" customHeight="false" outlineLevel="0" collapsed="false">
      <c r="A15" s="2" t="s">
        <v>1817</v>
      </c>
      <c r="B15" s="11" t="s">
        <v>1773</v>
      </c>
      <c r="C15" s="11" t="s">
        <v>1818</v>
      </c>
      <c r="E15" s="11" t="n">
        <v>14</v>
      </c>
      <c r="F15" s="11" t="s">
        <v>985</v>
      </c>
      <c r="G15" s="11" t="s">
        <v>986</v>
      </c>
      <c r="H15" s="11" t="s">
        <v>985</v>
      </c>
      <c r="I15" s="11" t="s">
        <v>986</v>
      </c>
      <c r="J15" s="11" t="s">
        <v>766</v>
      </c>
      <c r="K15" s="11" t="n">
        <v>1</v>
      </c>
    </row>
    <row r="16" customFormat="false" ht="15" hidden="false" customHeight="false" outlineLevel="0" collapsed="false">
      <c r="A16" s="2" t="s">
        <v>1819</v>
      </c>
      <c r="B16" s="11" t="s">
        <v>1778</v>
      </c>
      <c r="C16" s="11" t="s">
        <v>1820</v>
      </c>
      <c r="E16" s="11" t="n">
        <v>15</v>
      </c>
      <c r="F16" s="11" t="s">
        <v>985</v>
      </c>
      <c r="G16" s="11" t="s">
        <v>986</v>
      </c>
      <c r="H16" s="11" t="s">
        <v>985</v>
      </c>
      <c r="I16" s="11" t="s">
        <v>986</v>
      </c>
      <c r="J16" s="11" t="s">
        <v>766</v>
      </c>
      <c r="K16" s="11" t="n">
        <v>1</v>
      </c>
    </row>
    <row r="17" customFormat="false" ht="15" hidden="false" customHeight="false" outlineLevel="0" collapsed="false">
      <c r="A17" s="2" t="s">
        <v>1821</v>
      </c>
      <c r="B17" s="11" t="s">
        <v>1783</v>
      </c>
      <c r="C17" s="11" t="s">
        <v>1822</v>
      </c>
      <c r="E17" s="11" t="n">
        <v>16</v>
      </c>
      <c r="F17" s="11" t="s">
        <v>985</v>
      </c>
      <c r="G17" s="11" t="s">
        <v>986</v>
      </c>
      <c r="H17" s="11" t="s">
        <v>985</v>
      </c>
      <c r="I17" s="11" t="s">
        <v>986</v>
      </c>
      <c r="J17" s="11" t="s">
        <v>766</v>
      </c>
      <c r="K17" s="11" t="n">
        <v>1</v>
      </c>
    </row>
    <row r="18" customFormat="false" ht="15" hidden="false" customHeight="false" outlineLevel="0" collapsed="false">
      <c r="A18" s="2" t="s">
        <v>1823</v>
      </c>
      <c r="B18" s="11" t="s">
        <v>1787</v>
      </c>
      <c r="C18" s="11" t="s">
        <v>1824</v>
      </c>
      <c r="E18" s="11" t="n">
        <v>17</v>
      </c>
      <c r="F18" s="11" t="s">
        <v>985</v>
      </c>
      <c r="G18" s="11" t="s">
        <v>986</v>
      </c>
      <c r="H18" s="11" t="s">
        <v>985</v>
      </c>
      <c r="I18" s="11" t="s">
        <v>986</v>
      </c>
      <c r="J18" s="11" t="s">
        <v>766</v>
      </c>
      <c r="K18" s="11" t="n">
        <v>1</v>
      </c>
    </row>
    <row r="19" customFormat="false" ht="15" hidden="false" customHeight="false" outlineLevel="0" collapsed="false">
      <c r="A19" s="2" t="s">
        <v>1825</v>
      </c>
      <c r="B19" s="11" t="s">
        <v>1826</v>
      </c>
      <c r="C19" s="11" t="s">
        <v>1827</v>
      </c>
      <c r="E19" s="11" t="n">
        <v>18</v>
      </c>
      <c r="F19" s="11" t="s">
        <v>985</v>
      </c>
      <c r="G19" s="11" t="s">
        <v>986</v>
      </c>
      <c r="H19" s="11" t="s">
        <v>985</v>
      </c>
      <c r="I19" s="11" t="s">
        <v>986</v>
      </c>
      <c r="J19" s="11" t="s">
        <v>766</v>
      </c>
      <c r="K19" s="11" t="n">
        <v>1</v>
      </c>
    </row>
  </sheetData>
  <autoFilter ref="A1:N19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9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5"/>
    <col collapsed="false" customWidth="true" hidden="false" outlineLevel="0" max="11" min="8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439</v>
      </c>
      <c r="B1" s="13" t="s">
        <v>315</v>
      </c>
      <c r="C1" s="13" t="s">
        <v>264</v>
      </c>
      <c r="D1" s="14" t="s">
        <v>319</v>
      </c>
      <c r="E1" s="13" t="s">
        <v>440</v>
      </c>
      <c r="F1" s="13" t="s">
        <v>441</v>
      </c>
      <c r="G1" s="14" t="s">
        <v>442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1828</v>
      </c>
      <c r="B2" s="11" t="s">
        <v>1829</v>
      </c>
      <c r="C2" s="11" t="s">
        <v>1830</v>
      </c>
      <c r="E2" s="11" t="s">
        <v>1831</v>
      </c>
      <c r="F2" s="11" t="s">
        <v>272</v>
      </c>
      <c r="G2" s="11" t="s">
        <v>1832</v>
      </c>
      <c r="H2" s="11" t="s">
        <v>985</v>
      </c>
      <c r="I2" s="11" t="s">
        <v>986</v>
      </c>
      <c r="J2" s="11" t="s">
        <v>985</v>
      </c>
      <c r="K2" s="11" t="s">
        <v>986</v>
      </c>
      <c r="L2" s="11" t="s">
        <v>766</v>
      </c>
      <c r="M2" s="11" t="n">
        <v>1</v>
      </c>
      <c r="P2" s="11" t="s">
        <v>1833</v>
      </c>
    </row>
    <row r="3" customFormat="false" ht="15" hidden="false" customHeight="false" outlineLevel="0" collapsed="false">
      <c r="A3" s="2" t="s">
        <v>1834</v>
      </c>
      <c r="B3" s="11" t="s">
        <v>1835</v>
      </c>
      <c r="C3" s="11" t="s">
        <v>1836</v>
      </c>
      <c r="E3" s="11" t="s">
        <v>1831</v>
      </c>
      <c r="F3" s="11" t="s">
        <v>272</v>
      </c>
      <c r="H3" s="11" t="s">
        <v>985</v>
      </c>
      <c r="I3" s="11" t="s">
        <v>986</v>
      </c>
      <c r="J3" s="11" t="s">
        <v>985</v>
      </c>
      <c r="K3" s="11" t="s">
        <v>986</v>
      </c>
      <c r="L3" s="11" t="s">
        <v>766</v>
      </c>
      <c r="M3" s="11" t="n">
        <v>1</v>
      </c>
      <c r="P3" s="11" t="s">
        <v>1837</v>
      </c>
    </row>
    <row r="4" customFormat="false" ht="15" hidden="false" customHeight="false" outlineLevel="0" collapsed="false">
      <c r="A4" s="2" t="s">
        <v>1838</v>
      </c>
      <c r="B4" s="11" t="s">
        <v>1839</v>
      </c>
      <c r="C4" s="11" t="s">
        <v>1840</v>
      </c>
      <c r="E4" s="11" t="s">
        <v>1831</v>
      </c>
      <c r="F4" s="11" t="s">
        <v>272</v>
      </c>
      <c r="G4" s="11" t="s">
        <v>1841</v>
      </c>
      <c r="H4" s="11" t="s">
        <v>985</v>
      </c>
      <c r="I4" s="11" t="s">
        <v>986</v>
      </c>
      <c r="J4" s="11" t="s">
        <v>985</v>
      </c>
      <c r="K4" s="11" t="s">
        <v>986</v>
      </c>
      <c r="L4" s="11" t="s">
        <v>766</v>
      </c>
      <c r="M4" s="11" t="n">
        <v>1</v>
      </c>
      <c r="P4" s="11" t="s">
        <v>1833</v>
      </c>
    </row>
    <row r="5" customFormat="false" ht="15" hidden="false" customHeight="false" outlineLevel="0" collapsed="false">
      <c r="A5" s="2" t="s">
        <v>1842</v>
      </c>
      <c r="B5" s="11" t="s">
        <v>1843</v>
      </c>
      <c r="C5" s="11" t="s">
        <v>1844</v>
      </c>
      <c r="E5" s="11" t="s">
        <v>788</v>
      </c>
      <c r="F5" s="11" t="s">
        <v>272</v>
      </c>
      <c r="G5" s="11" t="s">
        <v>1845</v>
      </c>
      <c r="H5" s="11" t="s">
        <v>985</v>
      </c>
      <c r="I5" s="11" t="s">
        <v>986</v>
      </c>
      <c r="J5" s="11" t="s">
        <v>985</v>
      </c>
      <c r="K5" s="11" t="s">
        <v>986</v>
      </c>
      <c r="L5" s="11" t="s">
        <v>766</v>
      </c>
      <c r="M5" s="11" t="n">
        <v>1</v>
      </c>
      <c r="P5" s="11" t="s">
        <v>1833</v>
      </c>
    </row>
    <row r="6" customFormat="false" ht="15" hidden="false" customHeight="false" outlineLevel="0" collapsed="false">
      <c r="A6" s="2" t="s">
        <v>1846</v>
      </c>
      <c r="B6" s="11" t="s">
        <v>1847</v>
      </c>
      <c r="C6" s="11" t="s">
        <v>1848</v>
      </c>
      <c r="E6" s="11" t="s">
        <v>1849</v>
      </c>
      <c r="F6" s="11" t="s">
        <v>272</v>
      </c>
      <c r="H6" s="11" t="s">
        <v>985</v>
      </c>
      <c r="I6" s="11" t="s">
        <v>986</v>
      </c>
      <c r="J6" s="11" t="s">
        <v>985</v>
      </c>
      <c r="K6" s="11" t="s">
        <v>986</v>
      </c>
      <c r="L6" s="11" t="s">
        <v>766</v>
      </c>
      <c r="M6" s="11" t="n">
        <v>1</v>
      </c>
      <c r="P6" s="11" t="s">
        <v>1837</v>
      </c>
    </row>
    <row r="7" customFormat="false" ht="15" hidden="false" customHeight="false" outlineLevel="0" collapsed="false">
      <c r="A7" s="2" t="s">
        <v>1850</v>
      </c>
      <c r="B7" s="11" t="s">
        <v>1851</v>
      </c>
      <c r="C7" s="11" t="s">
        <v>1852</v>
      </c>
      <c r="E7" s="11" t="s">
        <v>813</v>
      </c>
      <c r="F7" s="11" t="s">
        <v>258</v>
      </c>
      <c r="H7" s="11" t="s">
        <v>985</v>
      </c>
      <c r="I7" s="11" t="s">
        <v>986</v>
      </c>
      <c r="J7" s="11" t="s">
        <v>985</v>
      </c>
      <c r="K7" s="11" t="s">
        <v>986</v>
      </c>
      <c r="L7" s="11" t="s">
        <v>766</v>
      </c>
      <c r="M7" s="11" t="n">
        <v>1</v>
      </c>
      <c r="P7" s="11" t="s">
        <v>1837</v>
      </c>
    </row>
    <row r="8" customFormat="false" ht="15" hidden="false" customHeight="false" outlineLevel="0" collapsed="false">
      <c r="A8" s="2" t="s">
        <v>1853</v>
      </c>
      <c r="B8" s="11" t="s">
        <v>1854</v>
      </c>
      <c r="C8" s="11" t="s">
        <v>1855</v>
      </c>
      <c r="E8" s="11" t="s">
        <v>813</v>
      </c>
      <c r="F8" s="11" t="s">
        <v>258</v>
      </c>
      <c r="H8" s="11" t="s">
        <v>985</v>
      </c>
      <c r="I8" s="11" t="s">
        <v>986</v>
      </c>
      <c r="J8" s="11" t="s">
        <v>985</v>
      </c>
      <c r="K8" s="11" t="s">
        <v>986</v>
      </c>
      <c r="L8" s="11" t="s">
        <v>766</v>
      </c>
      <c r="M8" s="11" t="n">
        <v>1</v>
      </c>
      <c r="P8" s="11" t="s">
        <v>1837</v>
      </c>
    </row>
    <row r="9" customFormat="false" ht="15" hidden="false" customHeight="false" outlineLevel="0" collapsed="false">
      <c r="A9" s="2" t="s">
        <v>1856</v>
      </c>
      <c r="B9" s="11" t="s">
        <v>1857</v>
      </c>
      <c r="C9" s="11" t="s">
        <v>1858</v>
      </c>
      <c r="E9" s="11" t="s">
        <v>813</v>
      </c>
      <c r="F9" s="11" t="s">
        <v>258</v>
      </c>
      <c r="H9" s="11" t="s">
        <v>985</v>
      </c>
      <c r="I9" s="11" t="s">
        <v>986</v>
      </c>
      <c r="J9" s="11" t="s">
        <v>985</v>
      </c>
      <c r="K9" s="11" t="s">
        <v>986</v>
      </c>
      <c r="L9" s="11" t="s">
        <v>766</v>
      </c>
      <c r="M9" s="11" t="n">
        <v>1</v>
      </c>
      <c r="P9" s="11" t="s">
        <v>1837</v>
      </c>
    </row>
    <row r="10" customFormat="false" ht="15" hidden="false" customHeight="false" outlineLevel="0" collapsed="false">
      <c r="A10" s="2" t="s">
        <v>1859</v>
      </c>
      <c r="B10" s="11" t="s">
        <v>1860</v>
      </c>
      <c r="C10" s="11" t="s">
        <v>1861</v>
      </c>
      <c r="E10" s="11" t="s">
        <v>1862</v>
      </c>
      <c r="F10" s="11" t="s">
        <v>258</v>
      </c>
      <c r="H10" s="11" t="s">
        <v>985</v>
      </c>
      <c r="I10" s="11" t="s">
        <v>986</v>
      </c>
      <c r="J10" s="11" t="s">
        <v>985</v>
      </c>
      <c r="K10" s="11" t="s">
        <v>986</v>
      </c>
      <c r="L10" s="11" t="s">
        <v>766</v>
      </c>
      <c r="M10" s="11" t="n">
        <v>1</v>
      </c>
      <c r="P10" s="11" t="s">
        <v>1837</v>
      </c>
    </row>
    <row r="11" customFormat="false" ht="15" hidden="false" customHeight="false" outlineLevel="0" collapsed="false">
      <c r="A11" s="2" t="s">
        <v>1863</v>
      </c>
      <c r="B11" s="11" t="s">
        <v>1864</v>
      </c>
      <c r="C11" s="11" t="s">
        <v>1865</v>
      </c>
      <c r="E11" s="11" t="s">
        <v>1672</v>
      </c>
      <c r="F11" s="11" t="s">
        <v>272</v>
      </c>
      <c r="H11" s="11" t="s">
        <v>985</v>
      </c>
      <c r="I11" s="11" t="s">
        <v>986</v>
      </c>
      <c r="J11" s="11" t="s">
        <v>985</v>
      </c>
      <c r="K11" s="11" t="s">
        <v>986</v>
      </c>
      <c r="L11" s="11" t="s">
        <v>766</v>
      </c>
      <c r="M11" s="11" t="n">
        <v>1</v>
      </c>
      <c r="P11" s="11" t="s">
        <v>1837</v>
      </c>
    </row>
    <row r="12" customFormat="false" ht="15" hidden="false" customHeight="false" outlineLevel="0" collapsed="false">
      <c r="A12" s="2" t="s">
        <v>1866</v>
      </c>
      <c r="B12" s="11" t="s">
        <v>1867</v>
      </c>
      <c r="C12" s="11" t="s">
        <v>1868</v>
      </c>
      <c r="E12" s="11" t="s">
        <v>1869</v>
      </c>
      <c r="F12" s="11" t="s">
        <v>258</v>
      </c>
      <c r="H12" s="11" t="s">
        <v>985</v>
      </c>
      <c r="I12" s="11" t="s">
        <v>986</v>
      </c>
      <c r="J12" s="11" t="s">
        <v>985</v>
      </c>
      <c r="K12" s="11" t="s">
        <v>986</v>
      </c>
      <c r="L12" s="11" t="s">
        <v>766</v>
      </c>
      <c r="M12" s="11" t="n">
        <v>1</v>
      </c>
      <c r="P12" s="11" t="s">
        <v>1837</v>
      </c>
    </row>
    <row r="13" customFormat="false" ht="15" hidden="false" customHeight="false" outlineLevel="0" collapsed="false">
      <c r="A13" s="2" t="s">
        <v>1870</v>
      </c>
      <c r="B13" s="11" t="s">
        <v>1871</v>
      </c>
      <c r="C13" s="11" t="s">
        <v>1872</v>
      </c>
      <c r="E13" s="11" t="s">
        <v>1873</v>
      </c>
      <c r="F13" s="11" t="s">
        <v>272</v>
      </c>
      <c r="H13" s="11" t="s">
        <v>985</v>
      </c>
      <c r="I13" s="11" t="s">
        <v>986</v>
      </c>
      <c r="J13" s="11" t="s">
        <v>985</v>
      </c>
      <c r="K13" s="11" t="s">
        <v>986</v>
      </c>
      <c r="L13" s="11" t="s">
        <v>766</v>
      </c>
      <c r="M13" s="11" t="n">
        <v>1</v>
      </c>
      <c r="P13" s="11" t="s">
        <v>1837</v>
      </c>
    </row>
    <row r="14" customFormat="false" ht="15" hidden="false" customHeight="false" outlineLevel="0" collapsed="false">
      <c r="A14" s="2" t="s">
        <v>1874</v>
      </c>
      <c r="B14" s="11" t="s">
        <v>1875</v>
      </c>
      <c r="C14" s="11" t="s">
        <v>1876</v>
      </c>
      <c r="E14" s="11" t="s">
        <v>1877</v>
      </c>
      <c r="F14" s="11" t="s">
        <v>258</v>
      </c>
      <c r="H14" s="11" t="s">
        <v>985</v>
      </c>
      <c r="I14" s="11" t="s">
        <v>986</v>
      </c>
      <c r="J14" s="11" t="s">
        <v>985</v>
      </c>
      <c r="K14" s="11" t="s">
        <v>986</v>
      </c>
      <c r="L14" s="11" t="s">
        <v>766</v>
      </c>
      <c r="M14" s="11" t="n">
        <v>1</v>
      </c>
      <c r="P14" s="11" t="s">
        <v>1837</v>
      </c>
    </row>
    <row r="15" customFormat="false" ht="15" hidden="false" customHeight="false" outlineLevel="0" collapsed="false">
      <c r="A15" s="2" t="s">
        <v>1878</v>
      </c>
      <c r="B15" s="11" t="s">
        <v>1879</v>
      </c>
      <c r="C15" s="11" t="s">
        <v>1880</v>
      </c>
      <c r="E15" s="11" t="s">
        <v>1881</v>
      </c>
      <c r="F15" s="11" t="s">
        <v>272</v>
      </c>
      <c r="G15" s="11" t="s">
        <v>1882</v>
      </c>
      <c r="H15" s="11" t="s">
        <v>985</v>
      </c>
      <c r="I15" s="11" t="s">
        <v>986</v>
      </c>
      <c r="J15" s="11" t="s">
        <v>985</v>
      </c>
      <c r="K15" s="11" t="s">
        <v>986</v>
      </c>
      <c r="L15" s="11" t="s">
        <v>766</v>
      </c>
      <c r="M15" s="11" t="n">
        <v>1</v>
      </c>
      <c r="P15" s="11" t="s">
        <v>1833</v>
      </c>
    </row>
    <row r="16" customFormat="false" ht="15" hidden="false" customHeight="false" outlineLevel="0" collapsed="false">
      <c r="A16" s="2" t="s">
        <v>1883</v>
      </c>
      <c r="B16" s="11" t="s">
        <v>1884</v>
      </c>
      <c r="C16" s="11" t="s">
        <v>1885</v>
      </c>
      <c r="E16" s="11" t="s">
        <v>1849</v>
      </c>
      <c r="F16" s="11" t="s">
        <v>272</v>
      </c>
      <c r="H16" s="11" t="s">
        <v>985</v>
      </c>
      <c r="I16" s="11" t="s">
        <v>986</v>
      </c>
      <c r="J16" s="11" t="s">
        <v>985</v>
      </c>
      <c r="K16" s="11" t="s">
        <v>986</v>
      </c>
      <c r="L16" s="11" t="s">
        <v>766</v>
      </c>
      <c r="M16" s="11" t="n">
        <v>1</v>
      </c>
      <c r="P16" s="11" t="s">
        <v>1837</v>
      </c>
    </row>
  </sheetData>
  <autoFilter ref="A1:P16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F2:F1016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G2:G1016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16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8" min="4" style="0" width="40"/>
    <col collapsed="false" customWidth="true" hidden="false" outlineLevel="0" max="13" min="9" style="0" width="14"/>
    <col collapsed="false" customWidth="true" hidden="false" outlineLevel="0" max="14" min="14" style="0" width="40"/>
    <col collapsed="false" customWidth="true" hidden="false" outlineLevel="0" max="15" min="15" style="0" width="17"/>
    <col collapsed="false" customWidth="true" hidden="false" outlineLevel="0" max="17" min="16" style="0" width="14"/>
    <col collapsed="false" customWidth="true" hidden="false" outlineLevel="0" max="18" min="18" style="0" width="40"/>
  </cols>
  <sheetData>
    <row r="1" customFormat="false" ht="15" hidden="false" customHeight="false" outlineLevel="0" collapsed="false">
      <c r="A1" s="13" t="s">
        <v>444</v>
      </c>
      <c r="B1" s="13" t="s">
        <v>315</v>
      </c>
      <c r="C1" s="13" t="s">
        <v>445</v>
      </c>
      <c r="D1" s="13" t="s">
        <v>446</v>
      </c>
      <c r="E1" s="14" t="s">
        <v>447</v>
      </c>
      <c r="F1" s="13" t="s">
        <v>448</v>
      </c>
      <c r="G1" s="14" t="s">
        <v>449</v>
      </c>
      <c r="H1" s="14" t="s">
        <v>450</v>
      </c>
      <c r="I1" s="13" t="s">
        <v>285</v>
      </c>
      <c r="J1" s="15" t="s">
        <v>292</v>
      </c>
      <c r="K1" s="15" t="s">
        <v>295</v>
      </c>
      <c r="L1" s="15" t="s">
        <v>298</v>
      </c>
      <c r="M1" s="15" t="s">
        <v>300</v>
      </c>
      <c r="N1" s="15" t="s">
        <v>302</v>
      </c>
      <c r="O1" s="15" t="s">
        <v>305</v>
      </c>
      <c r="P1" s="15" t="s">
        <v>307</v>
      </c>
      <c r="Q1" s="15" t="s">
        <v>310</v>
      </c>
      <c r="R1" s="15" t="s">
        <v>312</v>
      </c>
    </row>
    <row r="2" customFormat="false" ht="15" hidden="false" customHeight="false" outlineLevel="0" collapsed="false">
      <c r="A2" s="2" t="s">
        <v>1886</v>
      </c>
      <c r="B2" s="11" t="s">
        <v>1887</v>
      </c>
      <c r="C2" s="11" t="s">
        <v>1888</v>
      </c>
      <c r="D2" s="11" t="s">
        <v>1889</v>
      </c>
      <c r="F2" s="11" t="s">
        <v>1890</v>
      </c>
      <c r="G2" s="11" t="s">
        <v>1891</v>
      </c>
      <c r="H2" s="11" t="s">
        <v>1892</v>
      </c>
      <c r="I2" s="11" t="n">
        <v>1</v>
      </c>
      <c r="J2" s="11" t="s">
        <v>1144</v>
      </c>
      <c r="K2" s="11" t="s">
        <v>1145</v>
      </c>
      <c r="L2" s="11" t="s">
        <v>1144</v>
      </c>
      <c r="M2" s="11" t="s">
        <v>1145</v>
      </c>
      <c r="N2" s="11" t="s">
        <v>766</v>
      </c>
      <c r="O2" s="11" t="n">
        <v>1</v>
      </c>
      <c r="R2" s="11" t="s">
        <v>27</v>
      </c>
    </row>
    <row r="3" customFormat="false" ht="15" hidden="false" customHeight="false" outlineLevel="0" collapsed="false">
      <c r="A3" s="2" t="s">
        <v>1893</v>
      </c>
      <c r="B3" s="11" t="s">
        <v>1894</v>
      </c>
      <c r="C3" s="11" t="s">
        <v>1895</v>
      </c>
      <c r="D3" s="11" t="s">
        <v>1896</v>
      </c>
      <c r="F3" s="11" t="s">
        <v>1897</v>
      </c>
      <c r="G3" s="11" t="s">
        <v>1898</v>
      </c>
      <c r="H3" s="11" t="s">
        <v>1899</v>
      </c>
      <c r="I3" s="11" t="n">
        <v>2</v>
      </c>
      <c r="J3" s="11" t="s">
        <v>1144</v>
      </c>
      <c r="K3" s="11" t="s">
        <v>1145</v>
      </c>
      <c r="L3" s="11" t="s">
        <v>1144</v>
      </c>
      <c r="M3" s="11" t="s">
        <v>1145</v>
      </c>
      <c r="N3" s="11" t="s">
        <v>766</v>
      </c>
      <c r="O3" s="11" t="n">
        <v>1</v>
      </c>
      <c r="R3" s="11" t="s">
        <v>27</v>
      </c>
    </row>
    <row r="4" customFormat="false" ht="15" hidden="false" customHeight="false" outlineLevel="0" collapsed="false">
      <c r="A4" s="2" t="s">
        <v>1900</v>
      </c>
      <c r="B4" s="11" t="s">
        <v>1901</v>
      </c>
      <c r="C4" s="11" t="s">
        <v>1902</v>
      </c>
      <c r="D4" s="11" t="s">
        <v>1903</v>
      </c>
      <c r="F4" s="11" t="s">
        <v>1904</v>
      </c>
      <c r="G4" s="11" t="s">
        <v>1905</v>
      </c>
      <c r="H4" s="11" t="s">
        <v>1906</v>
      </c>
      <c r="I4" s="11" t="n">
        <v>3</v>
      </c>
      <c r="J4" s="11" t="s">
        <v>1144</v>
      </c>
      <c r="K4" s="11" t="s">
        <v>1145</v>
      </c>
      <c r="L4" s="11" t="s">
        <v>1144</v>
      </c>
      <c r="M4" s="11" t="s">
        <v>1145</v>
      </c>
      <c r="N4" s="11" t="s">
        <v>766</v>
      </c>
      <c r="O4" s="11" t="n">
        <v>1</v>
      </c>
      <c r="R4" s="11" t="s">
        <v>27</v>
      </c>
    </row>
    <row r="5" customFormat="false" ht="15" hidden="false" customHeight="false" outlineLevel="0" collapsed="false">
      <c r="A5" s="2" t="s">
        <v>1907</v>
      </c>
      <c r="B5" s="11" t="s">
        <v>1908</v>
      </c>
      <c r="C5" s="11" t="s">
        <v>1909</v>
      </c>
      <c r="D5" s="11" t="s">
        <v>1910</v>
      </c>
      <c r="F5" s="11" t="s">
        <v>1911</v>
      </c>
      <c r="G5" s="11" t="s">
        <v>1912</v>
      </c>
      <c r="H5" s="11" t="s">
        <v>1913</v>
      </c>
      <c r="I5" s="11" t="n">
        <v>4</v>
      </c>
      <c r="J5" s="11" t="s">
        <v>1144</v>
      </c>
      <c r="K5" s="11" t="s">
        <v>1145</v>
      </c>
      <c r="L5" s="11" t="s">
        <v>1144</v>
      </c>
      <c r="M5" s="11" t="s">
        <v>1145</v>
      </c>
      <c r="N5" s="11" t="s">
        <v>766</v>
      </c>
      <c r="O5" s="11" t="n">
        <v>1</v>
      </c>
      <c r="R5" s="11" t="s">
        <v>27</v>
      </c>
    </row>
    <row r="6" customFormat="false" ht="15" hidden="false" customHeight="false" outlineLevel="0" collapsed="false">
      <c r="A6" s="2" t="s">
        <v>1914</v>
      </c>
      <c r="B6" s="11" t="s">
        <v>1915</v>
      </c>
      <c r="C6" s="11" t="s">
        <v>1916</v>
      </c>
      <c r="D6" s="11" t="s">
        <v>1917</v>
      </c>
      <c r="F6" s="11" t="s">
        <v>1918</v>
      </c>
      <c r="G6" s="11" t="s">
        <v>1919</v>
      </c>
      <c r="H6" s="11" t="s">
        <v>1920</v>
      </c>
      <c r="I6" s="11" t="n">
        <v>5</v>
      </c>
      <c r="J6" s="11" t="s">
        <v>1144</v>
      </c>
      <c r="K6" s="11" t="s">
        <v>1145</v>
      </c>
      <c r="L6" s="11" t="s">
        <v>1144</v>
      </c>
      <c r="M6" s="11" t="s">
        <v>1145</v>
      </c>
      <c r="N6" s="11" t="s">
        <v>766</v>
      </c>
      <c r="O6" s="11" t="n">
        <v>1</v>
      </c>
      <c r="R6" s="11" t="s">
        <v>27</v>
      </c>
    </row>
    <row r="7" customFormat="false" ht="15" hidden="false" customHeight="false" outlineLevel="0" collapsed="false">
      <c r="A7" s="2" t="s">
        <v>1921</v>
      </c>
      <c r="B7" s="11" t="s">
        <v>1922</v>
      </c>
      <c r="C7" s="11" t="s">
        <v>1923</v>
      </c>
      <c r="D7" s="11" t="s">
        <v>1924</v>
      </c>
      <c r="F7" s="11" t="s">
        <v>1925</v>
      </c>
      <c r="G7" s="11" t="s">
        <v>1926</v>
      </c>
      <c r="H7" s="11" t="s">
        <v>1927</v>
      </c>
      <c r="I7" s="11" t="n">
        <v>6</v>
      </c>
      <c r="J7" s="11" t="s">
        <v>1144</v>
      </c>
      <c r="K7" s="11" t="s">
        <v>1145</v>
      </c>
      <c r="L7" s="11" t="s">
        <v>1144</v>
      </c>
      <c r="M7" s="11" t="s">
        <v>1145</v>
      </c>
      <c r="N7" s="11" t="s">
        <v>766</v>
      </c>
      <c r="O7" s="11" t="n">
        <v>1</v>
      </c>
      <c r="R7" s="11" t="s">
        <v>27</v>
      </c>
    </row>
    <row r="8" customFormat="false" ht="15" hidden="false" customHeight="false" outlineLevel="0" collapsed="false">
      <c r="A8" s="2" t="s">
        <v>1928</v>
      </c>
      <c r="B8" s="11" t="s">
        <v>1929</v>
      </c>
      <c r="C8" s="11" t="s">
        <v>1930</v>
      </c>
      <c r="D8" s="11" t="s">
        <v>1931</v>
      </c>
      <c r="F8" s="11" t="s">
        <v>1932</v>
      </c>
      <c r="G8" s="11" t="s">
        <v>1933</v>
      </c>
      <c r="H8" s="11" t="s">
        <v>1934</v>
      </c>
      <c r="I8" s="11" t="n">
        <v>7</v>
      </c>
      <c r="J8" s="11" t="s">
        <v>1144</v>
      </c>
      <c r="K8" s="11" t="s">
        <v>1145</v>
      </c>
      <c r="L8" s="11" t="s">
        <v>1144</v>
      </c>
      <c r="M8" s="11" t="s">
        <v>1145</v>
      </c>
      <c r="N8" s="11" t="s">
        <v>766</v>
      </c>
      <c r="O8" s="11" t="n">
        <v>1</v>
      </c>
      <c r="R8" s="11" t="s">
        <v>27</v>
      </c>
    </row>
    <row r="9" customFormat="false" ht="15" hidden="false" customHeight="false" outlineLevel="0" collapsed="false">
      <c r="A9" s="2" t="s">
        <v>1935</v>
      </c>
      <c r="B9" s="11" t="s">
        <v>1936</v>
      </c>
      <c r="C9" s="11" t="s">
        <v>1937</v>
      </c>
      <c r="D9" s="11" t="s">
        <v>1938</v>
      </c>
      <c r="F9" s="11" t="s">
        <v>1939</v>
      </c>
      <c r="G9" s="11" t="s">
        <v>1940</v>
      </c>
      <c r="H9" s="11" t="s">
        <v>1941</v>
      </c>
      <c r="I9" s="11" t="n">
        <v>8</v>
      </c>
      <c r="J9" s="11" t="s">
        <v>1144</v>
      </c>
      <c r="K9" s="11" t="s">
        <v>1145</v>
      </c>
      <c r="L9" s="11" t="s">
        <v>1144</v>
      </c>
      <c r="M9" s="11" t="s">
        <v>1145</v>
      </c>
      <c r="N9" s="11" t="s">
        <v>766</v>
      </c>
      <c r="O9" s="11" t="n">
        <v>1</v>
      </c>
      <c r="R9" s="11" t="s">
        <v>27</v>
      </c>
    </row>
    <row r="10" customFormat="false" ht="15" hidden="false" customHeight="false" outlineLevel="0" collapsed="false">
      <c r="A10" s="2" t="s">
        <v>1942</v>
      </c>
      <c r="B10" s="11" t="s">
        <v>1943</v>
      </c>
      <c r="C10" s="11" t="s">
        <v>1944</v>
      </c>
      <c r="D10" s="11" t="s">
        <v>1945</v>
      </c>
      <c r="F10" s="11" t="s">
        <v>1946</v>
      </c>
      <c r="G10" s="11" t="s">
        <v>1947</v>
      </c>
      <c r="H10" s="11" t="s">
        <v>1948</v>
      </c>
      <c r="I10" s="11" t="n">
        <v>9</v>
      </c>
      <c r="J10" s="11" t="s">
        <v>1144</v>
      </c>
      <c r="K10" s="11" t="s">
        <v>1145</v>
      </c>
      <c r="L10" s="11" t="s">
        <v>1144</v>
      </c>
      <c r="M10" s="11" t="s">
        <v>1145</v>
      </c>
      <c r="N10" s="11" t="s">
        <v>766</v>
      </c>
      <c r="O10" s="11" t="n">
        <v>1</v>
      </c>
      <c r="R10" s="11" t="s">
        <v>27</v>
      </c>
    </row>
    <row r="11" customFormat="false" ht="15" hidden="false" customHeight="false" outlineLevel="0" collapsed="false">
      <c r="A11" s="2" t="s">
        <v>1949</v>
      </c>
      <c r="B11" s="11" t="s">
        <v>1950</v>
      </c>
      <c r="C11" s="11" t="s">
        <v>1951</v>
      </c>
      <c r="D11" s="11" t="s">
        <v>1952</v>
      </c>
      <c r="F11" s="11" t="s">
        <v>1953</v>
      </c>
      <c r="G11" s="11" t="s">
        <v>1954</v>
      </c>
      <c r="H11" s="11" t="s">
        <v>1955</v>
      </c>
      <c r="I11" s="11" t="n">
        <v>10</v>
      </c>
      <c r="J11" s="11" t="s">
        <v>1144</v>
      </c>
      <c r="K11" s="11" t="s">
        <v>1145</v>
      </c>
      <c r="L11" s="11" t="s">
        <v>1144</v>
      </c>
      <c r="M11" s="11" t="s">
        <v>1145</v>
      </c>
      <c r="N11" s="11" t="s">
        <v>766</v>
      </c>
      <c r="O11" s="11" t="n">
        <v>1</v>
      </c>
      <c r="R11" s="11" t="s">
        <v>27</v>
      </c>
    </row>
  </sheetData>
  <autoFilter ref="A1:R11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N2:N1011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5" min="4" style="0" width="40"/>
    <col collapsed="false" customWidth="true" hidden="false" outlineLevel="0" max="7" min="6" style="0" width="14"/>
    <col collapsed="false" customWidth="true" hidden="false" outlineLevel="0" max="8" min="8" style="0" width="40"/>
    <col collapsed="false" customWidth="true" hidden="false" outlineLevel="0" max="9" min="9" style="0" width="15"/>
    <col collapsed="false" customWidth="true" hidden="false" outlineLevel="0" max="13" min="10" style="0" width="14"/>
    <col collapsed="false" customWidth="true" hidden="false" outlineLevel="0" max="14" min="14" style="0" width="40"/>
    <col collapsed="false" customWidth="true" hidden="false" outlineLevel="0" max="15" min="15" style="0" width="17"/>
    <col collapsed="false" customWidth="true" hidden="false" outlineLevel="0" max="17" min="16" style="0" width="14"/>
    <col collapsed="false" customWidth="true" hidden="false" outlineLevel="0" max="18" min="18" style="0" width="40"/>
  </cols>
  <sheetData>
    <row r="1" customFormat="false" ht="15" hidden="false" customHeight="false" outlineLevel="0" collapsed="false">
      <c r="A1" s="13" t="s">
        <v>451</v>
      </c>
      <c r="B1" s="13" t="s">
        <v>315</v>
      </c>
      <c r="C1" s="13" t="s">
        <v>264</v>
      </c>
      <c r="D1" s="13" t="s">
        <v>319</v>
      </c>
      <c r="E1" s="13" t="s">
        <v>452</v>
      </c>
      <c r="F1" s="14" t="s">
        <v>455</v>
      </c>
      <c r="G1" s="14" t="s">
        <v>456</v>
      </c>
      <c r="H1" s="13" t="s">
        <v>457</v>
      </c>
      <c r="I1" s="13" t="s">
        <v>458</v>
      </c>
      <c r="J1" s="15" t="s">
        <v>292</v>
      </c>
      <c r="K1" s="15" t="s">
        <v>295</v>
      </c>
      <c r="L1" s="15" t="s">
        <v>298</v>
      </c>
      <c r="M1" s="15" t="s">
        <v>300</v>
      </c>
      <c r="N1" s="15" t="s">
        <v>302</v>
      </c>
      <c r="O1" s="15" t="s">
        <v>305</v>
      </c>
      <c r="P1" s="15" t="s">
        <v>307</v>
      </c>
      <c r="Q1" s="15" t="s">
        <v>310</v>
      </c>
      <c r="R1" s="15" t="s">
        <v>312</v>
      </c>
    </row>
    <row r="2" customFormat="false" ht="15" hidden="false" customHeight="false" outlineLevel="0" collapsed="false">
      <c r="A2" s="2" t="s">
        <v>1956</v>
      </c>
      <c r="B2" s="11" t="s">
        <v>1957</v>
      </c>
      <c r="C2" s="11" t="s">
        <v>1958</v>
      </c>
      <c r="D2" s="11" t="s">
        <v>1959</v>
      </c>
      <c r="E2" s="11" t="s">
        <v>747</v>
      </c>
      <c r="F2" s="11" t="s">
        <v>750</v>
      </c>
      <c r="G2" s="11" t="s">
        <v>1960</v>
      </c>
      <c r="H2" s="11" t="s">
        <v>815</v>
      </c>
      <c r="I2" s="11" t="s">
        <v>272</v>
      </c>
      <c r="J2" s="11" t="s">
        <v>1144</v>
      </c>
      <c r="K2" s="11" t="s">
        <v>1145</v>
      </c>
      <c r="L2" s="11" t="s">
        <v>1144</v>
      </c>
      <c r="M2" s="11" t="s">
        <v>1145</v>
      </c>
      <c r="N2" s="11" t="s">
        <v>766</v>
      </c>
      <c r="O2" s="11" t="n">
        <v>1</v>
      </c>
      <c r="R2" s="11" t="s">
        <v>27</v>
      </c>
    </row>
    <row r="3" customFormat="false" ht="15" hidden="false" customHeight="false" outlineLevel="0" collapsed="false">
      <c r="A3" s="2" t="s">
        <v>1961</v>
      </c>
      <c r="B3" s="11" t="s">
        <v>1962</v>
      </c>
      <c r="C3" s="11" t="s">
        <v>1963</v>
      </c>
      <c r="D3" s="11" t="s">
        <v>1964</v>
      </c>
      <c r="E3" s="11" t="s">
        <v>772</v>
      </c>
      <c r="F3" s="11" t="s">
        <v>776</v>
      </c>
      <c r="G3" s="11" t="s">
        <v>1965</v>
      </c>
      <c r="H3" s="11" t="s">
        <v>1966</v>
      </c>
      <c r="I3" s="11" t="s">
        <v>272</v>
      </c>
      <c r="J3" s="11" t="s">
        <v>1144</v>
      </c>
      <c r="K3" s="11" t="s">
        <v>1145</v>
      </c>
      <c r="L3" s="11" t="s">
        <v>1144</v>
      </c>
      <c r="M3" s="11" t="s">
        <v>1145</v>
      </c>
      <c r="N3" s="11" t="s">
        <v>766</v>
      </c>
      <c r="O3" s="11" t="n">
        <v>1</v>
      </c>
      <c r="R3" s="11" t="s">
        <v>27</v>
      </c>
    </row>
    <row r="4" customFormat="false" ht="15" hidden="false" customHeight="false" outlineLevel="0" collapsed="false">
      <c r="A4" s="2" t="s">
        <v>1967</v>
      </c>
      <c r="B4" s="11" t="s">
        <v>1968</v>
      </c>
      <c r="C4" s="11" t="s">
        <v>1969</v>
      </c>
      <c r="D4" s="11" t="s">
        <v>1970</v>
      </c>
      <c r="E4" s="11" t="s">
        <v>799</v>
      </c>
      <c r="F4" s="11" t="s">
        <v>750</v>
      </c>
      <c r="G4" s="11" t="s">
        <v>1960</v>
      </c>
      <c r="H4" s="11" t="s">
        <v>815</v>
      </c>
      <c r="I4" s="11" t="s">
        <v>272</v>
      </c>
      <c r="J4" s="11" t="s">
        <v>1144</v>
      </c>
      <c r="K4" s="11" t="s">
        <v>1145</v>
      </c>
      <c r="L4" s="11" t="s">
        <v>1144</v>
      </c>
      <c r="M4" s="11" t="s">
        <v>1145</v>
      </c>
      <c r="N4" s="11" t="s">
        <v>766</v>
      </c>
      <c r="O4" s="11" t="n">
        <v>1</v>
      </c>
      <c r="R4" s="11" t="s">
        <v>27</v>
      </c>
    </row>
    <row r="5" customFormat="false" ht="15" hidden="false" customHeight="false" outlineLevel="0" collapsed="false">
      <c r="A5" s="2" t="s">
        <v>1971</v>
      </c>
      <c r="B5" s="11" t="s">
        <v>1972</v>
      </c>
      <c r="C5" s="11" t="s">
        <v>1973</v>
      </c>
      <c r="D5" s="11" t="s">
        <v>1974</v>
      </c>
      <c r="E5" s="11" t="s">
        <v>821</v>
      </c>
      <c r="F5" s="11" t="s">
        <v>750</v>
      </c>
      <c r="G5" s="11" t="s">
        <v>1960</v>
      </c>
      <c r="H5" s="11" t="s">
        <v>1975</v>
      </c>
      <c r="I5" s="11" t="s">
        <v>272</v>
      </c>
      <c r="J5" s="11" t="s">
        <v>1144</v>
      </c>
      <c r="K5" s="11" t="s">
        <v>1145</v>
      </c>
      <c r="L5" s="11" t="s">
        <v>1144</v>
      </c>
      <c r="M5" s="11" t="s">
        <v>1145</v>
      </c>
      <c r="N5" s="11" t="s">
        <v>766</v>
      </c>
      <c r="O5" s="11" t="n">
        <v>1</v>
      </c>
      <c r="R5" s="11" t="s">
        <v>27</v>
      </c>
    </row>
    <row r="6" customFormat="false" ht="15" hidden="false" customHeight="false" outlineLevel="0" collapsed="false">
      <c r="A6" s="2" t="s">
        <v>1976</v>
      </c>
      <c r="B6" s="11" t="s">
        <v>1977</v>
      </c>
      <c r="C6" s="11" t="s">
        <v>1978</v>
      </c>
      <c r="D6" s="11" t="s">
        <v>1979</v>
      </c>
      <c r="E6" s="11" t="s">
        <v>841</v>
      </c>
      <c r="F6" s="11" t="s">
        <v>776</v>
      </c>
      <c r="G6" s="11" t="s">
        <v>1960</v>
      </c>
      <c r="H6" s="11" t="s">
        <v>815</v>
      </c>
      <c r="I6" s="11" t="s">
        <v>272</v>
      </c>
      <c r="J6" s="11" t="s">
        <v>1144</v>
      </c>
      <c r="K6" s="11" t="s">
        <v>1145</v>
      </c>
      <c r="L6" s="11" t="s">
        <v>1144</v>
      </c>
      <c r="M6" s="11" t="s">
        <v>1145</v>
      </c>
      <c r="N6" s="11" t="s">
        <v>766</v>
      </c>
      <c r="O6" s="11" t="n">
        <v>1</v>
      </c>
      <c r="R6" s="11" t="s">
        <v>27</v>
      </c>
    </row>
    <row r="7" customFormat="false" ht="15" hidden="false" customHeight="false" outlineLevel="0" collapsed="false">
      <c r="A7" s="2" t="s">
        <v>1980</v>
      </c>
      <c r="B7" s="11" t="s">
        <v>1981</v>
      </c>
      <c r="C7" s="11" t="s">
        <v>1982</v>
      </c>
      <c r="D7" s="11" t="s">
        <v>1983</v>
      </c>
      <c r="E7" s="11" t="s">
        <v>888</v>
      </c>
      <c r="F7" s="11" t="s">
        <v>776</v>
      </c>
      <c r="G7" s="11" t="s">
        <v>1965</v>
      </c>
      <c r="H7" s="11" t="s">
        <v>1966</v>
      </c>
      <c r="I7" s="11" t="s">
        <v>272</v>
      </c>
      <c r="J7" s="11" t="s">
        <v>1144</v>
      </c>
      <c r="K7" s="11" t="s">
        <v>1145</v>
      </c>
      <c r="L7" s="11" t="s">
        <v>1144</v>
      </c>
      <c r="M7" s="11" t="s">
        <v>1145</v>
      </c>
      <c r="N7" s="11" t="s">
        <v>766</v>
      </c>
      <c r="O7" s="11" t="n">
        <v>1</v>
      </c>
      <c r="R7" s="11" t="s">
        <v>27</v>
      </c>
    </row>
    <row r="8" customFormat="false" ht="15" hidden="false" customHeight="false" outlineLevel="0" collapsed="false">
      <c r="A8" s="2" t="s">
        <v>1984</v>
      </c>
      <c r="B8" s="11" t="s">
        <v>1985</v>
      </c>
      <c r="C8" s="11" t="s">
        <v>1986</v>
      </c>
      <c r="D8" s="11" t="s">
        <v>1987</v>
      </c>
      <c r="E8" s="11" t="s">
        <v>899</v>
      </c>
      <c r="F8" s="11" t="s">
        <v>776</v>
      </c>
      <c r="G8" s="11" t="s">
        <v>1965</v>
      </c>
      <c r="H8" s="11" t="s">
        <v>815</v>
      </c>
      <c r="I8" s="11" t="s">
        <v>272</v>
      </c>
      <c r="J8" s="11" t="s">
        <v>1144</v>
      </c>
      <c r="K8" s="11" t="s">
        <v>1145</v>
      </c>
      <c r="L8" s="11" t="s">
        <v>1144</v>
      </c>
      <c r="M8" s="11" t="s">
        <v>1145</v>
      </c>
      <c r="N8" s="11" t="s">
        <v>766</v>
      </c>
      <c r="O8" s="11" t="n">
        <v>1</v>
      </c>
      <c r="R8" s="11" t="s">
        <v>27</v>
      </c>
    </row>
    <row r="9" customFormat="false" ht="15" hidden="false" customHeight="false" outlineLevel="0" collapsed="false">
      <c r="A9" s="2" t="s">
        <v>1988</v>
      </c>
      <c r="B9" s="11" t="s">
        <v>1989</v>
      </c>
      <c r="C9" s="11" t="s">
        <v>1990</v>
      </c>
      <c r="D9" s="11" t="s">
        <v>1991</v>
      </c>
      <c r="E9" s="11" t="s">
        <v>880</v>
      </c>
      <c r="F9" s="11" t="s">
        <v>802</v>
      </c>
      <c r="G9" s="11" t="s">
        <v>1965</v>
      </c>
      <c r="H9" s="11" t="s">
        <v>1966</v>
      </c>
      <c r="I9" s="11" t="s">
        <v>272</v>
      </c>
      <c r="J9" s="11" t="s">
        <v>1144</v>
      </c>
      <c r="K9" s="11" t="s">
        <v>1145</v>
      </c>
      <c r="L9" s="11" t="s">
        <v>1144</v>
      </c>
      <c r="M9" s="11" t="s">
        <v>1145</v>
      </c>
      <c r="N9" s="11" t="s">
        <v>766</v>
      </c>
      <c r="O9" s="11" t="n">
        <v>1</v>
      </c>
      <c r="R9" s="11" t="s">
        <v>27</v>
      </c>
    </row>
  </sheetData>
  <autoFilter ref="A1:R9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E2:E1009" type="list">
      <formula1>Keuzelijsten!$G$5:$G$60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I2:I1009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N2:N1009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10" min="9" style="0" width="40"/>
    <col collapsed="false" customWidth="true" hidden="false" outlineLevel="0" max="11" min="11" style="0" width="15"/>
    <col collapsed="false" customWidth="true" hidden="false" outlineLevel="0" max="15" min="12" style="0" width="14"/>
    <col collapsed="false" customWidth="true" hidden="false" outlineLevel="0" max="16" min="16" style="0" width="40"/>
    <col collapsed="false" customWidth="true" hidden="false" outlineLevel="0" max="17" min="17" style="0" width="17"/>
    <col collapsed="false" customWidth="true" hidden="false" outlineLevel="0" max="19" min="18" style="0" width="14"/>
    <col collapsed="false" customWidth="true" hidden="false" outlineLevel="0" max="20" min="20" style="0" width="40"/>
  </cols>
  <sheetData>
    <row r="1" customFormat="false" ht="15" hidden="false" customHeight="false" outlineLevel="0" collapsed="false">
      <c r="A1" s="13" t="s">
        <v>459</v>
      </c>
      <c r="B1" s="13" t="s">
        <v>353</v>
      </c>
      <c r="C1" s="13" t="s">
        <v>461</v>
      </c>
      <c r="D1" s="13" t="s">
        <v>462</v>
      </c>
      <c r="E1" s="13" t="s">
        <v>427</v>
      </c>
      <c r="F1" s="14" t="s">
        <v>439</v>
      </c>
      <c r="G1" s="14" t="s">
        <v>465</v>
      </c>
      <c r="H1" s="14" t="s">
        <v>466</v>
      </c>
      <c r="I1" s="14" t="s">
        <v>436</v>
      </c>
      <c r="J1" s="14" t="s">
        <v>467</v>
      </c>
      <c r="K1" s="13" t="s">
        <v>468</v>
      </c>
      <c r="L1" s="15" t="s">
        <v>292</v>
      </c>
      <c r="M1" s="15" t="s">
        <v>295</v>
      </c>
      <c r="N1" s="15" t="s">
        <v>298</v>
      </c>
      <c r="O1" s="15" t="s">
        <v>300</v>
      </c>
      <c r="P1" s="15" t="s">
        <v>302</v>
      </c>
      <c r="Q1" s="15" t="s">
        <v>305</v>
      </c>
      <c r="R1" s="15" t="s">
        <v>307</v>
      </c>
      <c r="S1" s="15" t="s">
        <v>310</v>
      </c>
      <c r="T1" s="15" t="s">
        <v>312</v>
      </c>
    </row>
    <row r="2" customFormat="false" ht="15" hidden="false" customHeight="false" outlineLevel="0" collapsed="false">
      <c r="A2" s="2" t="s">
        <v>1992</v>
      </c>
      <c r="B2" s="11" t="s">
        <v>1257</v>
      </c>
      <c r="C2" s="11" t="s">
        <v>1354</v>
      </c>
      <c r="D2" s="11" t="s">
        <v>1395</v>
      </c>
      <c r="E2" s="11" t="s">
        <v>1741</v>
      </c>
      <c r="F2" s="11" t="s">
        <v>1847</v>
      </c>
      <c r="G2" s="11" t="s">
        <v>1993</v>
      </c>
      <c r="H2" s="11" t="s">
        <v>1994</v>
      </c>
      <c r="I2" s="11" t="s">
        <v>1995</v>
      </c>
      <c r="J2" s="11" t="s">
        <v>1996</v>
      </c>
      <c r="K2" s="11" t="s">
        <v>258</v>
      </c>
      <c r="L2" s="11" t="s">
        <v>1144</v>
      </c>
      <c r="M2" s="11" t="s">
        <v>1145</v>
      </c>
      <c r="N2" s="11" t="s">
        <v>1144</v>
      </c>
      <c r="O2" s="11" t="s">
        <v>1145</v>
      </c>
      <c r="P2" s="11" t="s">
        <v>766</v>
      </c>
      <c r="Q2" s="11" t="n">
        <v>1</v>
      </c>
      <c r="T2" s="11" t="s">
        <v>27</v>
      </c>
    </row>
    <row r="3" customFormat="false" ht="15" hidden="false" customHeight="false" outlineLevel="0" collapsed="false">
      <c r="A3" s="2" t="s">
        <v>1997</v>
      </c>
      <c r="B3" s="11" t="s">
        <v>1257</v>
      </c>
      <c r="C3" s="11" t="s">
        <v>1395</v>
      </c>
      <c r="D3" s="11" t="s">
        <v>1401</v>
      </c>
      <c r="E3" s="11" t="s">
        <v>1746</v>
      </c>
      <c r="F3" s="11" t="s">
        <v>1839</v>
      </c>
      <c r="G3" s="11" t="s">
        <v>1993</v>
      </c>
      <c r="H3" s="11" t="s">
        <v>1994</v>
      </c>
      <c r="I3" s="11" t="s">
        <v>1995</v>
      </c>
      <c r="J3" s="11" t="s">
        <v>1996</v>
      </c>
      <c r="K3" s="11" t="s">
        <v>258</v>
      </c>
      <c r="L3" s="11" t="s">
        <v>1144</v>
      </c>
      <c r="M3" s="11" t="s">
        <v>1145</v>
      </c>
      <c r="N3" s="11" t="s">
        <v>1144</v>
      </c>
      <c r="O3" s="11" t="s">
        <v>1145</v>
      </c>
      <c r="P3" s="11" t="s">
        <v>766</v>
      </c>
      <c r="Q3" s="11" t="n">
        <v>1</v>
      </c>
      <c r="T3" s="11" t="s">
        <v>27</v>
      </c>
    </row>
    <row r="4" customFormat="false" ht="15" hidden="false" customHeight="false" outlineLevel="0" collapsed="false">
      <c r="A4" s="2" t="s">
        <v>1998</v>
      </c>
      <c r="B4" s="11" t="s">
        <v>1257</v>
      </c>
      <c r="C4" s="11" t="s">
        <v>1418</v>
      </c>
      <c r="D4" s="11" t="s">
        <v>1395</v>
      </c>
      <c r="E4" s="11" t="s">
        <v>1761</v>
      </c>
      <c r="G4" s="11" t="s">
        <v>1993</v>
      </c>
      <c r="H4" s="11" t="s">
        <v>1994</v>
      </c>
      <c r="I4" s="11" t="s">
        <v>1995</v>
      </c>
      <c r="J4" s="11" t="s">
        <v>1996</v>
      </c>
      <c r="K4" s="11" t="s">
        <v>258</v>
      </c>
      <c r="L4" s="11" t="s">
        <v>1144</v>
      </c>
      <c r="M4" s="11" t="s">
        <v>1145</v>
      </c>
      <c r="N4" s="11" t="s">
        <v>1144</v>
      </c>
      <c r="O4" s="11" t="s">
        <v>1145</v>
      </c>
      <c r="P4" s="11" t="s">
        <v>766</v>
      </c>
      <c r="Q4" s="11" t="n">
        <v>1</v>
      </c>
      <c r="T4" s="11" t="s">
        <v>27</v>
      </c>
    </row>
    <row r="5" customFormat="false" ht="15" hidden="false" customHeight="false" outlineLevel="0" collapsed="false">
      <c r="A5" s="2" t="s">
        <v>1999</v>
      </c>
      <c r="B5" s="11" t="s">
        <v>1266</v>
      </c>
      <c r="C5" s="11" t="s">
        <v>1395</v>
      </c>
      <c r="D5" s="11" t="s">
        <v>1428</v>
      </c>
      <c r="E5" s="11" t="s">
        <v>1781</v>
      </c>
      <c r="F5" s="11" t="s">
        <v>1851</v>
      </c>
      <c r="G5" s="11" t="s">
        <v>1993</v>
      </c>
      <c r="H5" s="11" t="s">
        <v>1994</v>
      </c>
      <c r="I5" s="11" t="s">
        <v>1995</v>
      </c>
      <c r="J5" s="11" t="s">
        <v>1996</v>
      </c>
      <c r="K5" s="11" t="s">
        <v>258</v>
      </c>
      <c r="L5" s="11" t="s">
        <v>1144</v>
      </c>
      <c r="M5" s="11" t="s">
        <v>1145</v>
      </c>
      <c r="N5" s="11" t="s">
        <v>1144</v>
      </c>
      <c r="O5" s="11" t="s">
        <v>1145</v>
      </c>
      <c r="P5" s="11" t="s">
        <v>766</v>
      </c>
      <c r="Q5" s="11" t="n">
        <v>1</v>
      </c>
      <c r="T5" s="11" t="s">
        <v>27</v>
      </c>
    </row>
    <row r="6" customFormat="false" ht="15" hidden="false" customHeight="false" outlineLevel="0" collapsed="false">
      <c r="A6" s="2" t="s">
        <v>2000</v>
      </c>
      <c r="B6" s="11" t="s">
        <v>1182</v>
      </c>
      <c r="C6" s="11" t="s">
        <v>1359</v>
      </c>
      <c r="D6" s="11" t="s">
        <v>1348</v>
      </c>
      <c r="E6" s="11" t="s">
        <v>1725</v>
      </c>
      <c r="F6" s="11" t="s">
        <v>1829</v>
      </c>
      <c r="G6" s="11" t="s">
        <v>1993</v>
      </c>
      <c r="H6" s="11" t="s">
        <v>1994</v>
      </c>
      <c r="I6" s="11" t="s">
        <v>1995</v>
      </c>
      <c r="J6" s="11" t="s">
        <v>1996</v>
      </c>
      <c r="K6" s="11" t="s">
        <v>258</v>
      </c>
      <c r="L6" s="11" t="s">
        <v>1144</v>
      </c>
      <c r="M6" s="11" t="s">
        <v>1145</v>
      </c>
      <c r="N6" s="11" t="s">
        <v>1144</v>
      </c>
      <c r="O6" s="11" t="s">
        <v>1145</v>
      </c>
      <c r="P6" s="11" t="s">
        <v>766</v>
      </c>
      <c r="Q6" s="11" t="n">
        <v>1</v>
      </c>
      <c r="T6" s="11" t="s">
        <v>27</v>
      </c>
    </row>
    <row r="7" customFormat="false" ht="15" hidden="false" customHeight="false" outlineLevel="0" collapsed="false">
      <c r="A7" s="2" t="s">
        <v>2001</v>
      </c>
      <c r="B7" s="11" t="s">
        <v>1173</v>
      </c>
      <c r="C7" s="11" t="s">
        <v>1369</v>
      </c>
      <c r="D7" s="11" t="s">
        <v>1354</v>
      </c>
      <c r="E7" s="11" t="s">
        <v>1731</v>
      </c>
      <c r="G7" s="11" t="s">
        <v>1993</v>
      </c>
      <c r="H7" s="11" t="s">
        <v>1994</v>
      </c>
      <c r="I7" s="11" t="s">
        <v>1995</v>
      </c>
      <c r="J7" s="11" t="s">
        <v>1996</v>
      </c>
      <c r="K7" s="11" t="s">
        <v>258</v>
      </c>
      <c r="L7" s="11" t="s">
        <v>1144</v>
      </c>
      <c r="M7" s="11" t="s">
        <v>1145</v>
      </c>
      <c r="N7" s="11" t="s">
        <v>1144</v>
      </c>
      <c r="O7" s="11" t="s">
        <v>1145</v>
      </c>
      <c r="P7" s="11" t="s">
        <v>766</v>
      </c>
      <c r="Q7" s="11" t="n">
        <v>1</v>
      </c>
      <c r="T7" s="11" t="s">
        <v>27</v>
      </c>
    </row>
    <row r="8" customFormat="false" ht="15" hidden="false" customHeight="false" outlineLevel="0" collapsed="false">
      <c r="A8" s="2" t="s">
        <v>2002</v>
      </c>
      <c r="B8" s="11" t="s">
        <v>1173</v>
      </c>
      <c r="C8" s="11" t="s">
        <v>1354</v>
      </c>
      <c r="D8" s="11" t="s">
        <v>1379</v>
      </c>
      <c r="E8" s="11" t="s">
        <v>1720</v>
      </c>
      <c r="F8" s="11" t="s">
        <v>1829</v>
      </c>
      <c r="G8" s="11" t="s">
        <v>1993</v>
      </c>
      <c r="H8" s="11" t="s">
        <v>1994</v>
      </c>
      <c r="I8" s="11" t="s">
        <v>1995</v>
      </c>
      <c r="J8" s="11" t="s">
        <v>1996</v>
      </c>
      <c r="K8" s="11" t="s">
        <v>258</v>
      </c>
      <c r="L8" s="11" t="s">
        <v>1144</v>
      </c>
      <c r="M8" s="11" t="s">
        <v>1145</v>
      </c>
      <c r="N8" s="11" t="s">
        <v>1144</v>
      </c>
      <c r="O8" s="11" t="s">
        <v>1145</v>
      </c>
      <c r="P8" s="11" t="s">
        <v>766</v>
      </c>
      <c r="Q8" s="11" t="n">
        <v>1</v>
      </c>
      <c r="T8" s="11" t="s">
        <v>27</v>
      </c>
    </row>
    <row r="9" customFormat="false" ht="15" hidden="false" customHeight="false" outlineLevel="0" collapsed="false">
      <c r="A9" s="2" t="s">
        <v>2003</v>
      </c>
      <c r="B9" s="11" t="s">
        <v>1285</v>
      </c>
      <c r="C9" s="11" t="s">
        <v>1364</v>
      </c>
      <c r="D9" s="11" t="s">
        <v>1406</v>
      </c>
      <c r="E9" s="11" t="s">
        <v>1741</v>
      </c>
      <c r="F9" s="11" t="s">
        <v>1871</v>
      </c>
      <c r="G9" s="11" t="s">
        <v>1993</v>
      </c>
      <c r="H9" s="11" t="s">
        <v>1994</v>
      </c>
      <c r="I9" s="11" t="s">
        <v>1995</v>
      </c>
      <c r="J9" s="11" t="s">
        <v>1996</v>
      </c>
      <c r="K9" s="11" t="s">
        <v>258</v>
      </c>
      <c r="L9" s="11" t="s">
        <v>1144</v>
      </c>
      <c r="M9" s="11" t="s">
        <v>1145</v>
      </c>
      <c r="N9" s="11" t="s">
        <v>1144</v>
      </c>
      <c r="O9" s="11" t="s">
        <v>1145</v>
      </c>
      <c r="P9" s="11" t="s">
        <v>766</v>
      </c>
      <c r="Q9" s="11" t="n">
        <v>1</v>
      </c>
      <c r="T9" s="11" t="s">
        <v>27</v>
      </c>
    </row>
    <row r="10" customFormat="false" ht="15" hidden="false" customHeight="false" outlineLevel="0" collapsed="false">
      <c r="A10" s="2" t="s">
        <v>2004</v>
      </c>
      <c r="B10" s="11" t="s">
        <v>1295</v>
      </c>
      <c r="C10" s="11" t="s">
        <v>1369</v>
      </c>
      <c r="D10" s="11" t="s">
        <v>1374</v>
      </c>
      <c r="E10" s="11" t="s">
        <v>1746</v>
      </c>
      <c r="F10" s="11" t="s">
        <v>1875</v>
      </c>
      <c r="G10" s="11" t="s">
        <v>1993</v>
      </c>
      <c r="H10" s="11" t="s">
        <v>1994</v>
      </c>
      <c r="I10" s="11" t="s">
        <v>1995</v>
      </c>
      <c r="J10" s="11" t="s">
        <v>1996</v>
      </c>
      <c r="K10" s="11" t="s">
        <v>258</v>
      </c>
      <c r="L10" s="11" t="s">
        <v>1144</v>
      </c>
      <c r="M10" s="11" t="s">
        <v>1145</v>
      </c>
      <c r="N10" s="11" t="s">
        <v>1144</v>
      </c>
      <c r="O10" s="11" t="s">
        <v>1145</v>
      </c>
      <c r="P10" s="11" t="s">
        <v>766</v>
      </c>
      <c r="Q10" s="11" t="n">
        <v>1</v>
      </c>
      <c r="T10" s="11" t="s">
        <v>27</v>
      </c>
    </row>
    <row r="11" customFormat="false" ht="15" hidden="false" customHeight="false" outlineLevel="0" collapsed="false">
      <c r="A11" s="2" t="s">
        <v>2005</v>
      </c>
      <c r="B11" s="11" t="s">
        <v>1213</v>
      </c>
      <c r="C11" s="11" t="s">
        <v>1348</v>
      </c>
      <c r="D11" s="11" t="s">
        <v>1379</v>
      </c>
      <c r="E11" s="11" t="s">
        <v>1786</v>
      </c>
      <c r="F11" s="11" t="s">
        <v>1879</v>
      </c>
      <c r="G11" s="11" t="s">
        <v>1993</v>
      </c>
      <c r="H11" s="11" t="s">
        <v>1994</v>
      </c>
      <c r="I11" s="11" t="s">
        <v>1995</v>
      </c>
      <c r="J11" s="11" t="s">
        <v>1996</v>
      </c>
      <c r="K11" s="11" t="s">
        <v>258</v>
      </c>
      <c r="L11" s="11" t="s">
        <v>1144</v>
      </c>
      <c r="M11" s="11" t="s">
        <v>1145</v>
      </c>
      <c r="N11" s="11" t="s">
        <v>1144</v>
      </c>
      <c r="O11" s="11" t="s">
        <v>1145</v>
      </c>
      <c r="P11" s="11" t="s">
        <v>766</v>
      </c>
      <c r="Q11" s="11" t="n">
        <v>1</v>
      </c>
      <c r="T11" s="11" t="s">
        <v>27</v>
      </c>
    </row>
    <row r="12" customFormat="false" ht="15" hidden="false" customHeight="false" outlineLevel="0" collapsed="false">
      <c r="A12" s="2" t="s">
        <v>2006</v>
      </c>
      <c r="B12" s="11" t="s">
        <v>1191</v>
      </c>
      <c r="C12" s="11" t="s">
        <v>1401</v>
      </c>
      <c r="D12" s="11" t="s">
        <v>1390</v>
      </c>
      <c r="E12" s="11" t="s">
        <v>1751</v>
      </c>
      <c r="F12" s="11" t="s">
        <v>1864</v>
      </c>
      <c r="G12" s="11" t="s">
        <v>1993</v>
      </c>
      <c r="H12" s="11" t="s">
        <v>1994</v>
      </c>
      <c r="I12" s="11" t="s">
        <v>1995</v>
      </c>
      <c r="J12" s="11" t="s">
        <v>1996</v>
      </c>
      <c r="K12" s="11" t="s">
        <v>258</v>
      </c>
      <c r="L12" s="11" t="s">
        <v>1144</v>
      </c>
      <c r="M12" s="11" t="s">
        <v>1145</v>
      </c>
      <c r="N12" s="11" t="s">
        <v>1144</v>
      </c>
      <c r="O12" s="11" t="s">
        <v>1145</v>
      </c>
      <c r="P12" s="11" t="s">
        <v>766</v>
      </c>
      <c r="Q12" s="11" t="n">
        <v>1</v>
      </c>
      <c r="T12" s="11" t="s">
        <v>27</v>
      </c>
    </row>
  </sheetData>
  <autoFilter ref="A1:T12"/>
  <dataValidations count="7">
    <dataValidation allowBlank="true" error="Kies een waarde uit de lijst of voeg haar eerst toe aan de bronlijst." errorStyle="stop" errorTitle="Onbekende waarde" operator="between" showDropDown="false" showErrorMessage="true" showInputMessage="false" sqref="B2:B1012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12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12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12" type="list">
      <formula1>informatiebehoefte!$B$2:$B$2000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12" type="list">
      <formula1>beslisproduct!$B$2:$B$2000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12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P2:P1012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A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6" min="5" style="0" width="40"/>
    <col collapsed="false" customWidth="true" hidden="false" outlineLevel="0" max="7" min="7" style="0" width="29"/>
    <col collapsed="false" customWidth="true" hidden="false" outlineLevel="0" max="12" min="8" style="0" width="40"/>
    <col collapsed="false" customWidth="true" hidden="false" outlineLevel="0" max="13" min="13" style="0" width="24"/>
    <col collapsed="false" customWidth="true" hidden="false" outlineLevel="0" max="14" min="14" style="0" width="22"/>
    <col collapsed="false" customWidth="true" hidden="false" outlineLevel="0" max="15" min="15" style="0" width="40"/>
    <col collapsed="false" customWidth="true" hidden="false" outlineLevel="0" max="16" min="16" style="0" width="19"/>
    <col collapsed="false" customWidth="true" hidden="false" outlineLevel="0" max="17" min="17" style="0" width="40"/>
    <col collapsed="false" customWidth="true" hidden="false" outlineLevel="0" max="18" min="18" style="0" width="22"/>
    <col collapsed="false" customWidth="true" hidden="false" outlineLevel="0" max="19" min="19" style="0" width="25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40"/>
    <col collapsed="false" customWidth="true" hidden="false" outlineLevel="0" max="23" min="23" style="0" width="23"/>
    <col collapsed="false" customWidth="true" hidden="false" outlineLevel="0" max="27" min="24" style="0" width="14"/>
    <col collapsed="false" customWidth="true" hidden="false" outlineLevel="0" max="28" min="28" style="0" width="40"/>
    <col collapsed="false" customWidth="true" hidden="false" outlineLevel="0" max="29" min="29" style="0" width="17"/>
    <col collapsed="false" customWidth="true" hidden="false" outlineLevel="0" max="31" min="30" style="0" width="14"/>
    <col collapsed="false" customWidth="true" hidden="false" outlineLevel="0" max="32" min="32" style="0" width="40"/>
  </cols>
  <sheetData>
    <row r="1" customFormat="false" ht="15" hidden="false" customHeight="false" outlineLevel="0" collapsed="false">
      <c r="A1" s="13" t="s">
        <v>469</v>
      </c>
      <c r="B1" s="13" t="s">
        <v>470</v>
      </c>
      <c r="C1" s="13" t="s">
        <v>472</v>
      </c>
      <c r="D1" s="13" t="s">
        <v>475</v>
      </c>
      <c r="E1" s="13" t="s">
        <v>267</v>
      </c>
      <c r="F1" s="14" t="s">
        <v>270</v>
      </c>
      <c r="G1" s="13" t="s">
        <v>479</v>
      </c>
      <c r="H1" s="14" t="s">
        <v>482</v>
      </c>
      <c r="I1" s="14" t="s">
        <v>484</v>
      </c>
      <c r="J1" s="14" t="s">
        <v>486</v>
      </c>
      <c r="K1" s="14" t="s">
        <v>488</v>
      </c>
      <c r="L1" s="14" t="s">
        <v>490</v>
      </c>
      <c r="M1" s="13" t="s">
        <v>492</v>
      </c>
      <c r="N1" s="14" t="s">
        <v>495</v>
      </c>
      <c r="O1" s="14" t="s">
        <v>498</v>
      </c>
      <c r="P1" s="14" t="s">
        <v>501</v>
      </c>
      <c r="Q1" s="14" t="s">
        <v>504</v>
      </c>
      <c r="R1" s="13" t="s">
        <v>506</v>
      </c>
      <c r="S1" s="13" t="s">
        <v>509</v>
      </c>
      <c r="T1" s="13" t="s">
        <v>512</v>
      </c>
      <c r="U1" s="13" t="s">
        <v>515</v>
      </c>
      <c r="V1" s="14" t="s">
        <v>517</v>
      </c>
      <c r="W1" s="13" t="s">
        <v>342</v>
      </c>
      <c r="X1" s="15" t="s">
        <v>292</v>
      </c>
      <c r="Y1" s="15" t="s">
        <v>295</v>
      </c>
      <c r="Z1" s="15" t="s">
        <v>298</v>
      </c>
      <c r="AA1" s="15" t="s">
        <v>300</v>
      </c>
      <c r="AB1" s="15" t="s">
        <v>302</v>
      </c>
      <c r="AC1" s="15" t="s">
        <v>305</v>
      </c>
      <c r="AD1" s="15" t="s">
        <v>307</v>
      </c>
      <c r="AE1" s="15" t="s">
        <v>310</v>
      </c>
      <c r="AF1" s="15" t="s">
        <v>312</v>
      </c>
    </row>
    <row r="2" customFormat="false" ht="15" hidden="false" customHeight="false" outlineLevel="0" collapsed="false">
      <c r="A2" s="2" t="s">
        <v>2007</v>
      </c>
      <c r="B2" s="11" t="s">
        <v>2008</v>
      </c>
      <c r="C2" s="11" t="s">
        <v>2009</v>
      </c>
      <c r="D2" s="11" t="s">
        <v>2009</v>
      </c>
      <c r="E2" s="11" t="s">
        <v>2010</v>
      </c>
      <c r="F2" s="11" t="s">
        <v>2011</v>
      </c>
      <c r="G2" s="11" t="s">
        <v>2012</v>
      </c>
      <c r="H2" s="11" t="s">
        <v>2013</v>
      </c>
      <c r="I2" s="11" t="s">
        <v>1629</v>
      </c>
      <c r="J2" s="11" t="s">
        <v>2014</v>
      </c>
      <c r="K2" s="11" t="s">
        <v>2015</v>
      </c>
      <c r="L2" s="11" t="s">
        <v>2016</v>
      </c>
      <c r="M2" s="11" t="s">
        <v>258</v>
      </c>
      <c r="N2" s="11" t="s">
        <v>748</v>
      </c>
      <c r="O2" s="11" t="s">
        <v>823</v>
      </c>
      <c r="P2" s="11" t="s">
        <v>2017</v>
      </c>
      <c r="R2" s="11" t="s">
        <v>2018</v>
      </c>
      <c r="S2" s="11" t="s">
        <v>2019</v>
      </c>
      <c r="T2" s="11" t="s">
        <v>750</v>
      </c>
      <c r="U2" s="11" t="s">
        <v>258</v>
      </c>
      <c r="W2" s="11" t="s">
        <v>1058</v>
      </c>
      <c r="X2" s="11" t="s">
        <v>985</v>
      </c>
      <c r="Y2" s="11" t="s">
        <v>2020</v>
      </c>
      <c r="Z2" s="11" t="s">
        <v>985</v>
      </c>
      <c r="AA2" s="11" t="s">
        <v>2020</v>
      </c>
      <c r="AB2" s="11" t="s">
        <v>766</v>
      </c>
      <c r="AC2" s="11" t="n">
        <v>1</v>
      </c>
      <c r="AF2" s="11" t="s">
        <v>2021</v>
      </c>
    </row>
    <row r="3" customFormat="false" ht="15" hidden="false" customHeight="false" outlineLevel="0" collapsed="false">
      <c r="A3" s="2" t="s">
        <v>2022</v>
      </c>
      <c r="B3" s="11" t="s">
        <v>2023</v>
      </c>
      <c r="C3" s="11" t="s">
        <v>2024</v>
      </c>
      <c r="D3" s="11" t="s">
        <v>2024</v>
      </c>
      <c r="E3" s="11" t="s">
        <v>2025</v>
      </c>
      <c r="F3" s="11" t="s">
        <v>2026</v>
      </c>
      <c r="G3" s="11" t="s">
        <v>2012</v>
      </c>
      <c r="H3" s="11" t="s">
        <v>2013</v>
      </c>
      <c r="I3" s="11" t="s">
        <v>1629</v>
      </c>
      <c r="J3" s="11" t="s">
        <v>2014</v>
      </c>
      <c r="K3" s="11" t="s">
        <v>2015</v>
      </c>
      <c r="L3" s="11" t="s">
        <v>2016</v>
      </c>
      <c r="M3" s="11" t="s">
        <v>258</v>
      </c>
      <c r="N3" s="11" t="s">
        <v>748</v>
      </c>
      <c r="O3" s="11" t="s">
        <v>823</v>
      </c>
      <c r="P3" s="11" t="s">
        <v>2017</v>
      </c>
      <c r="R3" s="11" t="s">
        <v>2027</v>
      </c>
      <c r="S3" s="11" t="s">
        <v>2019</v>
      </c>
      <c r="T3" s="11" t="s">
        <v>750</v>
      </c>
      <c r="U3" s="11" t="s">
        <v>258</v>
      </c>
      <c r="W3" s="11" t="s">
        <v>1058</v>
      </c>
      <c r="X3" s="11" t="s">
        <v>985</v>
      </c>
      <c r="Y3" s="11" t="s">
        <v>2020</v>
      </c>
      <c r="Z3" s="11" t="s">
        <v>985</v>
      </c>
      <c r="AA3" s="11" t="s">
        <v>2020</v>
      </c>
      <c r="AB3" s="11" t="s">
        <v>766</v>
      </c>
      <c r="AC3" s="11" t="n">
        <v>1</v>
      </c>
      <c r="AF3" s="11" t="s">
        <v>2028</v>
      </c>
    </row>
    <row r="4" customFormat="false" ht="15" hidden="false" customHeight="false" outlineLevel="0" collapsed="false">
      <c r="A4" s="2" t="s">
        <v>2029</v>
      </c>
      <c r="B4" s="11" t="s">
        <v>2030</v>
      </c>
      <c r="C4" s="11" t="s">
        <v>2031</v>
      </c>
      <c r="D4" s="11" t="s">
        <v>2031</v>
      </c>
      <c r="E4" s="11" t="s">
        <v>2032</v>
      </c>
      <c r="F4" s="11" t="s">
        <v>2033</v>
      </c>
      <c r="G4" s="11" t="s">
        <v>2012</v>
      </c>
      <c r="H4" s="11" t="s">
        <v>2013</v>
      </c>
      <c r="I4" s="11" t="s">
        <v>1629</v>
      </c>
      <c r="J4" s="11" t="s">
        <v>2014</v>
      </c>
      <c r="K4" s="11" t="s">
        <v>2015</v>
      </c>
      <c r="L4" s="11" t="s">
        <v>2016</v>
      </c>
      <c r="M4" s="11" t="s">
        <v>272</v>
      </c>
      <c r="N4" s="11" t="s">
        <v>774</v>
      </c>
      <c r="O4" s="11" t="s">
        <v>823</v>
      </c>
      <c r="P4" s="11" t="s">
        <v>2017</v>
      </c>
      <c r="R4" s="11" t="s">
        <v>2027</v>
      </c>
      <c r="S4" s="11" t="s">
        <v>2019</v>
      </c>
      <c r="T4" s="11" t="s">
        <v>750</v>
      </c>
      <c r="U4" s="11" t="s">
        <v>258</v>
      </c>
      <c r="W4" s="11" t="s">
        <v>1058</v>
      </c>
      <c r="X4" s="11" t="s">
        <v>985</v>
      </c>
      <c r="Y4" s="11" t="s">
        <v>2020</v>
      </c>
      <c r="Z4" s="11" t="s">
        <v>985</v>
      </c>
      <c r="AA4" s="11" t="s">
        <v>2020</v>
      </c>
      <c r="AB4" s="11" t="s">
        <v>766</v>
      </c>
      <c r="AC4" s="11" t="n">
        <v>1</v>
      </c>
      <c r="AF4" s="11" t="s">
        <v>2034</v>
      </c>
    </row>
    <row r="5" customFormat="false" ht="15" hidden="false" customHeight="false" outlineLevel="0" collapsed="false">
      <c r="A5" s="2" t="s">
        <v>2035</v>
      </c>
      <c r="B5" s="11" t="s">
        <v>2036</v>
      </c>
      <c r="C5" s="11" t="s">
        <v>2037</v>
      </c>
      <c r="D5" s="11" t="s">
        <v>2037</v>
      </c>
      <c r="E5" s="11" t="s">
        <v>2038</v>
      </c>
      <c r="F5" s="11" t="s">
        <v>2039</v>
      </c>
      <c r="G5" s="11" t="s">
        <v>2040</v>
      </c>
      <c r="H5" s="11" t="s">
        <v>2013</v>
      </c>
      <c r="I5" s="11" t="s">
        <v>1639</v>
      </c>
      <c r="J5" s="11" t="s">
        <v>2041</v>
      </c>
      <c r="K5" s="11" t="s">
        <v>2042</v>
      </c>
      <c r="L5" s="11" t="s">
        <v>2016</v>
      </c>
      <c r="M5" s="11" t="s">
        <v>272</v>
      </c>
      <c r="N5" s="11" t="s">
        <v>774</v>
      </c>
      <c r="O5" s="11" t="s">
        <v>801</v>
      </c>
      <c r="P5" s="11" t="s">
        <v>2017</v>
      </c>
      <c r="R5" s="11" t="s">
        <v>2027</v>
      </c>
      <c r="S5" s="11" t="s">
        <v>2019</v>
      </c>
      <c r="T5" s="11" t="s">
        <v>776</v>
      </c>
      <c r="U5" s="11" t="s">
        <v>258</v>
      </c>
      <c r="W5" s="11" t="s">
        <v>1058</v>
      </c>
      <c r="X5" s="11" t="s">
        <v>985</v>
      </c>
      <c r="Y5" s="11" t="s">
        <v>2020</v>
      </c>
      <c r="Z5" s="11" t="s">
        <v>985</v>
      </c>
      <c r="AA5" s="11" t="s">
        <v>2020</v>
      </c>
      <c r="AB5" s="11" t="s">
        <v>766</v>
      </c>
      <c r="AC5" s="11" t="n">
        <v>1</v>
      </c>
      <c r="AF5" s="11" t="s">
        <v>2043</v>
      </c>
    </row>
    <row r="6" customFormat="false" ht="15" hidden="false" customHeight="false" outlineLevel="0" collapsed="false">
      <c r="A6" s="2" t="s">
        <v>2044</v>
      </c>
      <c r="B6" s="11" t="s">
        <v>2045</v>
      </c>
      <c r="C6" s="11" t="s">
        <v>2046</v>
      </c>
      <c r="D6" s="11" t="s">
        <v>2046</v>
      </c>
      <c r="E6" s="11" t="s">
        <v>2047</v>
      </c>
      <c r="F6" s="11" t="s">
        <v>2048</v>
      </c>
      <c r="G6" s="11" t="s">
        <v>2012</v>
      </c>
      <c r="H6" s="11" t="s">
        <v>2013</v>
      </c>
      <c r="I6" s="11" t="s">
        <v>1629</v>
      </c>
      <c r="J6" s="11" t="s">
        <v>2014</v>
      </c>
      <c r="K6" s="11" t="s">
        <v>2015</v>
      </c>
      <c r="L6" s="11" t="s">
        <v>2016</v>
      </c>
      <c r="M6" s="11" t="s">
        <v>258</v>
      </c>
      <c r="N6" s="11" t="s">
        <v>748</v>
      </c>
      <c r="O6" s="11" t="s">
        <v>823</v>
      </c>
      <c r="P6" s="11" t="s">
        <v>2017</v>
      </c>
      <c r="R6" s="11" t="s">
        <v>2018</v>
      </c>
      <c r="S6" s="11" t="s">
        <v>2019</v>
      </c>
      <c r="T6" s="11" t="s">
        <v>776</v>
      </c>
      <c r="U6" s="11" t="s">
        <v>258</v>
      </c>
      <c r="W6" s="11" t="s">
        <v>1058</v>
      </c>
      <c r="X6" s="11" t="s">
        <v>985</v>
      </c>
      <c r="Y6" s="11" t="s">
        <v>2020</v>
      </c>
      <c r="Z6" s="11" t="s">
        <v>985</v>
      </c>
      <c r="AA6" s="11" t="s">
        <v>2020</v>
      </c>
      <c r="AB6" s="11" t="s">
        <v>766</v>
      </c>
      <c r="AC6" s="11" t="n">
        <v>1</v>
      </c>
      <c r="AF6" s="11" t="s">
        <v>2049</v>
      </c>
    </row>
    <row r="7" customFormat="false" ht="15" hidden="false" customHeight="false" outlineLevel="0" collapsed="false">
      <c r="A7" s="2" t="s">
        <v>2050</v>
      </c>
      <c r="B7" s="11" t="s">
        <v>2051</v>
      </c>
      <c r="C7" s="11" t="s">
        <v>2052</v>
      </c>
      <c r="D7" s="11" t="s">
        <v>2052</v>
      </c>
      <c r="E7" s="11" t="s">
        <v>2053</v>
      </c>
      <c r="F7" s="11" t="s">
        <v>2054</v>
      </c>
      <c r="G7" s="11" t="s">
        <v>2012</v>
      </c>
      <c r="H7" s="11" t="s">
        <v>2055</v>
      </c>
      <c r="I7" s="11" t="s">
        <v>1629</v>
      </c>
      <c r="J7" s="11" t="s">
        <v>2014</v>
      </c>
      <c r="K7" s="11" t="s">
        <v>2015</v>
      </c>
      <c r="L7" s="11" t="s">
        <v>2016</v>
      </c>
      <c r="M7" s="11" t="s">
        <v>258</v>
      </c>
      <c r="N7" s="11" t="s">
        <v>748</v>
      </c>
      <c r="O7" s="11" t="s">
        <v>823</v>
      </c>
      <c r="P7" s="11" t="s">
        <v>2017</v>
      </c>
      <c r="R7" s="11" t="s">
        <v>2056</v>
      </c>
      <c r="S7" s="11" t="s">
        <v>2057</v>
      </c>
      <c r="T7" s="11" t="s">
        <v>776</v>
      </c>
      <c r="U7" s="11" t="s">
        <v>258</v>
      </c>
      <c r="W7" s="11" t="s">
        <v>1058</v>
      </c>
      <c r="X7" s="11" t="s">
        <v>985</v>
      </c>
      <c r="Y7" s="11" t="s">
        <v>2020</v>
      </c>
      <c r="Z7" s="11" t="s">
        <v>985</v>
      </c>
      <c r="AA7" s="11" t="s">
        <v>2020</v>
      </c>
      <c r="AB7" s="11" t="s">
        <v>766</v>
      </c>
      <c r="AC7" s="11" t="n">
        <v>1</v>
      </c>
      <c r="AF7" s="11" t="s">
        <v>2058</v>
      </c>
    </row>
    <row r="8" customFormat="false" ht="15" hidden="false" customHeight="false" outlineLevel="0" collapsed="false">
      <c r="A8" s="2" t="s">
        <v>2059</v>
      </c>
      <c r="B8" s="11" t="s">
        <v>2060</v>
      </c>
      <c r="C8" s="11" t="s">
        <v>2061</v>
      </c>
      <c r="D8" s="11" t="s">
        <v>2061</v>
      </c>
      <c r="E8" s="11" t="s">
        <v>2062</v>
      </c>
      <c r="F8" s="11" t="s">
        <v>2063</v>
      </c>
      <c r="G8" s="11" t="s">
        <v>2012</v>
      </c>
      <c r="H8" s="11" t="s">
        <v>2013</v>
      </c>
      <c r="I8" s="11" t="s">
        <v>1629</v>
      </c>
      <c r="J8" s="11" t="s">
        <v>2014</v>
      </c>
      <c r="K8" s="11" t="s">
        <v>2015</v>
      </c>
      <c r="L8" s="11" t="s">
        <v>2016</v>
      </c>
      <c r="M8" s="11" t="s">
        <v>272</v>
      </c>
      <c r="N8" s="11" t="s">
        <v>774</v>
      </c>
      <c r="O8" s="11" t="s">
        <v>823</v>
      </c>
      <c r="P8" s="11" t="s">
        <v>2017</v>
      </c>
      <c r="R8" s="11" t="s">
        <v>2027</v>
      </c>
      <c r="S8" s="11" t="s">
        <v>2019</v>
      </c>
      <c r="T8" s="11" t="s">
        <v>750</v>
      </c>
      <c r="U8" s="11" t="s">
        <v>258</v>
      </c>
      <c r="W8" s="11" t="s">
        <v>1058</v>
      </c>
      <c r="X8" s="11" t="s">
        <v>985</v>
      </c>
      <c r="Y8" s="11" t="s">
        <v>2020</v>
      </c>
      <c r="Z8" s="11" t="s">
        <v>985</v>
      </c>
      <c r="AA8" s="11" t="s">
        <v>2020</v>
      </c>
      <c r="AB8" s="11" t="s">
        <v>766</v>
      </c>
      <c r="AC8" s="11" t="n">
        <v>1</v>
      </c>
      <c r="AF8" s="11" t="s">
        <v>2028</v>
      </c>
    </row>
    <row r="9" customFormat="false" ht="15" hidden="false" customHeight="false" outlineLevel="0" collapsed="false">
      <c r="A9" s="2" t="s">
        <v>2064</v>
      </c>
      <c r="B9" s="11" t="s">
        <v>2065</v>
      </c>
      <c r="C9" s="11" t="s">
        <v>2066</v>
      </c>
      <c r="D9" s="11" t="s">
        <v>2066</v>
      </c>
      <c r="E9" s="11" t="s">
        <v>2067</v>
      </c>
      <c r="F9" s="11" t="s">
        <v>2068</v>
      </c>
      <c r="G9" s="11" t="s">
        <v>2069</v>
      </c>
      <c r="H9" s="11" t="s">
        <v>2070</v>
      </c>
      <c r="I9" s="11" t="s">
        <v>1613</v>
      </c>
      <c r="J9" s="11" t="s">
        <v>2071</v>
      </c>
      <c r="K9" s="11" t="s">
        <v>2072</v>
      </c>
      <c r="L9" s="11" t="s">
        <v>2016</v>
      </c>
      <c r="M9" s="11" t="s">
        <v>258</v>
      </c>
      <c r="N9" s="11" t="s">
        <v>800</v>
      </c>
      <c r="O9" s="11" t="s">
        <v>801</v>
      </c>
      <c r="P9" s="11" t="s">
        <v>2073</v>
      </c>
      <c r="R9" s="11" t="s">
        <v>2027</v>
      </c>
      <c r="S9" s="11" t="s">
        <v>2019</v>
      </c>
      <c r="T9" s="11" t="s">
        <v>750</v>
      </c>
      <c r="U9" s="11" t="s">
        <v>258</v>
      </c>
      <c r="W9" s="11" t="s">
        <v>1058</v>
      </c>
      <c r="X9" s="11" t="s">
        <v>985</v>
      </c>
      <c r="Y9" s="11" t="s">
        <v>2020</v>
      </c>
      <c r="Z9" s="11" t="s">
        <v>985</v>
      </c>
      <c r="AA9" s="11" t="s">
        <v>2020</v>
      </c>
      <c r="AB9" s="11" t="s">
        <v>766</v>
      </c>
      <c r="AC9" s="11" t="n">
        <v>1</v>
      </c>
      <c r="AF9" s="11" t="s">
        <v>2028</v>
      </c>
    </row>
    <row r="10" customFormat="false" ht="15" hidden="false" customHeight="false" outlineLevel="0" collapsed="false">
      <c r="A10" s="2" t="s">
        <v>2074</v>
      </c>
      <c r="B10" s="11" t="s">
        <v>2075</v>
      </c>
      <c r="C10" s="11" t="s">
        <v>2076</v>
      </c>
      <c r="D10" s="11" t="s">
        <v>2076</v>
      </c>
      <c r="E10" s="11" t="s">
        <v>2077</v>
      </c>
      <c r="F10" s="11" t="s">
        <v>2078</v>
      </c>
      <c r="G10" s="11" t="s">
        <v>2079</v>
      </c>
      <c r="H10" s="11" t="s">
        <v>2055</v>
      </c>
      <c r="I10" s="11" t="s">
        <v>1657</v>
      </c>
      <c r="J10" s="11" t="s">
        <v>2080</v>
      </c>
      <c r="K10" s="11" t="s">
        <v>2081</v>
      </c>
      <c r="L10" s="11" t="s">
        <v>2016</v>
      </c>
      <c r="M10" s="11" t="s">
        <v>272</v>
      </c>
      <c r="N10" s="11" t="s">
        <v>774</v>
      </c>
      <c r="O10" s="11" t="s">
        <v>801</v>
      </c>
      <c r="P10" s="11" t="s">
        <v>2017</v>
      </c>
      <c r="R10" s="11" t="s">
        <v>2018</v>
      </c>
      <c r="S10" s="11" t="s">
        <v>2019</v>
      </c>
      <c r="T10" s="11" t="s">
        <v>750</v>
      </c>
      <c r="U10" s="11" t="s">
        <v>258</v>
      </c>
      <c r="W10" s="11" t="s">
        <v>1058</v>
      </c>
      <c r="X10" s="11" t="s">
        <v>985</v>
      </c>
      <c r="Y10" s="11" t="s">
        <v>2020</v>
      </c>
      <c r="Z10" s="11" t="s">
        <v>985</v>
      </c>
      <c r="AA10" s="11" t="s">
        <v>2020</v>
      </c>
      <c r="AB10" s="11" t="s">
        <v>766</v>
      </c>
      <c r="AC10" s="11" t="n">
        <v>1</v>
      </c>
      <c r="AF10" s="11" t="s">
        <v>2082</v>
      </c>
    </row>
    <row r="11" customFormat="false" ht="15" hidden="false" customHeight="false" outlineLevel="0" collapsed="false">
      <c r="A11" s="2" t="s">
        <v>2083</v>
      </c>
      <c r="B11" s="11" t="s">
        <v>2084</v>
      </c>
      <c r="C11" s="11" t="s">
        <v>2085</v>
      </c>
      <c r="D11" s="11" t="s">
        <v>2085</v>
      </c>
      <c r="E11" s="11" t="s">
        <v>2086</v>
      </c>
      <c r="F11" s="11" t="s">
        <v>2087</v>
      </c>
      <c r="G11" s="11" t="s">
        <v>2079</v>
      </c>
      <c r="H11" s="11" t="s">
        <v>2013</v>
      </c>
      <c r="I11" s="11" t="s">
        <v>1657</v>
      </c>
      <c r="J11" s="11" t="s">
        <v>2080</v>
      </c>
      <c r="K11" s="11" t="s">
        <v>2081</v>
      </c>
      <c r="L11" s="11" t="s">
        <v>2016</v>
      </c>
      <c r="M11" s="11" t="s">
        <v>272</v>
      </c>
      <c r="N11" s="11" t="s">
        <v>774</v>
      </c>
      <c r="O11" s="11" t="s">
        <v>801</v>
      </c>
      <c r="P11" s="11" t="s">
        <v>2017</v>
      </c>
      <c r="R11" s="11" t="s">
        <v>2027</v>
      </c>
      <c r="S11" s="11" t="s">
        <v>2019</v>
      </c>
      <c r="T11" s="11" t="s">
        <v>776</v>
      </c>
      <c r="U11" s="11" t="s">
        <v>258</v>
      </c>
      <c r="W11" s="11" t="s">
        <v>1058</v>
      </c>
      <c r="X11" s="11" t="s">
        <v>985</v>
      </c>
      <c r="Y11" s="11" t="s">
        <v>2020</v>
      </c>
      <c r="Z11" s="11" t="s">
        <v>985</v>
      </c>
      <c r="AA11" s="11" t="s">
        <v>2020</v>
      </c>
      <c r="AB11" s="11" t="s">
        <v>766</v>
      </c>
      <c r="AC11" s="11" t="n">
        <v>1</v>
      </c>
      <c r="AF11" s="11" t="s">
        <v>2082</v>
      </c>
    </row>
    <row r="12" customFormat="false" ht="15" hidden="false" customHeight="false" outlineLevel="0" collapsed="false">
      <c r="A12" s="2" t="s">
        <v>2088</v>
      </c>
      <c r="B12" s="11" t="s">
        <v>2089</v>
      </c>
      <c r="C12" s="11" t="s">
        <v>2090</v>
      </c>
      <c r="D12" s="11" t="s">
        <v>2090</v>
      </c>
      <c r="E12" s="11" t="s">
        <v>2091</v>
      </c>
      <c r="F12" s="11" t="s">
        <v>2092</v>
      </c>
      <c r="G12" s="11" t="s">
        <v>2093</v>
      </c>
      <c r="H12" s="11" t="s">
        <v>2094</v>
      </c>
      <c r="I12" s="11" t="s">
        <v>1629</v>
      </c>
      <c r="J12" s="11" t="s">
        <v>2095</v>
      </c>
      <c r="K12" s="11" t="s">
        <v>2096</v>
      </c>
      <c r="L12" s="11" t="s">
        <v>2016</v>
      </c>
      <c r="M12" s="11" t="s">
        <v>272</v>
      </c>
      <c r="N12" s="11" t="s">
        <v>774</v>
      </c>
      <c r="O12" s="11" t="s">
        <v>749</v>
      </c>
      <c r="P12" s="11" t="s">
        <v>2097</v>
      </c>
      <c r="R12" s="11" t="s">
        <v>2056</v>
      </c>
      <c r="S12" s="11" t="s">
        <v>2057</v>
      </c>
      <c r="T12" s="11" t="s">
        <v>776</v>
      </c>
      <c r="U12" s="11" t="s">
        <v>258</v>
      </c>
      <c r="W12" s="11" t="s">
        <v>1058</v>
      </c>
      <c r="X12" s="11" t="s">
        <v>985</v>
      </c>
      <c r="Y12" s="11" t="s">
        <v>2020</v>
      </c>
      <c r="Z12" s="11" t="s">
        <v>985</v>
      </c>
      <c r="AA12" s="11" t="s">
        <v>2020</v>
      </c>
      <c r="AB12" s="11" t="s">
        <v>766</v>
      </c>
      <c r="AC12" s="11" t="n">
        <v>1</v>
      </c>
      <c r="AF12" s="11" t="s">
        <v>2082</v>
      </c>
    </row>
    <row r="13" customFormat="false" ht="15" hidden="false" customHeight="false" outlineLevel="0" collapsed="false">
      <c r="A13" s="2" t="s">
        <v>2098</v>
      </c>
      <c r="B13" s="11" t="s">
        <v>2099</v>
      </c>
      <c r="C13" s="11" t="s">
        <v>2100</v>
      </c>
      <c r="D13" s="11" t="s">
        <v>2100</v>
      </c>
      <c r="E13" s="11" t="s">
        <v>2101</v>
      </c>
      <c r="F13" s="11" t="s">
        <v>2102</v>
      </c>
      <c r="G13" s="11" t="s">
        <v>2103</v>
      </c>
      <c r="H13" s="11" t="s">
        <v>2013</v>
      </c>
      <c r="I13" s="11" t="s">
        <v>1657</v>
      </c>
      <c r="J13" s="11" t="s">
        <v>2104</v>
      </c>
      <c r="K13" s="11" t="s">
        <v>2105</v>
      </c>
      <c r="L13" s="11" t="s">
        <v>2016</v>
      </c>
      <c r="M13" s="11" t="s">
        <v>258</v>
      </c>
      <c r="N13" s="11" t="s">
        <v>748</v>
      </c>
      <c r="O13" s="11" t="s">
        <v>801</v>
      </c>
      <c r="P13" s="11" t="s">
        <v>2017</v>
      </c>
      <c r="R13" s="11" t="s">
        <v>2027</v>
      </c>
      <c r="S13" s="11" t="s">
        <v>2019</v>
      </c>
      <c r="T13" s="11" t="s">
        <v>776</v>
      </c>
      <c r="U13" s="11" t="s">
        <v>258</v>
      </c>
      <c r="W13" s="11" t="s">
        <v>1058</v>
      </c>
      <c r="X13" s="11" t="s">
        <v>985</v>
      </c>
      <c r="Y13" s="11" t="s">
        <v>2020</v>
      </c>
      <c r="Z13" s="11" t="s">
        <v>985</v>
      </c>
      <c r="AA13" s="11" t="s">
        <v>2020</v>
      </c>
      <c r="AB13" s="11" t="s">
        <v>766</v>
      </c>
      <c r="AC13" s="11" t="n">
        <v>1</v>
      </c>
      <c r="AF13" s="11" t="s">
        <v>2082</v>
      </c>
    </row>
    <row r="14" customFormat="false" ht="15" hidden="false" customHeight="false" outlineLevel="0" collapsed="false">
      <c r="A14" s="2" t="s">
        <v>2106</v>
      </c>
      <c r="B14" s="11" t="s">
        <v>2107</v>
      </c>
      <c r="C14" s="11" t="s">
        <v>2108</v>
      </c>
      <c r="D14" s="11" t="s">
        <v>2108</v>
      </c>
      <c r="E14" s="11" t="s">
        <v>2109</v>
      </c>
      <c r="F14" s="11" t="s">
        <v>2110</v>
      </c>
      <c r="G14" s="11" t="s">
        <v>2111</v>
      </c>
      <c r="H14" s="11" t="s">
        <v>2055</v>
      </c>
      <c r="I14" s="11" t="s">
        <v>1657</v>
      </c>
      <c r="J14" s="11" t="s">
        <v>2112</v>
      </c>
      <c r="K14" s="11" t="s">
        <v>2113</v>
      </c>
      <c r="L14" s="11" t="s">
        <v>2016</v>
      </c>
      <c r="M14" s="11" t="s">
        <v>272</v>
      </c>
      <c r="N14" s="11" t="s">
        <v>774</v>
      </c>
      <c r="O14" s="11" t="s">
        <v>823</v>
      </c>
      <c r="P14" s="11" t="s">
        <v>2114</v>
      </c>
      <c r="R14" s="11" t="s">
        <v>2018</v>
      </c>
      <c r="S14" s="11" t="s">
        <v>2019</v>
      </c>
      <c r="T14" s="11" t="s">
        <v>750</v>
      </c>
      <c r="U14" s="11" t="s">
        <v>258</v>
      </c>
      <c r="W14" s="11" t="s">
        <v>1058</v>
      </c>
      <c r="X14" s="11" t="s">
        <v>985</v>
      </c>
      <c r="Y14" s="11" t="s">
        <v>2020</v>
      </c>
      <c r="Z14" s="11" t="s">
        <v>985</v>
      </c>
      <c r="AA14" s="11" t="s">
        <v>2020</v>
      </c>
      <c r="AB14" s="11" t="s">
        <v>766</v>
      </c>
      <c r="AC14" s="11" t="n">
        <v>1</v>
      </c>
      <c r="AF14" s="11" t="s">
        <v>2115</v>
      </c>
    </row>
    <row r="15" customFormat="false" ht="15" hidden="false" customHeight="false" outlineLevel="0" collapsed="false">
      <c r="A15" s="2" t="s">
        <v>2116</v>
      </c>
      <c r="B15" s="11" t="s">
        <v>2117</v>
      </c>
      <c r="C15" s="11" t="s">
        <v>2118</v>
      </c>
      <c r="D15" s="11" t="s">
        <v>2118</v>
      </c>
      <c r="E15" s="11" t="s">
        <v>2119</v>
      </c>
      <c r="F15" s="11" t="s">
        <v>2120</v>
      </c>
      <c r="G15" s="11" t="s">
        <v>2111</v>
      </c>
      <c r="H15" s="11" t="s">
        <v>2013</v>
      </c>
      <c r="I15" s="11" t="s">
        <v>1657</v>
      </c>
      <c r="J15" s="11" t="s">
        <v>2112</v>
      </c>
      <c r="K15" s="11" t="s">
        <v>2113</v>
      </c>
      <c r="L15" s="11" t="s">
        <v>2016</v>
      </c>
      <c r="M15" s="11" t="s">
        <v>272</v>
      </c>
      <c r="N15" s="11" t="s">
        <v>774</v>
      </c>
      <c r="O15" s="11" t="s">
        <v>823</v>
      </c>
      <c r="P15" s="11" t="s">
        <v>2114</v>
      </c>
      <c r="R15" s="11" t="s">
        <v>2027</v>
      </c>
      <c r="S15" s="11" t="s">
        <v>2019</v>
      </c>
      <c r="T15" s="11" t="s">
        <v>750</v>
      </c>
      <c r="U15" s="11" t="s">
        <v>258</v>
      </c>
      <c r="W15" s="11" t="s">
        <v>1058</v>
      </c>
      <c r="X15" s="11" t="s">
        <v>985</v>
      </c>
      <c r="Y15" s="11" t="s">
        <v>2020</v>
      </c>
      <c r="Z15" s="11" t="s">
        <v>985</v>
      </c>
      <c r="AA15" s="11" t="s">
        <v>2020</v>
      </c>
      <c r="AB15" s="11" t="s">
        <v>766</v>
      </c>
      <c r="AC15" s="11" t="n">
        <v>1</v>
      </c>
      <c r="AF15" s="11" t="s">
        <v>2028</v>
      </c>
    </row>
    <row r="16" customFormat="false" ht="15" hidden="false" customHeight="false" outlineLevel="0" collapsed="false">
      <c r="A16" s="2" t="s">
        <v>2121</v>
      </c>
      <c r="B16" s="11" t="s">
        <v>2122</v>
      </c>
      <c r="C16" s="11" t="s">
        <v>2123</v>
      </c>
      <c r="D16" s="11" t="s">
        <v>2123</v>
      </c>
      <c r="E16" s="11" t="s">
        <v>2124</v>
      </c>
      <c r="F16" s="11" t="s">
        <v>2125</v>
      </c>
      <c r="G16" s="11" t="s">
        <v>2111</v>
      </c>
      <c r="H16" s="11" t="s">
        <v>2055</v>
      </c>
      <c r="I16" s="11" t="s">
        <v>1657</v>
      </c>
      <c r="J16" s="11" t="s">
        <v>2112</v>
      </c>
      <c r="K16" s="11" t="s">
        <v>2113</v>
      </c>
      <c r="L16" s="11" t="s">
        <v>2016</v>
      </c>
      <c r="M16" s="11" t="s">
        <v>272</v>
      </c>
      <c r="N16" s="11" t="s">
        <v>774</v>
      </c>
      <c r="O16" s="11" t="s">
        <v>823</v>
      </c>
      <c r="P16" s="11" t="s">
        <v>2114</v>
      </c>
      <c r="R16" s="11" t="s">
        <v>2027</v>
      </c>
      <c r="S16" s="11" t="s">
        <v>2019</v>
      </c>
      <c r="T16" s="11" t="s">
        <v>750</v>
      </c>
      <c r="U16" s="11" t="s">
        <v>258</v>
      </c>
      <c r="W16" s="11" t="s">
        <v>1058</v>
      </c>
      <c r="X16" s="11" t="s">
        <v>985</v>
      </c>
      <c r="Y16" s="11" t="s">
        <v>2020</v>
      </c>
      <c r="Z16" s="11" t="s">
        <v>985</v>
      </c>
      <c r="AA16" s="11" t="s">
        <v>2020</v>
      </c>
      <c r="AB16" s="11" t="s">
        <v>766</v>
      </c>
      <c r="AC16" s="11" t="n">
        <v>1</v>
      </c>
      <c r="AF16" s="11" t="s">
        <v>2028</v>
      </c>
    </row>
    <row r="17" customFormat="false" ht="15" hidden="false" customHeight="false" outlineLevel="0" collapsed="false">
      <c r="A17" s="2" t="s">
        <v>2126</v>
      </c>
      <c r="B17" s="11" t="s">
        <v>2127</v>
      </c>
      <c r="C17" s="11" t="s">
        <v>2128</v>
      </c>
      <c r="D17" s="11" t="s">
        <v>2128</v>
      </c>
      <c r="E17" s="11" t="s">
        <v>2129</v>
      </c>
      <c r="F17" s="11" t="s">
        <v>2130</v>
      </c>
      <c r="G17" s="11" t="s">
        <v>2111</v>
      </c>
      <c r="H17" s="11" t="s">
        <v>2055</v>
      </c>
      <c r="I17" s="11" t="s">
        <v>1657</v>
      </c>
      <c r="J17" s="11" t="s">
        <v>2112</v>
      </c>
      <c r="K17" s="11" t="s">
        <v>2113</v>
      </c>
      <c r="L17" s="11" t="s">
        <v>2016</v>
      </c>
      <c r="M17" s="11" t="s">
        <v>272</v>
      </c>
      <c r="N17" s="11" t="s">
        <v>774</v>
      </c>
      <c r="O17" s="11" t="s">
        <v>823</v>
      </c>
      <c r="P17" s="11" t="s">
        <v>2114</v>
      </c>
      <c r="R17" s="11" t="s">
        <v>2027</v>
      </c>
      <c r="S17" s="11" t="s">
        <v>2019</v>
      </c>
      <c r="T17" s="11" t="s">
        <v>750</v>
      </c>
      <c r="U17" s="11" t="s">
        <v>258</v>
      </c>
      <c r="W17" s="11" t="s">
        <v>1058</v>
      </c>
      <c r="X17" s="11" t="s">
        <v>985</v>
      </c>
      <c r="Y17" s="11" t="s">
        <v>2020</v>
      </c>
      <c r="Z17" s="11" t="s">
        <v>985</v>
      </c>
      <c r="AA17" s="11" t="s">
        <v>2020</v>
      </c>
      <c r="AB17" s="11" t="s">
        <v>766</v>
      </c>
      <c r="AC17" s="11" t="n">
        <v>1</v>
      </c>
      <c r="AF17" s="11" t="s">
        <v>2131</v>
      </c>
    </row>
    <row r="18" customFormat="false" ht="15" hidden="false" customHeight="false" outlineLevel="0" collapsed="false">
      <c r="A18" s="2" t="s">
        <v>2132</v>
      </c>
      <c r="B18" s="11" t="s">
        <v>2133</v>
      </c>
      <c r="C18" s="11" t="s">
        <v>2134</v>
      </c>
      <c r="D18" s="11" t="s">
        <v>2134</v>
      </c>
      <c r="E18" s="11" t="s">
        <v>2135</v>
      </c>
      <c r="F18" s="11" t="s">
        <v>2136</v>
      </c>
      <c r="G18" s="11" t="s">
        <v>2137</v>
      </c>
      <c r="H18" s="11" t="s">
        <v>2013</v>
      </c>
      <c r="I18" s="11" t="s">
        <v>1618</v>
      </c>
      <c r="J18" s="11" t="s">
        <v>2138</v>
      </c>
      <c r="K18" s="11" t="s">
        <v>2139</v>
      </c>
      <c r="L18" s="11" t="s">
        <v>2016</v>
      </c>
      <c r="M18" s="11" t="s">
        <v>272</v>
      </c>
      <c r="N18" s="11" t="s">
        <v>774</v>
      </c>
      <c r="O18" s="11" t="s">
        <v>801</v>
      </c>
      <c r="P18" s="11" t="s">
        <v>2114</v>
      </c>
      <c r="R18" s="11" t="s">
        <v>2018</v>
      </c>
      <c r="S18" s="11" t="s">
        <v>2019</v>
      </c>
      <c r="T18" s="11" t="s">
        <v>750</v>
      </c>
      <c r="U18" s="11" t="s">
        <v>258</v>
      </c>
      <c r="W18" s="11" t="s">
        <v>1058</v>
      </c>
      <c r="X18" s="11" t="s">
        <v>985</v>
      </c>
      <c r="Y18" s="11" t="s">
        <v>2020</v>
      </c>
      <c r="Z18" s="11" t="s">
        <v>985</v>
      </c>
      <c r="AA18" s="11" t="s">
        <v>2020</v>
      </c>
      <c r="AB18" s="11" t="s">
        <v>766</v>
      </c>
      <c r="AC18" s="11" t="n">
        <v>1</v>
      </c>
      <c r="AF18" s="11" t="s">
        <v>2028</v>
      </c>
    </row>
    <row r="19" customFormat="false" ht="15" hidden="false" customHeight="false" outlineLevel="0" collapsed="false">
      <c r="A19" s="2" t="s">
        <v>2140</v>
      </c>
      <c r="B19" s="11" t="s">
        <v>2141</v>
      </c>
      <c r="C19" s="11" t="s">
        <v>2142</v>
      </c>
      <c r="D19" s="11" t="s">
        <v>2142</v>
      </c>
      <c r="E19" s="11" t="s">
        <v>2143</v>
      </c>
      <c r="F19" s="11" t="s">
        <v>2144</v>
      </c>
      <c r="G19" s="11" t="s">
        <v>2137</v>
      </c>
      <c r="H19" s="11" t="s">
        <v>2145</v>
      </c>
      <c r="I19" s="11" t="s">
        <v>1618</v>
      </c>
      <c r="J19" s="11" t="s">
        <v>2138</v>
      </c>
      <c r="K19" s="11" t="s">
        <v>2139</v>
      </c>
      <c r="L19" s="11" t="s">
        <v>2016</v>
      </c>
      <c r="M19" s="11" t="s">
        <v>272</v>
      </c>
      <c r="N19" s="11" t="s">
        <v>774</v>
      </c>
      <c r="O19" s="11" t="s">
        <v>801</v>
      </c>
      <c r="P19" s="11" t="s">
        <v>2114</v>
      </c>
      <c r="R19" s="11" t="s">
        <v>2027</v>
      </c>
      <c r="S19" s="11" t="s">
        <v>2019</v>
      </c>
      <c r="T19" s="11" t="s">
        <v>750</v>
      </c>
      <c r="U19" s="11" t="s">
        <v>258</v>
      </c>
      <c r="W19" s="11" t="s">
        <v>1058</v>
      </c>
      <c r="X19" s="11" t="s">
        <v>985</v>
      </c>
      <c r="Y19" s="11" t="s">
        <v>2020</v>
      </c>
      <c r="Z19" s="11" t="s">
        <v>985</v>
      </c>
      <c r="AA19" s="11" t="s">
        <v>2020</v>
      </c>
      <c r="AB19" s="11" t="s">
        <v>766</v>
      </c>
      <c r="AC19" s="11" t="n">
        <v>1</v>
      </c>
      <c r="AF19" s="11" t="s">
        <v>2028</v>
      </c>
    </row>
    <row r="20" customFormat="false" ht="15" hidden="false" customHeight="false" outlineLevel="0" collapsed="false">
      <c r="A20" s="2" t="s">
        <v>2146</v>
      </c>
      <c r="B20" s="11" t="s">
        <v>2147</v>
      </c>
      <c r="C20" s="11" t="s">
        <v>2148</v>
      </c>
      <c r="D20" s="11" t="s">
        <v>2148</v>
      </c>
      <c r="E20" s="11" t="s">
        <v>2149</v>
      </c>
      <c r="F20" s="11" t="s">
        <v>2150</v>
      </c>
      <c r="G20" s="11" t="s">
        <v>2137</v>
      </c>
      <c r="H20" s="11" t="s">
        <v>2145</v>
      </c>
      <c r="I20" s="11" t="s">
        <v>1618</v>
      </c>
      <c r="J20" s="11" t="s">
        <v>2138</v>
      </c>
      <c r="K20" s="11" t="s">
        <v>2139</v>
      </c>
      <c r="L20" s="11" t="s">
        <v>2016</v>
      </c>
      <c r="M20" s="11" t="s">
        <v>272</v>
      </c>
      <c r="N20" s="11" t="s">
        <v>774</v>
      </c>
      <c r="O20" s="11" t="s">
        <v>801</v>
      </c>
      <c r="P20" s="11" t="s">
        <v>2114</v>
      </c>
      <c r="R20" s="11" t="s">
        <v>2027</v>
      </c>
      <c r="S20" s="11" t="s">
        <v>2019</v>
      </c>
      <c r="T20" s="11" t="s">
        <v>750</v>
      </c>
      <c r="U20" s="11" t="s">
        <v>258</v>
      </c>
      <c r="W20" s="11" t="s">
        <v>1058</v>
      </c>
      <c r="X20" s="11" t="s">
        <v>985</v>
      </c>
      <c r="Y20" s="11" t="s">
        <v>2020</v>
      </c>
      <c r="Z20" s="11" t="s">
        <v>985</v>
      </c>
      <c r="AA20" s="11" t="s">
        <v>2020</v>
      </c>
      <c r="AB20" s="11" t="s">
        <v>766</v>
      </c>
      <c r="AC20" s="11" t="n">
        <v>1</v>
      </c>
      <c r="AF20" s="11" t="s">
        <v>2028</v>
      </c>
    </row>
    <row r="21" customFormat="false" ht="15" hidden="false" customHeight="false" outlineLevel="0" collapsed="false">
      <c r="A21" s="2" t="s">
        <v>2151</v>
      </c>
      <c r="B21" s="11" t="s">
        <v>2152</v>
      </c>
      <c r="C21" s="11" t="s">
        <v>2153</v>
      </c>
      <c r="D21" s="11" t="s">
        <v>2153</v>
      </c>
      <c r="E21" s="11" t="s">
        <v>2154</v>
      </c>
      <c r="F21" s="11" t="s">
        <v>2155</v>
      </c>
      <c r="G21" s="11" t="s">
        <v>2137</v>
      </c>
      <c r="H21" s="11" t="s">
        <v>2145</v>
      </c>
      <c r="I21" s="11" t="s">
        <v>1618</v>
      </c>
      <c r="J21" s="11" t="s">
        <v>2138</v>
      </c>
      <c r="K21" s="11" t="s">
        <v>2139</v>
      </c>
      <c r="L21" s="11" t="s">
        <v>2016</v>
      </c>
      <c r="M21" s="11" t="s">
        <v>272</v>
      </c>
      <c r="N21" s="11" t="s">
        <v>774</v>
      </c>
      <c r="O21" s="11" t="s">
        <v>801</v>
      </c>
      <c r="P21" s="11" t="s">
        <v>2114</v>
      </c>
      <c r="R21" s="11" t="s">
        <v>2027</v>
      </c>
      <c r="S21" s="11" t="s">
        <v>2019</v>
      </c>
      <c r="T21" s="11" t="s">
        <v>750</v>
      </c>
      <c r="U21" s="11" t="s">
        <v>258</v>
      </c>
      <c r="W21" s="11" t="s">
        <v>1058</v>
      </c>
      <c r="X21" s="11" t="s">
        <v>985</v>
      </c>
      <c r="Y21" s="11" t="s">
        <v>2020</v>
      </c>
      <c r="Z21" s="11" t="s">
        <v>985</v>
      </c>
      <c r="AA21" s="11" t="s">
        <v>2020</v>
      </c>
      <c r="AB21" s="11" t="s">
        <v>766</v>
      </c>
      <c r="AC21" s="11" t="n">
        <v>1</v>
      </c>
      <c r="AF21" s="11" t="s">
        <v>2156</v>
      </c>
    </row>
    <row r="22" customFormat="false" ht="15" hidden="false" customHeight="false" outlineLevel="0" collapsed="false">
      <c r="A22" s="2" t="s">
        <v>2157</v>
      </c>
      <c r="B22" s="11" t="s">
        <v>2158</v>
      </c>
      <c r="C22" s="11" t="s">
        <v>2159</v>
      </c>
      <c r="D22" s="11" t="s">
        <v>2159</v>
      </c>
      <c r="E22" s="11" t="s">
        <v>2160</v>
      </c>
      <c r="F22" s="11" t="s">
        <v>2161</v>
      </c>
      <c r="G22" s="11" t="s">
        <v>2137</v>
      </c>
      <c r="H22" s="11" t="s">
        <v>2145</v>
      </c>
      <c r="I22" s="11" t="s">
        <v>1618</v>
      </c>
      <c r="J22" s="11" t="s">
        <v>2138</v>
      </c>
      <c r="K22" s="11" t="s">
        <v>2139</v>
      </c>
      <c r="L22" s="11" t="s">
        <v>2016</v>
      </c>
      <c r="M22" s="11" t="s">
        <v>272</v>
      </c>
      <c r="N22" s="11" t="s">
        <v>774</v>
      </c>
      <c r="O22" s="11" t="s">
        <v>801</v>
      </c>
      <c r="P22" s="11" t="s">
        <v>2114</v>
      </c>
      <c r="R22" s="11" t="s">
        <v>2056</v>
      </c>
      <c r="S22" s="11" t="s">
        <v>2162</v>
      </c>
      <c r="T22" s="11" t="s">
        <v>802</v>
      </c>
      <c r="U22" s="11" t="s">
        <v>272</v>
      </c>
      <c r="V22" s="11" t="s">
        <v>2163</v>
      </c>
      <c r="W22" s="11" t="s">
        <v>1058</v>
      </c>
      <c r="X22" s="11" t="s">
        <v>985</v>
      </c>
      <c r="Y22" s="11" t="s">
        <v>2020</v>
      </c>
      <c r="Z22" s="11" t="s">
        <v>985</v>
      </c>
      <c r="AA22" s="11" t="s">
        <v>2020</v>
      </c>
      <c r="AB22" s="11" t="s">
        <v>766</v>
      </c>
      <c r="AC22" s="11" t="n">
        <v>1</v>
      </c>
      <c r="AF22" s="11" t="s">
        <v>2164</v>
      </c>
    </row>
    <row r="23" customFormat="false" ht="15" hidden="false" customHeight="false" outlineLevel="0" collapsed="false">
      <c r="A23" s="2" t="s">
        <v>2165</v>
      </c>
      <c r="B23" s="11" t="s">
        <v>2166</v>
      </c>
      <c r="C23" s="11" t="s">
        <v>2167</v>
      </c>
      <c r="D23" s="11" t="s">
        <v>2167</v>
      </c>
      <c r="E23" s="11" t="s">
        <v>2168</v>
      </c>
      <c r="F23" s="11" t="s">
        <v>2169</v>
      </c>
      <c r="G23" s="11" t="s">
        <v>2137</v>
      </c>
      <c r="H23" s="11" t="s">
        <v>2013</v>
      </c>
      <c r="I23" s="11" t="s">
        <v>1618</v>
      </c>
      <c r="J23" s="11" t="s">
        <v>2138</v>
      </c>
      <c r="K23" s="11" t="s">
        <v>2139</v>
      </c>
      <c r="L23" s="11" t="s">
        <v>2016</v>
      </c>
      <c r="M23" s="11" t="s">
        <v>258</v>
      </c>
      <c r="N23" s="11" t="s">
        <v>748</v>
      </c>
      <c r="O23" s="11" t="s">
        <v>801</v>
      </c>
      <c r="P23" s="11" t="s">
        <v>2114</v>
      </c>
      <c r="R23" s="11" t="s">
        <v>2027</v>
      </c>
      <c r="S23" s="11" t="s">
        <v>2019</v>
      </c>
      <c r="T23" s="11" t="s">
        <v>750</v>
      </c>
      <c r="U23" s="11" t="s">
        <v>258</v>
      </c>
      <c r="W23" s="11" t="s">
        <v>1058</v>
      </c>
      <c r="X23" s="11" t="s">
        <v>985</v>
      </c>
      <c r="Y23" s="11" t="s">
        <v>2020</v>
      </c>
      <c r="Z23" s="11" t="s">
        <v>985</v>
      </c>
      <c r="AA23" s="11" t="s">
        <v>2020</v>
      </c>
      <c r="AB23" s="11" t="s">
        <v>766</v>
      </c>
      <c r="AC23" s="11" t="n">
        <v>1</v>
      </c>
      <c r="AF23" s="11" t="s">
        <v>2028</v>
      </c>
    </row>
    <row r="24" customFormat="false" ht="15" hidden="false" customHeight="false" outlineLevel="0" collapsed="false">
      <c r="A24" s="2" t="s">
        <v>2170</v>
      </c>
      <c r="B24" s="11" t="s">
        <v>2171</v>
      </c>
      <c r="C24" s="11" t="s">
        <v>2172</v>
      </c>
      <c r="D24" s="11" t="s">
        <v>2172</v>
      </c>
      <c r="E24" s="11" t="s">
        <v>2173</v>
      </c>
      <c r="F24" s="11" t="s">
        <v>2174</v>
      </c>
      <c r="G24" s="11" t="s">
        <v>2175</v>
      </c>
      <c r="H24" s="11" t="s">
        <v>2145</v>
      </c>
      <c r="I24" s="11" t="s">
        <v>1649</v>
      </c>
      <c r="J24" s="11" t="s">
        <v>2176</v>
      </c>
      <c r="K24" s="11" t="s">
        <v>2177</v>
      </c>
      <c r="L24" s="11" t="s">
        <v>2016</v>
      </c>
      <c r="M24" s="11" t="s">
        <v>258</v>
      </c>
      <c r="N24" s="11" t="s">
        <v>748</v>
      </c>
      <c r="O24" s="11" t="s">
        <v>775</v>
      </c>
      <c r="P24" s="11" t="s">
        <v>2114</v>
      </c>
      <c r="R24" s="11" t="s">
        <v>2027</v>
      </c>
      <c r="S24" s="11" t="s">
        <v>2019</v>
      </c>
      <c r="T24" s="11" t="s">
        <v>750</v>
      </c>
      <c r="U24" s="11" t="s">
        <v>258</v>
      </c>
      <c r="W24" s="11" t="s">
        <v>1058</v>
      </c>
      <c r="X24" s="11" t="s">
        <v>985</v>
      </c>
      <c r="Y24" s="11" t="s">
        <v>2020</v>
      </c>
      <c r="Z24" s="11" t="s">
        <v>985</v>
      </c>
      <c r="AA24" s="11" t="s">
        <v>2020</v>
      </c>
      <c r="AB24" s="11" t="s">
        <v>766</v>
      </c>
      <c r="AC24" s="11" t="n">
        <v>1</v>
      </c>
      <c r="AF24" s="11" t="s">
        <v>2082</v>
      </c>
    </row>
    <row r="25" customFormat="false" ht="15" hidden="false" customHeight="false" outlineLevel="0" collapsed="false">
      <c r="A25" s="2" t="s">
        <v>2178</v>
      </c>
      <c r="B25" s="11" t="s">
        <v>1841</v>
      </c>
      <c r="C25" s="11" t="s">
        <v>2179</v>
      </c>
      <c r="D25" s="11" t="s">
        <v>2179</v>
      </c>
      <c r="E25" s="11" t="s">
        <v>2180</v>
      </c>
      <c r="F25" s="11" t="s">
        <v>2181</v>
      </c>
      <c r="G25" s="11" t="s">
        <v>2175</v>
      </c>
      <c r="H25" s="11" t="s">
        <v>2145</v>
      </c>
      <c r="I25" s="11" t="s">
        <v>1649</v>
      </c>
      <c r="J25" s="11" t="s">
        <v>2176</v>
      </c>
      <c r="K25" s="11" t="s">
        <v>2177</v>
      </c>
      <c r="L25" s="11" t="s">
        <v>2016</v>
      </c>
      <c r="M25" s="11" t="s">
        <v>272</v>
      </c>
      <c r="N25" s="11" t="s">
        <v>774</v>
      </c>
      <c r="O25" s="11" t="s">
        <v>775</v>
      </c>
      <c r="P25" s="11" t="s">
        <v>2114</v>
      </c>
      <c r="R25" s="11" t="s">
        <v>2056</v>
      </c>
      <c r="S25" s="11" t="s">
        <v>2162</v>
      </c>
      <c r="T25" s="11" t="s">
        <v>802</v>
      </c>
      <c r="U25" s="11" t="s">
        <v>272</v>
      </c>
      <c r="V25" s="11" t="s">
        <v>2163</v>
      </c>
      <c r="W25" s="11" t="s">
        <v>1058</v>
      </c>
      <c r="X25" s="11" t="s">
        <v>985</v>
      </c>
      <c r="Y25" s="11" t="s">
        <v>2020</v>
      </c>
      <c r="Z25" s="11" t="s">
        <v>985</v>
      </c>
      <c r="AA25" s="11" t="s">
        <v>2020</v>
      </c>
      <c r="AB25" s="11" t="s">
        <v>766</v>
      </c>
      <c r="AC25" s="11" t="n">
        <v>1</v>
      </c>
      <c r="AF25" s="11" t="s">
        <v>2182</v>
      </c>
    </row>
    <row r="26" customFormat="false" ht="15" hidden="false" customHeight="false" outlineLevel="0" collapsed="false">
      <c r="A26" s="2" t="s">
        <v>2183</v>
      </c>
      <c r="B26" s="11" t="s">
        <v>1832</v>
      </c>
      <c r="C26" s="11" t="s">
        <v>2184</v>
      </c>
      <c r="D26" s="11" t="s">
        <v>2184</v>
      </c>
      <c r="E26" s="11" t="s">
        <v>2185</v>
      </c>
      <c r="F26" s="11" t="s">
        <v>2186</v>
      </c>
      <c r="G26" s="11" t="s">
        <v>2187</v>
      </c>
      <c r="H26" s="11" t="s">
        <v>2145</v>
      </c>
      <c r="I26" s="11" t="s">
        <v>1606</v>
      </c>
      <c r="J26" s="11" t="s">
        <v>2188</v>
      </c>
      <c r="K26" s="11" t="s">
        <v>2189</v>
      </c>
      <c r="L26" s="11" t="s">
        <v>2016</v>
      </c>
      <c r="M26" s="11" t="s">
        <v>258</v>
      </c>
      <c r="N26" s="11" t="s">
        <v>748</v>
      </c>
      <c r="O26" s="11" t="s">
        <v>775</v>
      </c>
      <c r="P26" s="11" t="s">
        <v>2190</v>
      </c>
      <c r="R26" s="11" t="s">
        <v>2056</v>
      </c>
      <c r="S26" s="11" t="s">
        <v>2057</v>
      </c>
      <c r="T26" s="11" t="s">
        <v>776</v>
      </c>
      <c r="U26" s="11" t="s">
        <v>258</v>
      </c>
      <c r="W26" s="11" t="s">
        <v>1058</v>
      </c>
      <c r="X26" s="11" t="s">
        <v>985</v>
      </c>
      <c r="Y26" s="11" t="s">
        <v>2020</v>
      </c>
      <c r="Z26" s="11" t="s">
        <v>985</v>
      </c>
      <c r="AA26" s="11" t="s">
        <v>2020</v>
      </c>
      <c r="AB26" s="11" t="s">
        <v>766</v>
      </c>
      <c r="AC26" s="11" t="n">
        <v>1</v>
      </c>
      <c r="AF26" s="11" t="s">
        <v>2191</v>
      </c>
    </row>
    <row r="27" customFormat="false" ht="15" hidden="false" customHeight="false" outlineLevel="0" collapsed="false">
      <c r="A27" s="2" t="s">
        <v>2192</v>
      </c>
      <c r="B27" s="11" t="s">
        <v>2193</v>
      </c>
      <c r="C27" s="11" t="s">
        <v>2194</v>
      </c>
      <c r="D27" s="11" t="s">
        <v>2194</v>
      </c>
      <c r="E27" s="11" t="s">
        <v>2195</v>
      </c>
      <c r="F27" s="11" t="s">
        <v>2196</v>
      </c>
      <c r="G27" s="11" t="s">
        <v>2197</v>
      </c>
      <c r="H27" s="11" t="s">
        <v>2013</v>
      </c>
      <c r="I27" s="11" t="s">
        <v>1606</v>
      </c>
      <c r="J27" s="11" t="s">
        <v>2198</v>
      </c>
      <c r="K27" s="11" t="s">
        <v>2199</v>
      </c>
      <c r="L27" s="11" t="s">
        <v>2016</v>
      </c>
      <c r="M27" s="11" t="s">
        <v>258</v>
      </c>
      <c r="N27" s="11" t="s">
        <v>748</v>
      </c>
      <c r="O27" s="11" t="s">
        <v>749</v>
      </c>
      <c r="P27" s="11" t="s">
        <v>2114</v>
      </c>
      <c r="R27" s="11" t="s">
        <v>2027</v>
      </c>
      <c r="S27" s="11" t="s">
        <v>2019</v>
      </c>
      <c r="T27" s="11" t="s">
        <v>750</v>
      </c>
      <c r="U27" s="11" t="s">
        <v>258</v>
      </c>
      <c r="W27" s="11" t="s">
        <v>1058</v>
      </c>
      <c r="X27" s="11" t="s">
        <v>985</v>
      </c>
      <c r="Y27" s="11" t="s">
        <v>2020</v>
      </c>
      <c r="Z27" s="11" t="s">
        <v>985</v>
      </c>
      <c r="AA27" s="11" t="s">
        <v>2020</v>
      </c>
      <c r="AB27" s="11" t="s">
        <v>766</v>
      </c>
      <c r="AC27" s="11" t="n">
        <v>1</v>
      </c>
      <c r="AF27" s="11" t="s">
        <v>2082</v>
      </c>
    </row>
    <row r="28" customFormat="false" ht="15" hidden="false" customHeight="false" outlineLevel="0" collapsed="false">
      <c r="A28" s="2" t="s">
        <v>2200</v>
      </c>
      <c r="B28" s="11" t="s">
        <v>2201</v>
      </c>
      <c r="C28" s="11" t="s">
        <v>2202</v>
      </c>
      <c r="D28" s="11" t="s">
        <v>2202</v>
      </c>
      <c r="E28" s="11" t="s">
        <v>2203</v>
      </c>
      <c r="F28" s="11" t="s">
        <v>2204</v>
      </c>
      <c r="G28" s="11" t="s">
        <v>2093</v>
      </c>
      <c r="H28" s="11" t="s">
        <v>2013</v>
      </c>
      <c r="I28" s="11" t="s">
        <v>1629</v>
      </c>
      <c r="J28" s="11" t="s">
        <v>2095</v>
      </c>
      <c r="K28" s="11" t="s">
        <v>2096</v>
      </c>
      <c r="L28" s="11" t="s">
        <v>2016</v>
      </c>
      <c r="M28" s="11" t="s">
        <v>258</v>
      </c>
      <c r="N28" s="11" t="s">
        <v>748</v>
      </c>
      <c r="O28" s="11" t="s">
        <v>749</v>
      </c>
      <c r="P28" s="11" t="s">
        <v>2097</v>
      </c>
      <c r="R28" s="11" t="s">
        <v>2027</v>
      </c>
      <c r="S28" s="11" t="s">
        <v>2019</v>
      </c>
      <c r="T28" s="11" t="s">
        <v>750</v>
      </c>
      <c r="U28" s="11" t="s">
        <v>258</v>
      </c>
      <c r="W28" s="11" t="s">
        <v>1058</v>
      </c>
      <c r="X28" s="11" t="s">
        <v>985</v>
      </c>
      <c r="Y28" s="11" t="s">
        <v>2020</v>
      </c>
      <c r="Z28" s="11" t="s">
        <v>985</v>
      </c>
      <c r="AA28" s="11" t="s">
        <v>2020</v>
      </c>
      <c r="AB28" s="11" t="s">
        <v>766</v>
      </c>
      <c r="AC28" s="11" t="n">
        <v>1</v>
      </c>
      <c r="AF28" s="11" t="s">
        <v>2205</v>
      </c>
    </row>
    <row r="29" customFormat="false" ht="15" hidden="false" customHeight="false" outlineLevel="0" collapsed="false">
      <c r="A29" s="2" t="s">
        <v>2206</v>
      </c>
      <c r="B29" s="11" t="s">
        <v>2207</v>
      </c>
      <c r="C29" s="11" t="s">
        <v>2208</v>
      </c>
      <c r="D29" s="11" t="s">
        <v>2208</v>
      </c>
      <c r="E29" s="11" t="s">
        <v>2209</v>
      </c>
      <c r="F29" s="11" t="s">
        <v>2210</v>
      </c>
      <c r="G29" s="11" t="s">
        <v>2079</v>
      </c>
      <c r="H29" s="11" t="s">
        <v>2013</v>
      </c>
      <c r="I29" s="11" t="s">
        <v>1657</v>
      </c>
      <c r="J29" s="11" t="s">
        <v>2080</v>
      </c>
      <c r="K29" s="11" t="s">
        <v>2081</v>
      </c>
      <c r="L29" s="11" t="s">
        <v>2016</v>
      </c>
      <c r="M29" s="11" t="s">
        <v>272</v>
      </c>
      <c r="N29" s="11" t="s">
        <v>774</v>
      </c>
      <c r="O29" s="11" t="s">
        <v>801</v>
      </c>
      <c r="P29" s="11" t="s">
        <v>2017</v>
      </c>
      <c r="R29" s="11" t="s">
        <v>2056</v>
      </c>
      <c r="S29" s="11" t="s">
        <v>2057</v>
      </c>
      <c r="T29" s="11" t="s">
        <v>776</v>
      </c>
      <c r="U29" s="11" t="s">
        <v>258</v>
      </c>
      <c r="W29" s="11" t="s">
        <v>1058</v>
      </c>
      <c r="X29" s="11" t="s">
        <v>985</v>
      </c>
      <c r="Y29" s="11" t="s">
        <v>2020</v>
      </c>
      <c r="Z29" s="11" t="s">
        <v>985</v>
      </c>
      <c r="AA29" s="11" t="s">
        <v>2020</v>
      </c>
      <c r="AB29" s="11" t="s">
        <v>766</v>
      </c>
      <c r="AC29" s="11" t="n">
        <v>1</v>
      </c>
      <c r="AF29" s="11" t="s">
        <v>2082</v>
      </c>
    </row>
    <row r="30" customFormat="false" ht="15" hidden="false" customHeight="false" outlineLevel="0" collapsed="false">
      <c r="A30" s="2" t="s">
        <v>2211</v>
      </c>
      <c r="B30" s="11" t="s">
        <v>1882</v>
      </c>
      <c r="C30" s="11" t="s">
        <v>2212</v>
      </c>
      <c r="D30" s="11" t="s">
        <v>2212</v>
      </c>
      <c r="E30" s="11" t="s">
        <v>2213</v>
      </c>
      <c r="F30" s="11" t="s">
        <v>2214</v>
      </c>
      <c r="G30" s="11" t="s">
        <v>2215</v>
      </c>
      <c r="H30" s="11" t="s">
        <v>2216</v>
      </c>
      <c r="I30" s="11" t="s">
        <v>1634</v>
      </c>
      <c r="J30" s="11" t="s">
        <v>2217</v>
      </c>
      <c r="K30" s="11" t="s">
        <v>2218</v>
      </c>
      <c r="L30" s="11" t="s">
        <v>2016</v>
      </c>
      <c r="M30" s="11" t="s">
        <v>258</v>
      </c>
      <c r="N30" s="11" t="s">
        <v>748</v>
      </c>
      <c r="O30" s="11" t="s">
        <v>775</v>
      </c>
      <c r="P30" s="11" t="s">
        <v>2219</v>
      </c>
      <c r="R30" s="11" t="s">
        <v>2018</v>
      </c>
      <c r="S30" s="11" t="s">
        <v>2019</v>
      </c>
      <c r="T30" s="11" t="s">
        <v>750</v>
      </c>
      <c r="U30" s="11" t="s">
        <v>258</v>
      </c>
      <c r="W30" s="11" t="s">
        <v>1058</v>
      </c>
      <c r="X30" s="11" t="s">
        <v>985</v>
      </c>
      <c r="Y30" s="11" t="s">
        <v>2020</v>
      </c>
      <c r="Z30" s="11" t="s">
        <v>985</v>
      </c>
      <c r="AA30" s="11" t="s">
        <v>2020</v>
      </c>
      <c r="AB30" s="11" t="s">
        <v>766</v>
      </c>
      <c r="AC30" s="11" t="n">
        <v>1</v>
      </c>
      <c r="AF30" s="11" t="s">
        <v>2082</v>
      </c>
    </row>
    <row r="31" customFormat="false" ht="15" hidden="false" customHeight="false" outlineLevel="0" collapsed="false">
      <c r="A31" s="2" t="s">
        <v>2220</v>
      </c>
      <c r="B31" s="11" t="s">
        <v>2221</v>
      </c>
      <c r="C31" s="11" t="s">
        <v>2222</v>
      </c>
      <c r="D31" s="11" t="s">
        <v>2222</v>
      </c>
      <c r="E31" s="11" t="s">
        <v>2223</v>
      </c>
      <c r="F31" s="11" t="s">
        <v>2224</v>
      </c>
      <c r="G31" s="11" t="s">
        <v>2225</v>
      </c>
      <c r="H31" s="11" t="s">
        <v>2216</v>
      </c>
      <c r="I31" s="11" t="s">
        <v>1644</v>
      </c>
      <c r="J31" s="11" t="s">
        <v>2226</v>
      </c>
      <c r="K31" s="11" t="s">
        <v>2227</v>
      </c>
      <c r="L31" s="11" t="s">
        <v>2016</v>
      </c>
      <c r="M31" s="11" t="s">
        <v>272</v>
      </c>
      <c r="N31" s="11" t="s">
        <v>774</v>
      </c>
      <c r="O31" s="11" t="s">
        <v>749</v>
      </c>
      <c r="P31" s="11" t="s">
        <v>2017</v>
      </c>
      <c r="R31" s="11" t="s">
        <v>2027</v>
      </c>
      <c r="S31" s="11" t="s">
        <v>2019</v>
      </c>
      <c r="T31" s="11" t="s">
        <v>750</v>
      </c>
      <c r="U31" s="11" t="s">
        <v>258</v>
      </c>
      <c r="W31" s="11" t="s">
        <v>1058</v>
      </c>
      <c r="X31" s="11" t="s">
        <v>985</v>
      </c>
      <c r="Y31" s="11" t="s">
        <v>2020</v>
      </c>
      <c r="Z31" s="11" t="s">
        <v>985</v>
      </c>
      <c r="AA31" s="11" t="s">
        <v>2020</v>
      </c>
      <c r="AB31" s="11" t="s">
        <v>766</v>
      </c>
      <c r="AC31" s="11" t="n">
        <v>1</v>
      </c>
      <c r="AF31" s="11" t="s">
        <v>2228</v>
      </c>
    </row>
    <row r="32" customFormat="false" ht="15" hidden="false" customHeight="false" outlineLevel="0" collapsed="false">
      <c r="A32" s="2" t="s">
        <v>2229</v>
      </c>
      <c r="B32" s="11" t="s">
        <v>2230</v>
      </c>
      <c r="C32" s="11" t="s">
        <v>2231</v>
      </c>
      <c r="D32" s="11" t="s">
        <v>2231</v>
      </c>
      <c r="E32" s="11" t="s">
        <v>2232</v>
      </c>
      <c r="F32" s="11" t="s">
        <v>2233</v>
      </c>
      <c r="G32" s="11" t="s">
        <v>2079</v>
      </c>
      <c r="H32" s="11" t="s">
        <v>2013</v>
      </c>
      <c r="I32" s="11" t="s">
        <v>1657</v>
      </c>
      <c r="J32" s="11" t="s">
        <v>2080</v>
      </c>
      <c r="K32" s="11" t="s">
        <v>2081</v>
      </c>
      <c r="L32" s="11" t="s">
        <v>2016</v>
      </c>
      <c r="M32" s="11" t="s">
        <v>258</v>
      </c>
      <c r="N32" s="11" t="s">
        <v>748</v>
      </c>
      <c r="O32" s="11" t="s">
        <v>801</v>
      </c>
      <c r="P32" s="11" t="s">
        <v>2017</v>
      </c>
      <c r="R32" s="11" t="s">
        <v>2027</v>
      </c>
      <c r="S32" s="11" t="s">
        <v>2019</v>
      </c>
      <c r="T32" s="11" t="s">
        <v>776</v>
      </c>
      <c r="U32" s="11" t="s">
        <v>258</v>
      </c>
      <c r="W32" s="11" t="s">
        <v>1058</v>
      </c>
      <c r="X32" s="11" t="s">
        <v>985</v>
      </c>
      <c r="Y32" s="11" t="s">
        <v>2020</v>
      </c>
      <c r="Z32" s="11" t="s">
        <v>985</v>
      </c>
      <c r="AA32" s="11" t="s">
        <v>2020</v>
      </c>
      <c r="AB32" s="11" t="s">
        <v>766</v>
      </c>
      <c r="AC32" s="11" t="n">
        <v>1</v>
      </c>
      <c r="AF32" s="11" t="s">
        <v>2234</v>
      </c>
    </row>
    <row r="33" customFormat="false" ht="15" hidden="false" customHeight="false" outlineLevel="0" collapsed="false">
      <c r="A33" s="2" t="s">
        <v>2235</v>
      </c>
      <c r="B33" s="11" t="s">
        <v>2236</v>
      </c>
      <c r="C33" s="11" t="s">
        <v>2237</v>
      </c>
      <c r="D33" s="11" t="s">
        <v>2237</v>
      </c>
      <c r="E33" s="11" t="s">
        <v>2238</v>
      </c>
      <c r="F33" s="11" t="s">
        <v>2239</v>
      </c>
      <c r="G33" s="11" t="s">
        <v>2079</v>
      </c>
      <c r="H33" s="11" t="s">
        <v>2013</v>
      </c>
      <c r="I33" s="11" t="s">
        <v>1657</v>
      </c>
      <c r="J33" s="11" t="s">
        <v>2080</v>
      </c>
      <c r="K33" s="11" t="s">
        <v>2081</v>
      </c>
      <c r="L33" s="11" t="s">
        <v>2016</v>
      </c>
      <c r="M33" s="11" t="s">
        <v>258</v>
      </c>
      <c r="N33" s="11" t="s">
        <v>748</v>
      </c>
      <c r="O33" s="11" t="s">
        <v>801</v>
      </c>
      <c r="P33" s="11" t="s">
        <v>2017</v>
      </c>
      <c r="R33" s="11" t="s">
        <v>2027</v>
      </c>
      <c r="S33" s="11" t="s">
        <v>2019</v>
      </c>
      <c r="T33" s="11" t="s">
        <v>776</v>
      </c>
      <c r="U33" s="11" t="s">
        <v>258</v>
      </c>
      <c r="W33" s="11" t="s">
        <v>1058</v>
      </c>
      <c r="X33" s="11" t="s">
        <v>985</v>
      </c>
      <c r="Y33" s="11" t="s">
        <v>2020</v>
      </c>
      <c r="Z33" s="11" t="s">
        <v>985</v>
      </c>
      <c r="AA33" s="11" t="s">
        <v>2020</v>
      </c>
      <c r="AB33" s="11" t="s">
        <v>766</v>
      </c>
      <c r="AC33" s="11" t="n">
        <v>1</v>
      </c>
      <c r="AF33" s="11" t="s">
        <v>2240</v>
      </c>
    </row>
    <row r="34" customFormat="false" ht="15" hidden="false" customHeight="false" outlineLevel="0" collapsed="false">
      <c r="A34" s="2" t="s">
        <v>2241</v>
      </c>
      <c r="B34" s="11" t="s">
        <v>2242</v>
      </c>
      <c r="C34" s="11" t="s">
        <v>2243</v>
      </c>
      <c r="D34" s="11" t="s">
        <v>2243</v>
      </c>
      <c r="E34" s="11" t="s">
        <v>2244</v>
      </c>
      <c r="F34" s="11" t="s">
        <v>2245</v>
      </c>
      <c r="G34" s="11" t="s">
        <v>2079</v>
      </c>
      <c r="H34" s="11" t="s">
        <v>2013</v>
      </c>
      <c r="I34" s="11" t="s">
        <v>1657</v>
      </c>
      <c r="J34" s="11" t="s">
        <v>2080</v>
      </c>
      <c r="K34" s="11" t="s">
        <v>2081</v>
      </c>
      <c r="L34" s="11" t="s">
        <v>2016</v>
      </c>
      <c r="M34" s="11" t="s">
        <v>272</v>
      </c>
      <c r="N34" s="11" t="s">
        <v>774</v>
      </c>
      <c r="O34" s="11" t="s">
        <v>801</v>
      </c>
      <c r="P34" s="11" t="s">
        <v>2017</v>
      </c>
      <c r="R34" s="11" t="s">
        <v>2056</v>
      </c>
      <c r="S34" s="11" t="s">
        <v>2057</v>
      </c>
      <c r="T34" s="11" t="s">
        <v>776</v>
      </c>
      <c r="U34" s="11" t="s">
        <v>258</v>
      </c>
      <c r="W34" s="11" t="s">
        <v>1058</v>
      </c>
      <c r="X34" s="11" t="s">
        <v>985</v>
      </c>
      <c r="Y34" s="11" t="s">
        <v>2020</v>
      </c>
      <c r="Z34" s="11" t="s">
        <v>985</v>
      </c>
      <c r="AA34" s="11" t="s">
        <v>2020</v>
      </c>
      <c r="AB34" s="11" t="s">
        <v>766</v>
      </c>
      <c r="AC34" s="11" t="n">
        <v>1</v>
      </c>
      <c r="AF34" s="11" t="s">
        <v>2246</v>
      </c>
    </row>
    <row r="35" customFormat="false" ht="15" hidden="false" customHeight="false" outlineLevel="0" collapsed="false">
      <c r="A35" s="2" t="s">
        <v>2247</v>
      </c>
      <c r="B35" s="11" t="s">
        <v>2248</v>
      </c>
      <c r="C35" s="11" t="s">
        <v>2249</v>
      </c>
      <c r="D35" s="11" t="s">
        <v>2249</v>
      </c>
      <c r="E35" s="11" t="s">
        <v>2250</v>
      </c>
      <c r="F35" s="11" t="s">
        <v>2251</v>
      </c>
      <c r="G35" s="11" t="s">
        <v>2012</v>
      </c>
      <c r="H35" s="11" t="s">
        <v>2145</v>
      </c>
      <c r="I35" s="11" t="s">
        <v>1629</v>
      </c>
      <c r="J35" s="11" t="s">
        <v>2014</v>
      </c>
      <c r="K35" s="11" t="s">
        <v>2015</v>
      </c>
      <c r="L35" s="11" t="s">
        <v>2016</v>
      </c>
      <c r="M35" s="11" t="s">
        <v>272</v>
      </c>
      <c r="N35" s="11" t="s">
        <v>774</v>
      </c>
      <c r="O35" s="11" t="s">
        <v>823</v>
      </c>
      <c r="P35" s="11" t="s">
        <v>2017</v>
      </c>
      <c r="R35" s="11" t="s">
        <v>2056</v>
      </c>
      <c r="S35" s="11" t="s">
        <v>2057</v>
      </c>
      <c r="T35" s="11" t="s">
        <v>776</v>
      </c>
      <c r="U35" s="11" t="s">
        <v>258</v>
      </c>
      <c r="W35" s="11" t="s">
        <v>1058</v>
      </c>
      <c r="X35" s="11" t="s">
        <v>985</v>
      </c>
      <c r="Y35" s="11" t="s">
        <v>2020</v>
      </c>
      <c r="Z35" s="11" t="s">
        <v>985</v>
      </c>
      <c r="AA35" s="11" t="s">
        <v>2020</v>
      </c>
      <c r="AB35" s="11" t="s">
        <v>766</v>
      </c>
      <c r="AC35" s="11" t="n">
        <v>1</v>
      </c>
      <c r="AF35" s="11" t="s">
        <v>2252</v>
      </c>
    </row>
    <row r="36" customFormat="false" ht="15" hidden="false" customHeight="false" outlineLevel="0" collapsed="false">
      <c r="A36" s="2" t="s">
        <v>2253</v>
      </c>
      <c r="B36" s="11" t="s">
        <v>2254</v>
      </c>
      <c r="C36" s="11" t="s">
        <v>2255</v>
      </c>
      <c r="D36" s="11" t="s">
        <v>2255</v>
      </c>
      <c r="E36" s="11" t="s">
        <v>2256</v>
      </c>
      <c r="F36" s="11" t="s">
        <v>2257</v>
      </c>
      <c r="G36" s="11" t="s">
        <v>2012</v>
      </c>
      <c r="H36" s="11" t="s">
        <v>2055</v>
      </c>
      <c r="I36" s="11" t="s">
        <v>1629</v>
      </c>
      <c r="J36" s="11" t="s">
        <v>2014</v>
      </c>
      <c r="K36" s="11" t="s">
        <v>2015</v>
      </c>
      <c r="L36" s="11" t="s">
        <v>2016</v>
      </c>
      <c r="M36" s="11" t="s">
        <v>272</v>
      </c>
      <c r="N36" s="11" t="s">
        <v>774</v>
      </c>
      <c r="O36" s="11" t="s">
        <v>823</v>
      </c>
      <c r="P36" s="11" t="s">
        <v>2017</v>
      </c>
      <c r="R36" s="11" t="s">
        <v>2056</v>
      </c>
      <c r="S36" s="11" t="s">
        <v>2057</v>
      </c>
      <c r="T36" s="11" t="s">
        <v>776</v>
      </c>
      <c r="U36" s="11" t="s">
        <v>258</v>
      </c>
      <c r="W36" s="11" t="s">
        <v>1058</v>
      </c>
      <c r="X36" s="11" t="s">
        <v>985</v>
      </c>
      <c r="Y36" s="11" t="s">
        <v>2020</v>
      </c>
      <c r="Z36" s="11" t="s">
        <v>985</v>
      </c>
      <c r="AA36" s="11" t="s">
        <v>2020</v>
      </c>
      <c r="AB36" s="11" t="s">
        <v>766</v>
      </c>
      <c r="AC36" s="11" t="n">
        <v>1</v>
      </c>
      <c r="AF36" s="11" t="s">
        <v>2258</v>
      </c>
    </row>
    <row r="37" customFormat="false" ht="15" hidden="false" customHeight="false" outlineLevel="0" collapsed="false">
      <c r="A37" s="2" t="s">
        <v>2259</v>
      </c>
      <c r="B37" s="11" t="s">
        <v>2260</v>
      </c>
      <c r="C37" s="11" t="s">
        <v>2261</v>
      </c>
      <c r="D37" s="11" t="s">
        <v>2261</v>
      </c>
      <c r="E37" s="11" t="s">
        <v>2262</v>
      </c>
      <c r="F37" s="11" t="s">
        <v>2263</v>
      </c>
      <c r="G37" s="11" t="s">
        <v>2079</v>
      </c>
      <c r="H37" s="11" t="s">
        <v>2013</v>
      </c>
      <c r="I37" s="11" t="s">
        <v>1657</v>
      </c>
      <c r="J37" s="11" t="s">
        <v>2080</v>
      </c>
      <c r="K37" s="11" t="s">
        <v>2081</v>
      </c>
      <c r="L37" s="11" t="s">
        <v>2016</v>
      </c>
      <c r="M37" s="11" t="s">
        <v>258</v>
      </c>
      <c r="N37" s="11" t="s">
        <v>748</v>
      </c>
      <c r="O37" s="11" t="s">
        <v>801</v>
      </c>
      <c r="P37" s="11" t="s">
        <v>2017</v>
      </c>
      <c r="R37" s="11" t="s">
        <v>2056</v>
      </c>
      <c r="S37" s="11" t="s">
        <v>2057</v>
      </c>
      <c r="T37" s="11" t="s">
        <v>776</v>
      </c>
      <c r="U37" s="11" t="s">
        <v>258</v>
      </c>
      <c r="W37" s="11" t="s">
        <v>1058</v>
      </c>
      <c r="X37" s="11" t="s">
        <v>985</v>
      </c>
      <c r="Y37" s="11" t="s">
        <v>2020</v>
      </c>
      <c r="Z37" s="11" t="s">
        <v>985</v>
      </c>
      <c r="AA37" s="11" t="s">
        <v>2020</v>
      </c>
      <c r="AB37" s="11" t="s">
        <v>766</v>
      </c>
      <c r="AC37" s="11" t="n">
        <v>1</v>
      </c>
      <c r="AF37" s="11" t="s">
        <v>2082</v>
      </c>
    </row>
    <row r="38" customFormat="false" ht="15" hidden="false" customHeight="false" outlineLevel="0" collapsed="false">
      <c r="A38" s="2" t="s">
        <v>2264</v>
      </c>
      <c r="B38" s="11" t="s">
        <v>2265</v>
      </c>
      <c r="C38" s="11" t="s">
        <v>2266</v>
      </c>
      <c r="D38" s="11" t="s">
        <v>2266</v>
      </c>
      <c r="E38" s="11" t="s">
        <v>2267</v>
      </c>
      <c r="F38" s="11" t="s">
        <v>2268</v>
      </c>
      <c r="G38" s="11" t="s">
        <v>2012</v>
      </c>
      <c r="H38" s="11" t="s">
        <v>2013</v>
      </c>
      <c r="I38" s="11" t="s">
        <v>1629</v>
      </c>
      <c r="J38" s="11" t="s">
        <v>2014</v>
      </c>
      <c r="K38" s="11" t="s">
        <v>2015</v>
      </c>
      <c r="L38" s="11" t="s">
        <v>2016</v>
      </c>
      <c r="M38" s="11" t="s">
        <v>272</v>
      </c>
      <c r="N38" s="11" t="s">
        <v>774</v>
      </c>
      <c r="O38" s="11" t="s">
        <v>823</v>
      </c>
      <c r="P38" s="11" t="s">
        <v>2017</v>
      </c>
      <c r="R38" s="11" t="s">
        <v>2018</v>
      </c>
      <c r="S38" s="11" t="s">
        <v>2019</v>
      </c>
      <c r="T38" s="11" t="s">
        <v>750</v>
      </c>
      <c r="U38" s="11" t="s">
        <v>258</v>
      </c>
      <c r="W38" s="11" t="s">
        <v>1058</v>
      </c>
      <c r="X38" s="11" t="s">
        <v>985</v>
      </c>
      <c r="Y38" s="11" t="s">
        <v>2020</v>
      </c>
      <c r="Z38" s="11" t="s">
        <v>985</v>
      </c>
      <c r="AA38" s="11" t="s">
        <v>2020</v>
      </c>
      <c r="AB38" s="11" t="s">
        <v>766</v>
      </c>
      <c r="AC38" s="11" t="n">
        <v>1</v>
      </c>
      <c r="AF38" s="11" t="s">
        <v>2269</v>
      </c>
    </row>
    <row r="39" customFormat="false" ht="15" hidden="false" customHeight="false" outlineLevel="0" collapsed="false">
      <c r="A39" s="2" t="s">
        <v>2270</v>
      </c>
      <c r="B39" s="11" t="s">
        <v>2271</v>
      </c>
      <c r="C39" s="11" t="s">
        <v>2272</v>
      </c>
      <c r="D39" s="11" t="s">
        <v>2272</v>
      </c>
      <c r="E39" s="11" t="s">
        <v>2273</v>
      </c>
      <c r="F39" s="11" t="s">
        <v>2274</v>
      </c>
      <c r="G39" s="11" t="s">
        <v>2197</v>
      </c>
      <c r="H39" s="11" t="s">
        <v>2094</v>
      </c>
      <c r="I39" s="11" t="s">
        <v>1606</v>
      </c>
      <c r="J39" s="11" t="s">
        <v>2198</v>
      </c>
      <c r="K39" s="11" t="s">
        <v>2199</v>
      </c>
      <c r="L39" s="11" t="s">
        <v>2016</v>
      </c>
      <c r="M39" s="11" t="s">
        <v>258</v>
      </c>
      <c r="N39" s="11" t="s">
        <v>748</v>
      </c>
      <c r="O39" s="11" t="s">
        <v>749</v>
      </c>
      <c r="P39" s="11" t="s">
        <v>2114</v>
      </c>
      <c r="R39" s="11" t="s">
        <v>2027</v>
      </c>
      <c r="S39" s="11" t="s">
        <v>2019</v>
      </c>
      <c r="T39" s="11" t="s">
        <v>750</v>
      </c>
      <c r="U39" s="11" t="s">
        <v>258</v>
      </c>
      <c r="W39" s="11" t="s">
        <v>1058</v>
      </c>
      <c r="X39" s="11" t="s">
        <v>985</v>
      </c>
      <c r="Y39" s="11" t="s">
        <v>2020</v>
      </c>
      <c r="Z39" s="11" t="s">
        <v>985</v>
      </c>
      <c r="AA39" s="11" t="s">
        <v>2020</v>
      </c>
      <c r="AB39" s="11" t="s">
        <v>766</v>
      </c>
      <c r="AC39" s="11" t="n">
        <v>1</v>
      </c>
      <c r="AF39" s="11" t="s">
        <v>2275</v>
      </c>
    </row>
    <row r="40" customFormat="false" ht="15" hidden="false" customHeight="false" outlineLevel="0" collapsed="false">
      <c r="A40" s="2" t="s">
        <v>2276</v>
      </c>
      <c r="B40" s="11" t="s">
        <v>2277</v>
      </c>
      <c r="C40" s="11" t="s">
        <v>2278</v>
      </c>
      <c r="D40" s="11" t="s">
        <v>2278</v>
      </c>
      <c r="E40" s="11" t="s">
        <v>2279</v>
      </c>
      <c r="F40" s="11" t="s">
        <v>2280</v>
      </c>
      <c r="G40" s="11" t="s">
        <v>2197</v>
      </c>
      <c r="H40" s="11" t="s">
        <v>2145</v>
      </c>
      <c r="I40" s="11" t="s">
        <v>1606</v>
      </c>
      <c r="J40" s="11" t="s">
        <v>2198</v>
      </c>
      <c r="K40" s="11" t="s">
        <v>2199</v>
      </c>
      <c r="L40" s="11" t="s">
        <v>2016</v>
      </c>
      <c r="M40" s="11" t="s">
        <v>258</v>
      </c>
      <c r="N40" s="11" t="s">
        <v>748</v>
      </c>
      <c r="O40" s="11" t="s">
        <v>749</v>
      </c>
      <c r="P40" s="11" t="s">
        <v>2114</v>
      </c>
      <c r="R40" s="11" t="s">
        <v>2027</v>
      </c>
      <c r="S40" s="11" t="s">
        <v>2019</v>
      </c>
      <c r="T40" s="11" t="s">
        <v>750</v>
      </c>
      <c r="U40" s="11" t="s">
        <v>258</v>
      </c>
      <c r="W40" s="11" t="s">
        <v>1058</v>
      </c>
      <c r="X40" s="11" t="s">
        <v>985</v>
      </c>
      <c r="Y40" s="11" t="s">
        <v>2020</v>
      </c>
      <c r="Z40" s="11" t="s">
        <v>985</v>
      </c>
      <c r="AA40" s="11" t="s">
        <v>2020</v>
      </c>
      <c r="AB40" s="11" t="s">
        <v>766</v>
      </c>
      <c r="AC40" s="11" t="n">
        <v>1</v>
      </c>
      <c r="AF40" s="11" t="s">
        <v>2281</v>
      </c>
    </row>
    <row r="41" customFormat="false" ht="15" hidden="false" customHeight="false" outlineLevel="0" collapsed="false">
      <c r="A41" s="2" t="s">
        <v>2282</v>
      </c>
      <c r="B41" s="11" t="s">
        <v>1845</v>
      </c>
      <c r="C41" s="11" t="s">
        <v>2283</v>
      </c>
      <c r="D41" s="11" t="s">
        <v>2283</v>
      </c>
      <c r="E41" s="11" t="s">
        <v>2284</v>
      </c>
      <c r="F41" s="11" t="s">
        <v>2285</v>
      </c>
      <c r="G41" s="11" t="s">
        <v>2187</v>
      </c>
      <c r="H41" s="11" t="s">
        <v>2094</v>
      </c>
      <c r="I41" s="11" t="s">
        <v>1606</v>
      </c>
      <c r="J41" s="11" t="s">
        <v>2188</v>
      </c>
      <c r="K41" s="11" t="s">
        <v>2189</v>
      </c>
      <c r="L41" s="11" t="s">
        <v>2016</v>
      </c>
      <c r="M41" s="11" t="s">
        <v>258</v>
      </c>
      <c r="N41" s="11" t="s">
        <v>748</v>
      </c>
      <c r="O41" s="11" t="s">
        <v>775</v>
      </c>
      <c r="P41" s="11" t="s">
        <v>2190</v>
      </c>
      <c r="R41" s="11" t="s">
        <v>2027</v>
      </c>
      <c r="S41" s="11" t="s">
        <v>2019</v>
      </c>
      <c r="T41" s="11" t="s">
        <v>750</v>
      </c>
      <c r="U41" s="11" t="s">
        <v>258</v>
      </c>
      <c r="W41" s="11" t="s">
        <v>1058</v>
      </c>
      <c r="X41" s="11" t="s">
        <v>985</v>
      </c>
      <c r="Y41" s="11" t="s">
        <v>2020</v>
      </c>
      <c r="Z41" s="11" t="s">
        <v>985</v>
      </c>
      <c r="AA41" s="11" t="s">
        <v>2020</v>
      </c>
      <c r="AB41" s="11" t="s">
        <v>766</v>
      </c>
      <c r="AC41" s="11" t="n">
        <v>1</v>
      </c>
      <c r="AF41" s="11" t="s">
        <v>2275</v>
      </c>
    </row>
    <row r="42" customFormat="false" ht="15" hidden="false" customHeight="false" outlineLevel="0" collapsed="false">
      <c r="A42" s="2" t="s">
        <v>2286</v>
      </c>
      <c r="B42" s="11" t="s">
        <v>2287</v>
      </c>
      <c r="C42" s="11" t="s">
        <v>2288</v>
      </c>
      <c r="D42" s="11" t="s">
        <v>2288</v>
      </c>
      <c r="E42" s="11" t="s">
        <v>2289</v>
      </c>
      <c r="F42" s="11" t="s">
        <v>2290</v>
      </c>
      <c r="G42" s="11" t="s">
        <v>2093</v>
      </c>
      <c r="H42" s="11" t="s">
        <v>2291</v>
      </c>
      <c r="I42" s="11" t="s">
        <v>1629</v>
      </c>
      <c r="J42" s="11" t="s">
        <v>2095</v>
      </c>
      <c r="K42" s="11" t="s">
        <v>2096</v>
      </c>
      <c r="L42" s="11" t="s">
        <v>2016</v>
      </c>
      <c r="M42" s="11" t="s">
        <v>258</v>
      </c>
      <c r="N42" s="11" t="s">
        <v>748</v>
      </c>
      <c r="O42" s="11" t="s">
        <v>749</v>
      </c>
      <c r="P42" s="11" t="s">
        <v>2097</v>
      </c>
      <c r="R42" s="11" t="s">
        <v>2018</v>
      </c>
      <c r="S42" s="11" t="s">
        <v>2019</v>
      </c>
      <c r="T42" s="11" t="s">
        <v>776</v>
      </c>
      <c r="U42" s="11" t="s">
        <v>258</v>
      </c>
      <c r="W42" s="11" t="s">
        <v>1058</v>
      </c>
      <c r="X42" s="11" t="s">
        <v>985</v>
      </c>
      <c r="Y42" s="11" t="s">
        <v>2020</v>
      </c>
      <c r="Z42" s="11" t="s">
        <v>985</v>
      </c>
      <c r="AA42" s="11" t="s">
        <v>2020</v>
      </c>
      <c r="AB42" s="11" t="s">
        <v>766</v>
      </c>
      <c r="AC42" s="11" t="n">
        <v>1</v>
      </c>
      <c r="AF42" s="11" t="s">
        <v>2292</v>
      </c>
    </row>
    <row r="43" customFormat="false" ht="15" hidden="false" customHeight="false" outlineLevel="0" collapsed="false">
      <c r="A43" s="2" t="s">
        <v>2293</v>
      </c>
      <c r="B43" s="11" t="s">
        <v>2294</v>
      </c>
      <c r="C43" s="11" t="s">
        <v>2295</v>
      </c>
      <c r="D43" s="11" t="s">
        <v>2295</v>
      </c>
      <c r="E43" s="11" t="s">
        <v>2296</v>
      </c>
      <c r="F43" s="11" t="s">
        <v>2297</v>
      </c>
      <c r="G43" s="11" t="s">
        <v>2175</v>
      </c>
      <c r="H43" s="11" t="s">
        <v>2145</v>
      </c>
      <c r="I43" s="11" t="s">
        <v>1649</v>
      </c>
      <c r="J43" s="11" t="s">
        <v>2176</v>
      </c>
      <c r="K43" s="11" t="s">
        <v>2177</v>
      </c>
      <c r="L43" s="11" t="s">
        <v>2016</v>
      </c>
      <c r="M43" s="11" t="s">
        <v>258</v>
      </c>
      <c r="N43" s="11" t="s">
        <v>748</v>
      </c>
      <c r="O43" s="11" t="s">
        <v>775</v>
      </c>
      <c r="P43" s="11" t="s">
        <v>2114</v>
      </c>
      <c r="R43" s="11" t="s">
        <v>2027</v>
      </c>
      <c r="S43" s="11" t="s">
        <v>2019</v>
      </c>
      <c r="T43" s="11" t="s">
        <v>750</v>
      </c>
      <c r="U43" s="11" t="s">
        <v>258</v>
      </c>
      <c r="W43" s="11" t="s">
        <v>1058</v>
      </c>
      <c r="X43" s="11" t="s">
        <v>985</v>
      </c>
      <c r="Y43" s="11" t="s">
        <v>2020</v>
      </c>
      <c r="Z43" s="11" t="s">
        <v>985</v>
      </c>
      <c r="AA43" s="11" t="s">
        <v>2020</v>
      </c>
      <c r="AB43" s="11" t="s">
        <v>766</v>
      </c>
      <c r="AC43" s="11" t="n">
        <v>1</v>
      </c>
      <c r="AF43" s="11" t="s">
        <v>2082</v>
      </c>
    </row>
    <row r="44" customFormat="false" ht="15" hidden="false" customHeight="false" outlineLevel="0" collapsed="false">
      <c r="A44" s="2" t="s">
        <v>2298</v>
      </c>
      <c r="B44" s="11" t="s">
        <v>2299</v>
      </c>
      <c r="C44" s="11" t="s">
        <v>2300</v>
      </c>
      <c r="D44" s="11" t="s">
        <v>2300</v>
      </c>
      <c r="E44" s="11" t="s">
        <v>2301</v>
      </c>
      <c r="F44" s="11" t="s">
        <v>2302</v>
      </c>
      <c r="G44" s="11" t="s">
        <v>2187</v>
      </c>
      <c r="H44" s="11" t="s">
        <v>2216</v>
      </c>
      <c r="I44" s="11" t="s">
        <v>1606</v>
      </c>
      <c r="J44" s="11" t="s">
        <v>2188</v>
      </c>
      <c r="K44" s="11" t="s">
        <v>2189</v>
      </c>
      <c r="L44" s="11" t="s">
        <v>2016</v>
      </c>
      <c r="M44" s="11" t="s">
        <v>258</v>
      </c>
      <c r="N44" s="11" t="s">
        <v>748</v>
      </c>
      <c r="O44" s="11" t="s">
        <v>775</v>
      </c>
      <c r="P44" s="11" t="s">
        <v>2190</v>
      </c>
      <c r="R44" s="11" t="s">
        <v>2027</v>
      </c>
      <c r="S44" s="11" t="s">
        <v>2019</v>
      </c>
      <c r="T44" s="11" t="s">
        <v>750</v>
      </c>
      <c r="U44" s="11" t="s">
        <v>258</v>
      </c>
      <c r="W44" s="11" t="s">
        <v>1058</v>
      </c>
      <c r="X44" s="11" t="s">
        <v>985</v>
      </c>
      <c r="Y44" s="11" t="s">
        <v>2020</v>
      </c>
      <c r="Z44" s="11" t="s">
        <v>985</v>
      </c>
      <c r="AA44" s="11" t="s">
        <v>2020</v>
      </c>
      <c r="AB44" s="11" t="s">
        <v>766</v>
      </c>
      <c r="AC44" s="11" t="n">
        <v>1</v>
      </c>
      <c r="AF44" s="11" t="s">
        <v>2303</v>
      </c>
    </row>
    <row r="45" customFormat="false" ht="15" hidden="false" customHeight="false" outlineLevel="0" collapsed="false">
      <c r="A45" s="2" t="s">
        <v>2304</v>
      </c>
      <c r="B45" s="11" t="s">
        <v>2305</v>
      </c>
      <c r="C45" s="11" t="s">
        <v>2306</v>
      </c>
      <c r="D45" s="11" t="s">
        <v>2306</v>
      </c>
      <c r="E45" s="11" t="s">
        <v>2307</v>
      </c>
      <c r="F45" s="11" t="s">
        <v>2308</v>
      </c>
      <c r="G45" s="11" t="s">
        <v>2215</v>
      </c>
      <c r="H45" s="11" t="s">
        <v>2013</v>
      </c>
      <c r="I45" s="11" t="s">
        <v>1634</v>
      </c>
      <c r="J45" s="11" t="s">
        <v>2217</v>
      </c>
      <c r="K45" s="11" t="s">
        <v>2218</v>
      </c>
      <c r="L45" s="11" t="s">
        <v>2016</v>
      </c>
      <c r="M45" s="11" t="s">
        <v>258</v>
      </c>
      <c r="N45" s="11" t="s">
        <v>748</v>
      </c>
      <c r="O45" s="11" t="s">
        <v>775</v>
      </c>
      <c r="P45" s="11" t="s">
        <v>2219</v>
      </c>
      <c r="R45" s="11" t="s">
        <v>2056</v>
      </c>
      <c r="S45" s="11" t="s">
        <v>2057</v>
      </c>
      <c r="T45" s="11" t="s">
        <v>776</v>
      </c>
      <c r="U45" s="11" t="s">
        <v>258</v>
      </c>
      <c r="W45" s="11" t="s">
        <v>1058</v>
      </c>
      <c r="X45" s="11" t="s">
        <v>985</v>
      </c>
      <c r="Y45" s="11" t="s">
        <v>2020</v>
      </c>
      <c r="Z45" s="11" t="s">
        <v>985</v>
      </c>
      <c r="AA45" s="11" t="s">
        <v>2020</v>
      </c>
      <c r="AB45" s="11" t="s">
        <v>766</v>
      </c>
      <c r="AC45" s="11" t="n">
        <v>1</v>
      </c>
      <c r="AF45" s="11" t="s">
        <v>2309</v>
      </c>
    </row>
    <row r="46" customFormat="false" ht="15" hidden="false" customHeight="false" outlineLevel="0" collapsed="false">
      <c r="A46" s="2" t="s">
        <v>2310</v>
      </c>
      <c r="B46" s="11" t="s">
        <v>2311</v>
      </c>
      <c r="C46" s="11" t="s">
        <v>2312</v>
      </c>
      <c r="D46" s="11" t="s">
        <v>2312</v>
      </c>
      <c r="E46" s="11" t="s">
        <v>2313</v>
      </c>
      <c r="F46" s="11" t="s">
        <v>2314</v>
      </c>
      <c r="G46" s="11" t="s">
        <v>2225</v>
      </c>
      <c r="H46" s="11" t="s">
        <v>2291</v>
      </c>
      <c r="I46" s="11" t="s">
        <v>1644</v>
      </c>
      <c r="J46" s="11" t="s">
        <v>2226</v>
      </c>
      <c r="K46" s="11" t="s">
        <v>2227</v>
      </c>
      <c r="L46" s="11" t="s">
        <v>2016</v>
      </c>
      <c r="M46" s="11" t="s">
        <v>272</v>
      </c>
      <c r="N46" s="11" t="s">
        <v>774</v>
      </c>
      <c r="O46" s="11" t="s">
        <v>749</v>
      </c>
      <c r="P46" s="11" t="s">
        <v>2017</v>
      </c>
      <c r="R46" s="11" t="s">
        <v>2018</v>
      </c>
      <c r="S46" s="11" t="s">
        <v>2019</v>
      </c>
      <c r="T46" s="11" t="s">
        <v>750</v>
      </c>
      <c r="U46" s="11" t="s">
        <v>258</v>
      </c>
      <c r="W46" s="11" t="s">
        <v>1058</v>
      </c>
      <c r="X46" s="11" t="s">
        <v>985</v>
      </c>
      <c r="Y46" s="11" t="s">
        <v>2020</v>
      </c>
      <c r="Z46" s="11" t="s">
        <v>985</v>
      </c>
      <c r="AA46" s="11" t="s">
        <v>2020</v>
      </c>
      <c r="AB46" s="11" t="s">
        <v>766</v>
      </c>
      <c r="AC46" s="11" t="n">
        <v>1</v>
      </c>
      <c r="AF46" s="11" t="s">
        <v>2315</v>
      </c>
    </row>
    <row r="47" customFormat="false" ht="15" hidden="false" customHeight="false" outlineLevel="0" collapsed="false">
      <c r="A47" s="2" t="s">
        <v>2316</v>
      </c>
      <c r="B47" s="11" t="s">
        <v>2317</v>
      </c>
      <c r="C47" s="11" t="s">
        <v>2318</v>
      </c>
      <c r="D47" s="11" t="s">
        <v>2318</v>
      </c>
      <c r="E47" s="11" t="s">
        <v>2319</v>
      </c>
      <c r="F47" s="11" t="s">
        <v>2320</v>
      </c>
      <c r="G47" s="11" t="s">
        <v>2225</v>
      </c>
      <c r="H47" s="11" t="s">
        <v>2291</v>
      </c>
      <c r="I47" s="11" t="s">
        <v>1644</v>
      </c>
      <c r="J47" s="11" t="s">
        <v>2226</v>
      </c>
      <c r="K47" s="11" t="s">
        <v>2227</v>
      </c>
      <c r="L47" s="11" t="s">
        <v>2016</v>
      </c>
      <c r="M47" s="11" t="s">
        <v>258</v>
      </c>
      <c r="N47" s="11" t="s">
        <v>748</v>
      </c>
      <c r="O47" s="11" t="s">
        <v>749</v>
      </c>
      <c r="P47" s="11" t="s">
        <v>2017</v>
      </c>
      <c r="R47" s="11" t="s">
        <v>2027</v>
      </c>
      <c r="S47" s="11" t="s">
        <v>2019</v>
      </c>
      <c r="T47" s="11" t="s">
        <v>750</v>
      </c>
      <c r="U47" s="11" t="s">
        <v>258</v>
      </c>
      <c r="W47" s="11" t="s">
        <v>1058</v>
      </c>
      <c r="X47" s="11" t="s">
        <v>985</v>
      </c>
      <c r="Y47" s="11" t="s">
        <v>2020</v>
      </c>
      <c r="Z47" s="11" t="s">
        <v>985</v>
      </c>
      <c r="AA47" s="11" t="s">
        <v>2020</v>
      </c>
      <c r="AB47" s="11" t="s">
        <v>766</v>
      </c>
      <c r="AC47" s="11" t="n">
        <v>1</v>
      </c>
      <c r="AF47" s="11" t="s">
        <v>2028</v>
      </c>
    </row>
    <row r="48" customFormat="false" ht="15" hidden="false" customHeight="false" outlineLevel="0" collapsed="false">
      <c r="A48" s="2" t="s">
        <v>2321</v>
      </c>
      <c r="B48" s="11" t="s">
        <v>2322</v>
      </c>
      <c r="C48" s="11" t="s">
        <v>2323</v>
      </c>
      <c r="D48" s="11" t="s">
        <v>2323</v>
      </c>
      <c r="E48" s="11" t="s">
        <v>2324</v>
      </c>
      <c r="F48" s="11" t="s">
        <v>2325</v>
      </c>
      <c r="G48" s="11" t="s">
        <v>2215</v>
      </c>
      <c r="H48" s="11" t="s">
        <v>2326</v>
      </c>
      <c r="I48" s="11" t="s">
        <v>1634</v>
      </c>
      <c r="J48" s="11" t="s">
        <v>2217</v>
      </c>
      <c r="K48" s="11" t="s">
        <v>2218</v>
      </c>
      <c r="L48" s="11" t="s">
        <v>2016</v>
      </c>
      <c r="M48" s="11" t="s">
        <v>272</v>
      </c>
      <c r="N48" s="11" t="s">
        <v>774</v>
      </c>
      <c r="O48" s="11" t="s">
        <v>775</v>
      </c>
      <c r="P48" s="11" t="s">
        <v>2219</v>
      </c>
      <c r="R48" s="11" t="s">
        <v>2027</v>
      </c>
      <c r="S48" s="11" t="s">
        <v>2019</v>
      </c>
      <c r="T48" s="11" t="s">
        <v>750</v>
      </c>
      <c r="U48" s="11" t="s">
        <v>258</v>
      </c>
      <c r="W48" s="11" t="s">
        <v>1058</v>
      </c>
      <c r="X48" s="11" t="s">
        <v>985</v>
      </c>
      <c r="Y48" s="11" t="s">
        <v>2020</v>
      </c>
      <c r="Z48" s="11" t="s">
        <v>985</v>
      </c>
      <c r="AA48" s="11" t="s">
        <v>2020</v>
      </c>
      <c r="AB48" s="11" t="s">
        <v>766</v>
      </c>
      <c r="AC48" s="11" t="n">
        <v>1</v>
      </c>
      <c r="AF48" s="11" t="s">
        <v>2327</v>
      </c>
    </row>
    <row r="49" customFormat="false" ht="15" hidden="false" customHeight="false" outlineLevel="0" collapsed="false">
      <c r="A49" s="2" t="s">
        <v>2328</v>
      </c>
      <c r="B49" s="11" t="s">
        <v>2329</v>
      </c>
      <c r="C49" s="11" t="s">
        <v>2330</v>
      </c>
      <c r="D49" s="11" t="s">
        <v>2330</v>
      </c>
      <c r="E49" s="11" t="s">
        <v>2331</v>
      </c>
      <c r="F49" s="11" t="s">
        <v>2332</v>
      </c>
      <c r="G49" s="11" t="s">
        <v>2137</v>
      </c>
      <c r="H49" s="11" t="s">
        <v>2145</v>
      </c>
      <c r="I49" s="11" t="s">
        <v>1618</v>
      </c>
      <c r="J49" s="11" t="s">
        <v>2138</v>
      </c>
      <c r="K49" s="11" t="s">
        <v>2139</v>
      </c>
      <c r="L49" s="11" t="s">
        <v>2016</v>
      </c>
      <c r="M49" s="11" t="s">
        <v>272</v>
      </c>
      <c r="N49" s="11" t="s">
        <v>774</v>
      </c>
      <c r="O49" s="11" t="s">
        <v>801</v>
      </c>
      <c r="P49" s="11" t="s">
        <v>2114</v>
      </c>
      <c r="R49" s="11" t="s">
        <v>2056</v>
      </c>
      <c r="S49" s="11" t="s">
        <v>2162</v>
      </c>
      <c r="T49" s="11" t="s">
        <v>802</v>
      </c>
      <c r="U49" s="11" t="s">
        <v>272</v>
      </c>
      <c r="V49" s="11" t="s">
        <v>2163</v>
      </c>
      <c r="W49" s="11" t="s">
        <v>1058</v>
      </c>
      <c r="X49" s="11" t="s">
        <v>985</v>
      </c>
      <c r="Y49" s="11" t="s">
        <v>2020</v>
      </c>
      <c r="Z49" s="11" t="s">
        <v>985</v>
      </c>
      <c r="AA49" s="11" t="s">
        <v>2020</v>
      </c>
      <c r="AB49" s="11" t="s">
        <v>766</v>
      </c>
      <c r="AC49" s="11" t="n">
        <v>1</v>
      </c>
      <c r="AF49" s="11" t="s">
        <v>2333</v>
      </c>
    </row>
    <row r="50" customFormat="false" ht="15" hidden="false" customHeight="false" outlineLevel="0" collapsed="false">
      <c r="A50" s="2" t="s">
        <v>2334</v>
      </c>
      <c r="B50" s="11" t="s">
        <v>2335</v>
      </c>
      <c r="C50" s="11" t="s">
        <v>2336</v>
      </c>
      <c r="D50" s="11" t="s">
        <v>2336</v>
      </c>
      <c r="E50" s="11" t="s">
        <v>2337</v>
      </c>
      <c r="F50" s="11" t="s">
        <v>2338</v>
      </c>
      <c r="G50" s="11" t="s">
        <v>2197</v>
      </c>
      <c r="H50" s="11" t="s">
        <v>2013</v>
      </c>
      <c r="I50" s="11" t="s">
        <v>1606</v>
      </c>
      <c r="J50" s="11" t="s">
        <v>2198</v>
      </c>
      <c r="K50" s="11" t="s">
        <v>2199</v>
      </c>
      <c r="L50" s="11" t="s">
        <v>2016</v>
      </c>
      <c r="M50" s="11" t="s">
        <v>258</v>
      </c>
      <c r="N50" s="11" t="s">
        <v>748</v>
      </c>
      <c r="O50" s="11" t="s">
        <v>749</v>
      </c>
      <c r="P50" s="11" t="s">
        <v>2114</v>
      </c>
      <c r="R50" s="11" t="s">
        <v>2018</v>
      </c>
      <c r="S50" s="11" t="s">
        <v>2019</v>
      </c>
      <c r="T50" s="11" t="s">
        <v>776</v>
      </c>
      <c r="U50" s="11" t="s">
        <v>258</v>
      </c>
      <c r="W50" s="11" t="s">
        <v>1058</v>
      </c>
      <c r="X50" s="11" t="s">
        <v>985</v>
      </c>
      <c r="Y50" s="11" t="s">
        <v>2020</v>
      </c>
      <c r="Z50" s="11" t="s">
        <v>985</v>
      </c>
      <c r="AA50" s="11" t="s">
        <v>2020</v>
      </c>
      <c r="AB50" s="11" t="s">
        <v>766</v>
      </c>
      <c r="AC50" s="11" t="n">
        <v>1</v>
      </c>
      <c r="AF50" s="11" t="s">
        <v>2082</v>
      </c>
    </row>
    <row r="51" customFormat="false" ht="15" hidden="false" customHeight="false" outlineLevel="0" collapsed="false">
      <c r="A51" s="2" t="s">
        <v>2339</v>
      </c>
      <c r="B51" s="11" t="s">
        <v>2340</v>
      </c>
      <c r="C51" s="11" t="s">
        <v>2341</v>
      </c>
      <c r="D51" s="11" t="s">
        <v>2341</v>
      </c>
      <c r="E51" s="11" t="s">
        <v>2342</v>
      </c>
      <c r="F51" s="11" t="s">
        <v>2343</v>
      </c>
      <c r="G51" s="11" t="s">
        <v>2197</v>
      </c>
      <c r="H51" s="11" t="s">
        <v>2055</v>
      </c>
      <c r="I51" s="11" t="s">
        <v>1606</v>
      </c>
      <c r="J51" s="11" t="s">
        <v>2198</v>
      </c>
      <c r="K51" s="11" t="s">
        <v>2199</v>
      </c>
      <c r="L51" s="11" t="s">
        <v>2016</v>
      </c>
      <c r="M51" s="11" t="s">
        <v>258</v>
      </c>
      <c r="N51" s="11" t="s">
        <v>748</v>
      </c>
      <c r="O51" s="11" t="s">
        <v>749</v>
      </c>
      <c r="P51" s="11" t="s">
        <v>2114</v>
      </c>
      <c r="R51" s="11" t="s">
        <v>2027</v>
      </c>
      <c r="S51" s="11" t="s">
        <v>2019</v>
      </c>
      <c r="T51" s="11" t="s">
        <v>750</v>
      </c>
      <c r="U51" s="11" t="s">
        <v>258</v>
      </c>
      <c r="W51" s="11" t="s">
        <v>1058</v>
      </c>
      <c r="X51" s="11" t="s">
        <v>985</v>
      </c>
      <c r="Y51" s="11" t="s">
        <v>2020</v>
      </c>
      <c r="Z51" s="11" t="s">
        <v>985</v>
      </c>
      <c r="AA51" s="11" t="s">
        <v>2020</v>
      </c>
      <c r="AB51" s="11" t="s">
        <v>766</v>
      </c>
      <c r="AC51" s="11" t="n">
        <v>1</v>
      </c>
      <c r="AF51" s="11" t="s">
        <v>2082</v>
      </c>
    </row>
    <row r="52" customFormat="false" ht="15" hidden="false" customHeight="false" outlineLevel="0" collapsed="false">
      <c r="A52" s="2" t="s">
        <v>2344</v>
      </c>
      <c r="B52" s="11" t="s">
        <v>2345</v>
      </c>
      <c r="C52" s="11" t="s">
        <v>2346</v>
      </c>
      <c r="D52" s="11" t="s">
        <v>2346</v>
      </c>
      <c r="E52" s="11" t="s">
        <v>2347</v>
      </c>
      <c r="F52" s="11" t="s">
        <v>2348</v>
      </c>
      <c r="G52" s="11" t="s">
        <v>2079</v>
      </c>
      <c r="H52" s="11" t="s">
        <v>2013</v>
      </c>
      <c r="I52" s="11" t="s">
        <v>1657</v>
      </c>
      <c r="J52" s="11" t="s">
        <v>2080</v>
      </c>
      <c r="K52" s="11" t="s">
        <v>2081</v>
      </c>
      <c r="L52" s="11" t="s">
        <v>2016</v>
      </c>
      <c r="M52" s="11" t="s">
        <v>272</v>
      </c>
      <c r="N52" s="11" t="s">
        <v>774</v>
      </c>
      <c r="O52" s="11" t="s">
        <v>801</v>
      </c>
      <c r="P52" s="11" t="s">
        <v>2017</v>
      </c>
      <c r="Q52" s="11" t="s">
        <v>2349</v>
      </c>
      <c r="R52" s="11" t="s">
        <v>2027</v>
      </c>
      <c r="S52" s="11" t="s">
        <v>2019</v>
      </c>
      <c r="T52" s="11" t="s">
        <v>750</v>
      </c>
      <c r="U52" s="11" t="s">
        <v>258</v>
      </c>
      <c r="W52" s="11" t="s">
        <v>1058</v>
      </c>
      <c r="X52" s="11" t="s">
        <v>985</v>
      </c>
      <c r="Y52" s="11" t="s">
        <v>2020</v>
      </c>
      <c r="Z52" s="11" t="s">
        <v>985</v>
      </c>
      <c r="AA52" s="11" t="s">
        <v>2020</v>
      </c>
      <c r="AB52" s="11" t="s">
        <v>766</v>
      </c>
      <c r="AC52" s="11" t="n">
        <v>1</v>
      </c>
      <c r="AF52" s="11" t="s">
        <v>2350</v>
      </c>
    </row>
    <row r="53" customFormat="false" ht="15" hidden="false" customHeight="false" outlineLevel="0" collapsed="false">
      <c r="A53" s="2" t="s">
        <v>2351</v>
      </c>
      <c r="B53" s="11" t="s">
        <v>2352</v>
      </c>
      <c r="C53" s="11" t="s">
        <v>2353</v>
      </c>
      <c r="D53" s="11" t="s">
        <v>2353</v>
      </c>
      <c r="E53" s="11" t="s">
        <v>2354</v>
      </c>
      <c r="F53" s="11" t="s">
        <v>2355</v>
      </c>
      <c r="G53" s="11" t="s">
        <v>2079</v>
      </c>
      <c r="H53" s="11" t="s">
        <v>2013</v>
      </c>
      <c r="I53" s="11" t="s">
        <v>1657</v>
      </c>
      <c r="J53" s="11" t="s">
        <v>2080</v>
      </c>
      <c r="K53" s="11" t="s">
        <v>2081</v>
      </c>
      <c r="L53" s="11" t="s">
        <v>2016</v>
      </c>
      <c r="M53" s="11" t="s">
        <v>272</v>
      </c>
      <c r="N53" s="11" t="s">
        <v>774</v>
      </c>
      <c r="O53" s="11" t="s">
        <v>801</v>
      </c>
      <c r="P53" s="11" t="s">
        <v>2017</v>
      </c>
      <c r="Q53" s="11" t="s">
        <v>2356</v>
      </c>
      <c r="R53" s="11" t="s">
        <v>2027</v>
      </c>
      <c r="S53" s="11" t="s">
        <v>2019</v>
      </c>
      <c r="T53" s="11" t="s">
        <v>750</v>
      </c>
      <c r="U53" s="11" t="s">
        <v>258</v>
      </c>
      <c r="W53" s="11" t="s">
        <v>1058</v>
      </c>
      <c r="X53" s="11" t="s">
        <v>985</v>
      </c>
      <c r="Y53" s="11" t="s">
        <v>2020</v>
      </c>
      <c r="Z53" s="11" t="s">
        <v>985</v>
      </c>
      <c r="AA53" s="11" t="s">
        <v>2020</v>
      </c>
      <c r="AB53" s="11" t="s">
        <v>766</v>
      </c>
      <c r="AC53" s="11" t="n">
        <v>1</v>
      </c>
      <c r="AF53" s="11" t="s">
        <v>2357</v>
      </c>
    </row>
    <row r="54" customFormat="false" ht="15" hidden="false" customHeight="false" outlineLevel="0" collapsed="false">
      <c r="A54" s="2" t="s">
        <v>2358</v>
      </c>
      <c r="B54" s="11" t="s">
        <v>2359</v>
      </c>
      <c r="C54" s="11" t="s">
        <v>2360</v>
      </c>
      <c r="D54" s="11" t="s">
        <v>2360</v>
      </c>
      <c r="E54" s="11" t="s">
        <v>2361</v>
      </c>
      <c r="F54" s="11" t="s">
        <v>2362</v>
      </c>
      <c r="G54" s="11" t="s">
        <v>2079</v>
      </c>
      <c r="H54" s="11" t="s">
        <v>2013</v>
      </c>
      <c r="I54" s="11" t="s">
        <v>1657</v>
      </c>
      <c r="J54" s="11" t="s">
        <v>2080</v>
      </c>
      <c r="K54" s="11" t="s">
        <v>2081</v>
      </c>
      <c r="L54" s="11" t="s">
        <v>2016</v>
      </c>
      <c r="M54" s="11" t="s">
        <v>272</v>
      </c>
      <c r="N54" s="11" t="s">
        <v>774</v>
      </c>
      <c r="O54" s="11" t="s">
        <v>801</v>
      </c>
      <c r="P54" s="11" t="s">
        <v>2017</v>
      </c>
      <c r="Q54" s="11" t="s">
        <v>2363</v>
      </c>
      <c r="R54" s="11" t="s">
        <v>2018</v>
      </c>
      <c r="S54" s="11" t="s">
        <v>2019</v>
      </c>
      <c r="T54" s="11" t="s">
        <v>776</v>
      </c>
      <c r="U54" s="11" t="s">
        <v>258</v>
      </c>
      <c r="W54" s="11" t="s">
        <v>1058</v>
      </c>
      <c r="X54" s="11" t="s">
        <v>985</v>
      </c>
      <c r="Y54" s="11" t="s">
        <v>2020</v>
      </c>
      <c r="Z54" s="11" t="s">
        <v>985</v>
      </c>
      <c r="AA54" s="11" t="s">
        <v>2020</v>
      </c>
      <c r="AB54" s="11" t="s">
        <v>766</v>
      </c>
      <c r="AC54" s="11" t="n">
        <v>1</v>
      </c>
      <c r="AF54" s="11" t="s">
        <v>2364</v>
      </c>
    </row>
    <row r="55" customFormat="false" ht="15" hidden="false" customHeight="false" outlineLevel="0" collapsed="false">
      <c r="A55" s="2" t="s">
        <v>2365</v>
      </c>
      <c r="B55" s="11" t="s">
        <v>2366</v>
      </c>
      <c r="C55" s="11" t="s">
        <v>2367</v>
      </c>
      <c r="D55" s="11" t="s">
        <v>2367</v>
      </c>
      <c r="E55" s="11" t="s">
        <v>2368</v>
      </c>
      <c r="F55" s="11" t="s">
        <v>2369</v>
      </c>
      <c r="G55" s="11" t="s">
        <v>2103</v>
      </c>
      <c r="H55" s="11" t="s">
        <v>2055</v>
      </c>
      <c r="I55" s="11" t="s">
        <v>1657</v>
      </c>
      <c r="J55" s="11" t="s">
        <v>2104</v>
      </c>
      <c r="K55" s="11" t="s">
        <v>2105</v>
      </c>
      <c r="L55" s="11" t="s">
        <v>2016</v>
      </c>
      <c r="M55" s="11" t="s">
        <v>272</v>
      </c>
      <c r="N55" s="11" t="s">
        <v>774</v>
      </c>
      <c r="O55" s="11" t="s">
        <v>801</v>
      </c>
      <c r="P55" s="11" t="s">
        <v>2017</v>
      </c>
      <c r="Q55" s="11" t="s">
        <v>2370</v>
      </c>
      <c r="R55" s="11" t="s">
        <v>2056</v>
      </c>
      <c r="S55" s="11" t="s">
        <v>2057</v>
      </c>
      <c r="T55" s="11" t="s">
        <v>776</v>
      </c>
      <c r="U55" s="11" t="s">
        <v>258</v>
      </c>
      <c r="W55" s="11" t="s">
        <v>1058</v>
      </c>
      <c r="X55" s="11" t="s">
        <v>985</v>
      </c>
      <c r="Y55" s="11" t="s">
        <v>2020</v>
      </c>
      <c r="Z55" s="11" t="s">
        <v>985</v>
      </c>
      <c r="AA55" s="11" t="s">
        <v>2020</v>
      </c>
      <c r="AB55" s="11" t="s">
        <v>766</v>
      </c>
      <c r="AC55" s="11" t="n">
        <v>1</v>
      </c>
      <c r="AF55" s="11" t="s">
        <v>2371</v>
      </c>
    </row>
    <row r="56" customFormat="false" ht="15" hidden="false" customHeight="false" outlineLevel="0" collapsed="false">
      <c r="A56" s="2" t="s">
        <v>2372</v>
      </c>
      <c r="B56" s="11" t="s">
        <v>2373</v>
      </c>
      <c r="C56" s="11" t="s">
        <v>2374</v>
      </c>
      <c r="D56" s="11" t="s">
        <v>2374</v>
      </c>
      <c r="E56" s="11" t="s">
        <v>2375</v>
      </c>
      <c r="F56" s="11" t="s">
        <v>2376</v>
      </c>
      <c r="G56" s="11" t="s">
        <v>2069</v>
      </c>
      <c r="H56" s="11" t="s">
        <v>2291</v>
      </c>
      <c r="I56" s="11" t="s">
        <v>1613</v>
      </c>
      <c r="J56" s="11" t="s">
        <v>2071</v>
      </c>
      <c r="K56" s="11" t="s">
        <v>2072</v>
      </c>
      <c r="L56" s="11" t="s">
        <v>2016</v>
      </c>
      <c r="M56" s="11" t="s">
        <v>258</v>
      </c>
      <c r="N56" s="11" t="s">
        <v>800</v>
      </c>
      <c r="O56" s="11" t="s">
        <v>801</v>
      </c>
      <c r="P56" s="11" t="s">
        <v>2073</v>
      </c>
      <c r="Q56" s="11" t="s">
        <v>2377</v>
      </c>
      <c r="R56" s="11" t="s">
        <v>2027</v>
      </c>
      <c r="S56" s="11" t="s">
        <v>2019</v>
      </c>
      <c r="T56" s="11" t="s">
        <v>776</v>
      </c>
      <c r="U56" s="11" t="s">
        <v>258</v>
      </c>
      <c r="W56" s="11" t="s">
        <v>1058</v>
      </c>
      <c r="X56" s="11" t="s">
        <v>985</v>
      </c>
      <c r="Y56" s="11" t="s">
        <v>2020</v>
      </c>
      <c r="Z56" s="11" t="s">
        <v>985</v>
      </c>
      <c r="AA56" s="11" t="s">
        <v>2020</v>
      </c>
      <c r="AB56" s="11" t="s">
        <v>766</v>
      </c>
      <c r="AC56" s="11" t="n">
        <v>1</v>
      </c>
      <c r="AF56" s="11" t="s">
        <v>2378</v>
      </c>
    </row>
    <row r="57" customFormat="false" ht="15" hidden="false" customHeight="false" outlineLevel="0" collapsed="false">
      <c r="A57" s="2" t="s">
        <v>2379</v>
      </c>
      <c r="B57" s="11" t="s">
        <v>2380</v>
      </c>
      <c r="C57" s="11" t="s">
        <v>2381</v>
      </c>
      <c r="D57" s="11" t="s">
        <v>2381</v>
      </c>
      <c r="E57" s="11" t="s">
        <v>2382</v>
      </c>
      <c r="F57" s="11" t="s">
        <v>2383</v>
      </c>
      <c r="G57" s="11" t="s">
        <v>2012</v>
      </c>
      <c r="H57" s="11" t="s">
        <v>2013</v>
      </c>
      <c r="I57" s="11" t="s">
        <v>1629</v>
      </c>
      <c r="J57" s="11" t="s">
        <v>2014</v>
      </c>
      <c r="K57" s="11" t="s">
        <v>2015</v>
      </c>
      <c r="L57" s="11" t="s">
        <v>2016</v>
      </c>
      <c r="M57" s="11" t="s">
        <v>258</v>
      </c>
      <c r="N57" s="11" t="s">
        <v>748</v>
      </c>
      <c r="O57" s="11" t="s">
        <v>823</v>
      </c>
      <c r="P57" s="11" t="s">
        <v>2017</v>
      </c>
      <c r="Q57" s="11" t="s">
        <v>2384</v>
      </c>
      <c r="R57" s="11" t="s">
        <v>2056</v>
      </c>
      <c r="S57" s="11" t="s">
        <v>2057</v>
      </c>
      <c r="T57" s="11" t="s">
        <v>776</v>
      </c>
      <c r="U57" s="11" t="s">
        <v>258</v>
      </c>
      <c r="W57" s="11" t="s">
        <v>1058</v>
      </c>
      <c r="X57" s="11" t="s">
        <v>985</v>
      </c>
      <c r="Y57" s="11" t="s">
        <v>2020</v>
      </c>
      <c r="Z57" s="11" t="s">
        <v>985</v>
      </c>
      <c r="AA57" s="11" t="s">
        <v>2020</v>
      </c>
      <c r="AB57" s="11" t="s">
        <v>766</v>
      </c>
      <c r="AC57" s="11" t="n">
        <v>1</v>
      </c>
      <c r="AF57" s="11" t="s">
        <v>2385</v>
      </c>
    </row>
    <row r="58" customFormat="false" ht="15" hidden="false" customHeight="false" outlineLevel="0" collapsed="false">
      <c r="A58" s="2" t="s">
        <v>2386</v>
      </c>
      <c r="B58" s="11" t="s">
        <v>2387</v>
      </c>
      <c r="C58" s="11" t="s">
        <v>2388</v>
      </c>
      <c r="D58" s="11" t="s">
        <v>2388</v>
      </c>
      <c r="E58" s="11" t="s">
        <v>2389</v>
      </c>
      <c r="F58" s="11" t="s">
        <v>2390</v>
      </c>
      <c r="G58" s="11" t="s">
        <v>2079</v>
      </c>
      <c r="H58" s="11" t="s">
        <v>2013</v>
      </c>
      <c r="I58" s="11" t="s">
        <v>1657</v>
      </c>
      <c r="J58" s="11" t="s">
        <v>2080</v>
      </c>
      <c r="K58" s="11" t="s">
        <v>2081</v>
      </c>
      <c r="L58" s="11" t="s">
        <v>2016</v>
      </c>
      <c r="M58" s="11" t="s">
        <v>272</v>
      </c>
      <c r="N58" s="11" t="s">
        <v>774</v>
      </c>
      <c r="O58" s="11" t="s">
        <v>801</v>
      </c>
      <c r="P58" s="11" t="s">
        <v>2017</v>
      </c>
      <c r="Q58" s="11" t="s">
        <v>2391</v>
      </c>
      <c r="R58" s="11" t="s">
        <v>2056</v>
      </c>
      <c r="S58" s="11" t="s">
        <v>2057</v>
      </c>
      <c r="T58" s="11" t="s">
        <v>776</v>
      </c>
      <c r="U58" s="11" t="s">
        <v>258</v>
      </c>
      <c r="W58" s="11" t="s">
        <v>1058</v>
      </c>
      <c r="X58" s="11" t="s">
        <v>985</v>
      </c>
      <c r="Y58" s="11" t="s">
        <v>2020</v>
      </c>
      <c r="Z58" s="11" t="s">
        <v>985</v>
      </c>
      <c r="AA58" s="11" t="s">
        <v>2020</v>
      </c>
      <c r="AB58" s="11" t="s">
        <v>766</v>
      </c>
      <c r="AC58" s="11" t="n">
        <v>1</v>
      </c>
      <c r="AF58" s="11" t="s">
        <v>2392</v>
      </c>
    </row>
    <row r="59" customFormat="false" ht="15" hidden="false" customHeight="false" outlineLevel="0" collapsed="false">
      <c r="A59" s="2" t="s">
        <v>2393</v>
      </c>
      <c r="B59" s="11" t="s">
        <v>2394</v>
      </c>
      <c r="C59" s="11" t="s">
        <v>2395</v>
      </c>
      <c r="D59" s="11" t="s">
        <v>2395</v>
      </c>
      <c r="E59" s="11" t="s">
        <v>2396</v>
      </c>
      <c r="F59" s="11" t="s">
        <v>2397</v>
      </c>
      <c r="G59" s="11" t="s">
        <v>2111</v>
      </c>
      <c r="H59" s="11" t="s">
        <v>2013</v>
      </c>
      <c r="I59" s="11" t="s">
        <v>1657</v>
      </c>
      <c r="J59" s="11" t="s">
        <v>2112</v>
      </c>
      <c r="K59" s="11" t="s">
        <v>2113</v>
      </c>
      <c r="L59" s="11" t="s">
        <v>2016</v>
      </c>
      <c r="M59" s="11" t="s">
        <v>272</v>
      </c>
      <c r="N59" s="11" t="s">
        <v>774</v>
      </c>
      <c r="O59" s="11" t="s">
        <v>823</v>
      </c>
      <c r="P59" s="11" t="s">
        <v>2114</v>
      </c>
      <c r="Q59" s="11" t="s">
        <v>2398</v>
      </c>
      <c r="R59" s="11" t="s">
        <v>2027</v>
      </c>
      <c r="S59" s="11" t="s">
        <v>2019</v>
      </c>
      <c r="T59" s="11" t="s">
        <v>750</v>
      </c>
      <c r="U59" s="11" t="s">
        <v>258</v>
      </c>
      <c r="W59" s="11" t="s">
        <v>1058</v>
      </c>
      <c r="X59" s="11" t="s">
        <v>985</v>
      </c>
      <c r="Y59" s="11" t="s">
        <v>2020</v>
      </c>
      <c r="Z59" s="11" t="s">
        <v>985</v>
      </c>
      <c r="AA59" s="11" t="s">
        <v>2020</v>
      </c>
      <c r="AB59" s="11" t="s">
        <v>766</v>
      </c>
      <c r="AC59" s="11" t="n">
        <v>1</v>
      </c>
      <c r="AF59" s="11" t="s">
        <v>2399</v>
      </c>
    </row>
    <row r="60" customFormat="false" ht="15" hidden="false" customHeight="false" outlineLevel="0" collapsed="false">
      <c r="A60" s="2" t="s">
        <v>2400</v>
      </c>
      <c r="B60" s="11" t="s">
        <v>2401</v>
      </c>
      <c r="C60" s="11" t="s">
        <v>2402</v>
      </c>
      <c r="D60" s="11" t="s">
        <v>2402</v>
      </c>
      <c r="E60" s="11" t="s">
        <v>2403</v>
      </c>
      <c r="F60" s="11" t="s">
        <v>2404</v>
      </c>
      <c r="G60" s="11" t="s">
        <v>2137</v>
      </c>
      <c r="H60" s="11" t="s">
        <v>2070</v>
      </c>
      <c r="I60" s="11" t="s">
        <v>1618</v>
      </c>
      <c r="J60" s="11" t="s">
        <v>2138</v>
      </c>
      <c r="K60" s="11" t="s">
        <v>2139</v>
      </c>
      <c r="L60" s="11" t="s">
        <v>2016</v>
      </c>
      <c r="M60" s="11" t="s">
        <v>272</v>
      </c>
      <c r="N60" s="11" t="s">
        <v>774</v>
      </c>
      <c r="O60" s="11" t="s">
        <v>801</v>
      </c>
      <c r="P60" s="11" t="s">
        <v>2114</v>
      </c>
      <c r="Q60" s="11" t="s">
        <v>2405</v>
      </c>
      <c r="R60" s="11" t="s">
        <v>2056</v>
      </c>
      <c r="S60" s="11" t="s">
        <v>2057</v>
      </c>
      <c r="T60" s="11" t="s">
        <v>776</v>
      </c>
      <c r="U60" s="11" t="s">
        <v>258</v>
      </c>
      <c r="W60" s="11" t="s">
        <v>1058</v>
      </c>
      <c r="X60" s="11" t="s">
        <v>985</v>
      </c>
      <c r="Y60" s="11" t="s">
        <v>2020</v>
      </c>
      <c r="Z60" s="11" t="s">
        <v>985</v>
      </c>
      <c r="AA60" s="11" t="s">
        <v>2020</v>
      </c>
      <c r="AB60" s="11" t="s">
        <v>766</v>
      </c>
      <c r="AC60" s="11" t="n">
        <v>1</v>
      </c>
      <c r="AF60" s="11" t="s">
        <v>2406</v>
      </c>
    </row>
    <row r="61" customFormat="false" ht="15" hidden="false" customHeight="false" outlineLevel="0" collapsed="false">
      <c r="A61" s="2" t="s">
        <v>2407</v>
      </c>
      <c r="B61" s="11" t="s">
        <v>2408</v>
      </c>
      <c r="C61" s="11" t="s">
        <v>2409</v>
      </c>
      <c r="D61" s="11" t="s">
        <v>2409</v>
      </c>
      <c r="E61" s="11" t="s">
        <v>2410</v>
      </c>
      <c r="F61" s="11" t="s">
        <v>2411</v>
      </c>
      <c r="G61" s="11" t="s">
        <v>2137</v>
      </c>
      <c r="H61" s="11" t="s">
        <v>2145</v>
      </c>
      <c r="I61" s="11" t="s">
        <v>1618</v>
      </c>
      <c r="J61" s="11" t="s">
        <v>2138</v>
      </c>
      <c r="K61" s="11" t="s">
        <v>2139</v>
      </c>
      <c r="L61" s="11" t="s">
        <v>2016</v>
      </c>
      <c r="M61" s="11" t="s">
        <v>272</v>
      </c>
      <c r="N61" s="11" t="s">
        <v>774</v>
      </c>
      <c r="O61" s="11" t="s">
        <v>801</v>
      </c>
      <c r="P61" s="11" t="s">
        <v>2114</v>
      </c>
      <c r="Q61" s="11" t="s">
        <v>2412</v>
      </c>
      <c r="R61" s="11" t="s">
        <v>2056</v>
      </c>
      <c r="S61" s="11" t="s">
        <v>2162</v>
      </c>
      <c r="T61" s="11" t="s">
        <v>802</v>
      </c>
      <c r="U61" s="11" t="s">
        <v>272</v>
      </c>
      <c r="V61" s="11" t="s">
        <v>2163</v>
      </c>
      <c r="W61" s="11" t="s">
        <v>1058</v>
      </c>
      <c r="X61" s="11" t="s">
        <v>985</v>
      </c>
      <c r="Y61" s="11" t="s">
        <v>2020</v>
      </c>
      <c r="Z61" s="11" t="s">
        <v>985</v>
      </c>
      <c r="AA61" s="11" t="s">
        <v>2020</v>
      </c>
      <c r="AB61" s="11" t="s">
        <v>766</v>
      </c>
      <c r="AC61" s="11" t="n">
        <v>1</v>
      </c>
      <c r="AF61" s="11" t="s">
        <v>2413</v>
      </c>
    </row>
    <row r="62" customFormat="false" ht="15" hidden="false" customHeight="false" outlineLevel="0" collapsed="false">
      <c r="A62" s="2" t="s">
        <v>2414</v>
      </c>
      <c r="B62" s="11" t="s">
        <v>2415</v>
      </c>
      <c r="C62" s="11" t="s">
        <v>2416</v>
      </c>
      <c r="D62" s="11" t="s">
        <v>2416</v>
      </c>
      <c r="E62" s="11" t="s">
        <v>2417</v>
      </c>
      <c r="F62" s="11" t="s">
        <v>2418</v>
      </c>
      <c r="G62" s="11" t="s">
        <v>2187</v>
      </c>
      <c r="H62" s="11" t="s">
        <v>2145</v>
      </c>
      <c r="I62" s="11" t="s">
        <v>1606</v>
      </c>
      <c r="J62" s="11" t="s">
        <v>2188</v>
      </c>
      <c r="K62" s="11" t="s">
        <v>2189</v>
      </c>
      <c r="L62" s="11" t="s">
        <v>2016</v>
      </c>
      <c r="M62" s="11" t="s">
        <v>272</v>
      </c>
      <c r="N62" s="11" t="s">
        <v>774</v>
      </c>
      <c r="O62" s="11" t="s">
        <v>775</v>
      </c>
      <c r="P62" s="11" t="s">
        <v>2190</v>
      </c>
      <c r="Q62" s="11" t="s">
        <v>2419</v>
      </c>
      <c r="R62" s="11" t="s">
        <v>2056</v>
      </c>
      <c r="S62" s="11" t="s">
        <v>2057</v>
      </c>
      <c r="T62" s="11" t="s">
        <v>776</v>
      </c>
      <c r="U62" s="11" t="s">
        <v>258</v>
      </c>
      <c r="W62" s="11" t="s">
        <v>1058</v>
      </c>
      <c r="X62" s="11" t="s">
        <v>985</v>
      </c>
      <c r="Y62" s="11" t="s">
        <v>2020</v>
      </c>
      <c r="Z62" s="11" t="s">
        <v>985</v>
      </c>
      <c r="AA62" s="11" t="s">
        <v>2020</v>
      </c>
      <c r="AB62" s="11" t="s">
        <v>766</v>
      </c>
      <c r="AC62" s="11" t="n">
        <v>1</v>
      </c>
      <c r="AF62" s="11" t="s">
        <v>2420</v>
      </c>
    </row>
    <row r="63" customFormat="false" ht="15" hidden="false" customHeight="false" outlineLevel="0" collapsed="false">
      <c r="A63" s="2" t="s">
        <v>2421</v>
      </c>
      <c r="B63" s="11" t="s">
        <v>2422</v>
      </c>
      <c r="C63" s="11" t="s">
        <v>2423</v>
      </c>
      <c r="D63" s="11" t="s">
        <v>2423</v>
      </c>
      <c r="E63" s="11" t="s">
        <v>2424</v>
      </c>
      <c r="F63" s="11" t="s">
        <v>2425</v>
      </c>
      <c r="G63" s="11" t="s">
        <v>2093</v>
      </c>
      <c r="H63" s="11" t="s">
        <v>2145</v>
      </c>
      <c r="I63" s="11" t="s">
        <v>1629</v>
      </c>
      <c r="J63" s="11" t="s">
        <v>2095</v>
      </c>
      <c r="K63" s="11" t="s">
        <v>2096</v>
      </c>
      <c r="L63" s="11" t="s">
        <v>2016</v>
      </c>
      <c r="M63" s="11" t="s">
        <v>258</v>
      </c>
      <c r="N63" s="11" t="s">
        <v>748</v>
      </c>
      <c r="O63" s="11" t="s">
        <v>749</v>
      </c>
      <c r="P63" s="11" t="s">
        <v>2097</v>
      </c>
      <c r="Q63" s="11" t="s">
        <v>2426</v>
      </c>
      <c r="R63" s="11" t="s">
        <v>2027</v>
      </c>
      <c r="S63" s="11" t="s">
        <v>2019</v>
      </c>
      <c r="T63" s="11" t="s">
        <v>750</v>
      </c>
      <c r="U63" s="11" t="s">
        <v>258</v>
      </c>
      <c r="W63" s="11" t="s">
        <v>1058</v>
      </c>
      <c r="X63" s="11" t="s">
        <v>985</v>
      </c>
      <c r="Y63" s="11" t="s">
        <v>2020</v>
      </c>
      <c r="Z63" s="11" t="s">
        <v>985</v>
      </c>
      <c r="AA63" s="11" t="s">
        <v>2020</v>
      </c>
      <c r="AB63" s="11" t="s">
        <v>766</v>
      </c>
      <c r="AC63" s="11" t="n">
        <v>1</v>
      </c>
      <c r="AF63" s="11" t="s">
        <v>2427</v>
      </c>
    </row>
    <row r="64" customFormat="false" ht="15" hidden="false" customHeight="false" outlineLevel="0" collapsed="false">
      <c r="A64" s="2" t="s">
        <v>2428</v>
      </c>
      <c r="B64" s="11" t="s">
        <v>2429</v>
      </c>
      <c r="C64" s="11" t="s">
        <v>2430</v>
      </c>
      <c r="D64" s="11" t="s">
        <v>2430</v>
      </c>
      <c r="E64" s="11" t="s">
        <v>2431</v>
      </c>
      <c r="F64" s="11" t="s">
        <v>2432</v>
      </c>
      <c r="G64" s="11" t="s">
        <v>2093</v>
      </c>
      <c r="H64" s="11" t="s">
        <v>2013</v>
      </c>
      <c r="I64" s="11" t="s">
        <v>1629</v>
      </c>
      <c r="J64" s="11" t="s">
        <v>2095</v>
      </c>
      <c r="K64" s="11" t="s">
        <v>2096</v>
      </c>
      <c r="L64" s="11" t="s">
        <v>2016</v>
      </c>
      <c r="M64" s="11" t="s">
        <v>258</v>
      </c>
      <c r="N64" s="11" t="s">
        <v>748</v>
      </c>
      <c r="O64" s="11" t="s">
        <v>749</v>
      </c>
      <c r="P64" s="11" t="s">
        <v>2097</v>
      </c>
      <c r="Q64" s="11" t="s">
        <v>2433</v>
      </c>
      <c r="R64" s="11" t="s">
        <v>2027</v>
      </c>
      <c r="S64" s="11" t="s">
        <v>2019</v>
      </c>
      <c r="T64" s="11" t="s">
        <v>750</v>
      </c>
      <c r="U64" s="11" t="s">
        <v>258</v>
      </c>
      <c r="W64" s="11" t="s">
        <v>1058</v>
      </c>
      <c r="X64" s="11" t="s">
        <v>985</v>
      </c>
      <c r="Y64" s="11" t="s">
        <v>2020</v>
      </c>
      <c r="Z64" s="11" t="s">
        <v>985</v>
      </c>
      <c r="AA64" s="11" t="s">
        <v>2020</v>
      </c>
      <c r="AB64" s="11" t="s">
        <v>766</v>
      </c>
      <c r="AC64" s="11" t="n">
        <v>1</v>
      </c>
      <c r="AF64" s="11" t="s">
        <v>2434</v>
      </c>
    </row>
    <row r="65" customFormat="false" ht="15" hidden="false" customHeight="false" outlineLevel="0" collapsed="false">
      <c r="A65" s="2" t="s">
        <v>2435</v>
      </c>
      <c r="B65" s="11" t="s">
        <v>2436</v>
      </c>
      <c r="C65" s="11" t="s">
        <v>2437</v>
      </c>
      <c r="D65" s="11" t="s">
        <v>2437</v>
      </c>
      <c r="E65" s="11" t="s">
        <v>2438</v>
      </c>
      <c r="F65" s="11" t="s">
        <v>2439</v>
      </c>
      <c r="G65" s="11" t="s">
        <v>2093</v>
      </c>
      <c r="H65" s="11" t="s">
        <v>2013</v>
      </c>
      <c r="I65" s="11" t="s">
        <v>1629</v>
      </c>
      <c r="J65" s="11" t="s">
        <v>2095</v>
      </c>
      <c r="K65" s="11" t="s">
        <v>2096</v>
      </c>
      <c r="L65" s="11" t="s">
        <v>2016</v>
      </c>
      <c r="M65" s="11" t="s">
        <v>258</v>
      </c>
      <c r="N65" s="11" t="s">
        <v>748</v>
      </c>
      <c r="O65" s="11" t="s">
        <v>749</v>
      </c>
      <c r="P65" s="11" t="s">
        <v>2097</v>
      </c>
      <c r="Q65" s="11" t="s">
        <v>2440</v>
      </c>
      <c r="R65" s="11" t="s">
        <v>2027</v>
      </c>
      <c r="S65" s="11" t="s">
        <v>2019</v>
      </c>
      <c r="T65" s="11" t="s">
        <v>776</v>
      </c>
      <c r="U65" s="11" t="s">
        <v>258</v>
      </c>
      <c r="W65" s="11" t="s">
        <v>1058</v>
      </c>
      <c r="X65" s="11" t="s">
        <v>985</v>
      </c>
      <c r="Y65" s="11" t="s">
        <v>2020</v>
      </c>
      <c r="Z65" s="11" t="s">
        <v>985</v>
      </c>
      <c r="AA65" s="11" t="s">
        <v>2020</v>
      </c>
      <c r="AB65" s="11" t="s">
        <v>766</v>
      </c>
      <c r="AC65" s="11" t="n">
        <v>1</v>
      </c>
      <c r="AF65" s="11" t="s">
        <v>2441</v>
      </c>
    </row>
    <row r="66" customFormat="false" ht="15" hidden="false" customHeight="false" outlineLevel="0" collapsed="false">
      <c r="A66" s="2" t="s">
        <v>2442</v>
      </c>
      <c r="B66" s="11" t="s">
        <v>2443</v>
      </c>
      <c r="C66" s="11" t="s">
        <v>2444</v>
      </c>
      <c r="D66" s="11" t="s">
        <v>2444</v>
      </c>
      <c r="E66" s="11" t="s">
        <v>2445</v>
      </c>
      <c r="F66" s="11" t="s">
        <v>2446</v>
      </c>
      <c r="G66" s="11" t="s">
        <v>2137</v>
      </c>
      <c r="H66" s="11" t="s">
        <v>2145</v>
      </c>
      <c r="I66" s="11" t="s">
        <v>1618</v>
      </c>
      <c r="J66" s="11" t="s">
        <v>2138</v>
      </c>
      <c r="K66" s="11" t="s">
        <v>2139</v>
      </c>
      <c r="L66" s="11" t="s">
        <v>2016</v>
      </c>
      <c r="M66" s="11" t="s">
        <v>272</v>
      </c>
      <c r="N66" s="11" t="s">
        <v>774</v>
      </c>
      <c r="O66" s="11" t="s">
        <v>801</v>
      </c>
      <c r="P66" s="11" t="s">
        <v>2114</v>
      </c>
      <c r="Q66" s="11" t="s">
        <v>2447</v>
      </c>
      <c r="R66" s="11" t="s">
        <v>2018</v>
      </c>
      <c r="S66" s="11" t="s">
        <v>2019</v>
      </c>
      <c r="T66" s="11" t="s">
        <v>750</v>
      </c>
      <c r="U66" s="11" t="s">
        <v>258</v>
      </c>
      <c r="W66" s="11" t="s">
        <v>1058</v>
      </c>
      <c r="X66" s="11" t="s">
        <v>985</v>
      </c>
      <c r="Y66" s="11" t="s">
        <v>2020</v>
      </c>
      <c r="Z66" s="11" t="s">
        <v>985</v>
      </c>
      <c r="AA66" s="11" t="s">
        <v>2020</v>
      </c>
      <c r="AB66" s="11" t="s">
        <v>766</v>
      </c>
      <c r="AC66" s="11" t="n">
        <v>1</v>
      </c>
      <c r="AF66" s="11" t="s">
        <v>2448</v>
      </c>
    </row>
    <row r="67" customFormat="false" ht="15" hidden="false" customHeight="false" outlineLevel="0" collapsed="false">
      <c r="A67" s="2" t="s">
        <v>2449</v>
      </c>
      <c r="B67" s="11" t="s">
        <v>2450</v>
      </c>
      <c r="C67" s="11" t="s">
        <v>2451</v>
      </c>
      <c r="D67" s="11" t="s">
        <v>2451</v>
      </c>
      <c r="E67" s="11" t="s">
        <v>2452</v>
      </c>
      <c r="F67" s="11" t="s">
        <v>2453</v>
      </c>
      <c r="G67" s="11" t="s">
        <v>2040</v>
      </c>
      <c r="H67" s="11" t="s">
        <v>2013</v>
      </c>
      <c r="I67" s="11" t="s">
        <v>1639</v>
      </c>
      <c r="J67" s="11" t="s">
        <v>2041</v>
      </c>
      <c r="K67" s="11" t="s">
        <v>2042</v>
      </c>
      <c r="L67" s="11" t="s">
        <v>2016</v>
      </c>
      <c r="M67" s="11" t="s">
        <v>258</v>
      </c>
      <c r="N67" s="11" t="s">
        <v>748</v>
      </c>
      <c r="O67" s="11" t="s">
        <v>801</v>
      </c>
      <c r="P67" s="11" t="s">
        <v>2017</v>
      </c>
      <c r="R67" s="11" t="s">
        <v>2056</v>
      </c>
      <c r="S67" s="11" t="s">
        <v>2057</v>
      </c>
      <c r="T67" s="11" t="s">
        <v>776</v>
      </c>
      <c r="U67" s="11" t="s">
        <v>258</v>
      </c>
      <c r="W67" s="11" t="s">
        <v>1058</v>
      </c>
      <c r="X67" s="11" t="s">
        <v>985</v>
      </c>
      <c r="Y67" s="11" t="s">
        <v>2020</v>
      </c>
      <c r="Z67" s="11" t="s">
        <v>985</v>
      </c>
      <c r="AA67" s="11" t="s">
        <v>2020</v>
      </c>
      <c r="AB67" s="11" t="s">
        <v>766</v>
      </c>
      <c r="AC67" s="11" t="n">
        <v>1</v>
      </c>
      <c r="AF67" s="11" t="s">
        <v>2454</v>
      </c>
    </row>
    <row r="68" customFormat="false" ht="15" hidden="false" customHeight="false" outlineLevel="0" collapsed="false">
      <c r="A68" s="2" t="s">
        <v>2455</v>
      </c>
      <c r="B68" s="11" t="s">
        <v>2456</v>
      </c>
      <c r="C68" s="11" t="s">
        <v>2457</v>
      </c>
      <c r="D68" s="11" t="s">
        <v>2457</v>
      </c>
      <c r="E68" s="11" t="s">
        <v>2458</v>
      </c>
      <c r="F68" s="11" t="s">
        <v>2459</v>
      </c>
      <c r="G68" s="11" t="s">
        <v>2137</v>
      </c>
      <c r="H68" s="11" t="s">
        <v>2013</v>
      </c>
      <c r="I68" s="11" t="s">
        <v>1618</v>
      </c>
      <c r="J68" s="11" t="s">
        <v>2138</v>
      </c>
      <c r="K68" s="11" t="s">
        <v>2139</v>
      </c>
      <c r="L68" s="11" t="s">
        <v>2016</v>
      </c>
      <c r="M68" s="11" t="s">
        <v>272</v>
      </c>
      <c r="N68" s="11" t="s">
        <v>774</v>
      </c>
      <c r="O68" s="11" t="s">
        <v>801</v>
      </c>
      <c r="P68" s="11" t="s">
        <v>2114</v>
      </c>
      <c r="R68" s="11" t="s">
        <v>2027</v>
      </c>
      <c r="S68" s="11" t="s">
        <v>2019</v>
      </c>
      <c r="T68" s="11" t="s">
        <v>750</v>
      </c>
      <c r="U68" s="11" t="s">
        <v>258</v>
      </c>
      <c r="W68" s="11" t="s">
        <v>1058</v>
      </c>
      <c r="X68" s="11" t="s">
        <v>985</v>
      </c>
      <c r="Y68" s="11" t="s">
        <v>2020</v>
      </c>
      <c r="Z68" s="11" t="s">
        <v>985</v>
      </c>
      <c r="AA68" s="11" t="s">
        <v>2020</v>
      </c>
      <c r="AB68" s="11" t="s">
        <v>766</v>
      </c>
      <c r="AC68" s="11" t="n">
        <v>1</v>
      </c>
      <c r="AF68" s="11" t="s">
        <v>2460</v>
      </c>
    </row>
    <row r="69" customFormat="false" ht="15" hidden="false" customHeight="false" outlineLevel="0" collapsed="false">
      <c r="A69" s="2" t="s">
        <v>2461</v>
      </c>
      <c r="B69" s="11" t="s">
        <v>2462</v>
      </c>
      <c r="C69" s="11" t="s">
        <v>2463</v>
      </c>
      <c r="D69" s="11" t="s">
        <v>2463</v>
      </c>
      <c r="E69" s="11" t="s">
        <v>2464</v>
      </c>
      <c r="F69" s="11" t="s">
        <v>2465</v>
      </c>
      <c r="G69" s="11" t="s">
        <v>2079</v>
      </c>
      <c r="H69" s="11" t="s">
        <v>2055</v>
      </c>
      <c r="I69" s="11" t="s">
        <v>1657</v>
      </c>
      <c r="J69" s="11" t="s">
        <v>2080</v>
      </c>
      <c r="K69" s="11" t="s">
        <v>2081</v>
      </c>
      <c r="L69" s="11" t="s">
        <v>2016</v>
      </c>
      <c r="M69" s="11" t="s">
        <v>272</v>
      </c>
      <c r="N69" s="11" t="s">
        <v>774</v>
      </c>
      <c r="O69" s="11" t="s">
        <v>801</v>
      </c>
      <c r="P69" s="11" t="s">
        <v>2017</v>
      </c>
      <c r="R69" s="11" t="s">
        <v>2027</v>
      </c>
      <c r="S69" s="11" t="s">
        <v>2019</v>
      </c>
      <c r="T69" s="11" t="s">
        <v>750</v>
      </c>
      <c r="U69" s="11" t="s">
        <v>258</v>
      </c>
      <c r="W69" s="11" t="s">
        <v>1058</v>
      </c>
      <c r="X69" s="11" t="s">
        <v>985</v>
      </c>
      <c r="Y69" s="11" t="s">
        <v>2020</v>
      </c>
      <c r="Z69" s="11" t="s">
        <v>985</v>
      </c>
      <c r="AA69" s="11" t="s">
        <v>2020</v>
      </c>
      <c r="AB69" s="11" t="s">
        <v>766</v>
      </c>
      <c r="AC69" s="11" t="n">
        <v>1</v>
      </c>
      <c r="AF69" s="11" t="s">
        <v>2082</v>
      </c>
    </row>
    <row r="70" customFormat="false" ht="15" hidden="false" customHeight="false" outlineLevel="0" collapsed="false">
      <c r="A70" s="2" t="s">
        <v>2466</v>
      </c>
      <c r="B70" s="11" t="s">
        <v>2467</v>
      </c>
      <c r="C70" s="11" t="s">
        <v>2468</v>
      </c>
      <c r="D70" s="11" t="s">
        <v>2468</v>
      </c>
      <c r="E70" s="11" t="s">
        <v>2469</v>
      </c>
      <c r="F70" s="11" t="s">
        <v>2470</v>
      </c>
      <c r="G70" s="11" t="s">
        <v>2111</v>
      </c>
      <c r="H70" s="11" t="s">
        <v>2055</v>
      </c>
      <c r="I70" s="11" t="s">
        <v>1657</v>
      </c>
      <c r="J70" s="11" t="s">
        <v>2112</v>
      </c>
      <c r="K70" s="11" t="s">
        <v>2113</v>
      </c>
      <c r="L70" s="11" t="s">
        <v>2016</v>
      </c>
      <c r="M70" s="11" t="s">
        <v>272</v>
      </c>
      <c r="N70" s="11" t="s">
        <v>774</v>
      </c>
      <c r="O70" s="11" t="s">
        <v>823</v>
      </c>
      <c r="P70" s="11" t="s">
        <v>2114</v>
      </c>
      <c r="R70" s="11" t="s">
        <v>2056</v>
      </c>
      <c r="S70" s="11" t="s">
        <v>2057</v>
      </c>
      <c r="T70" s="11" t="s">
        <v>776</v>
      </c>
      <c r="U70" s="11" t="s">
        <v>258</v>
      </c>
      <c r="W70" s="11" t="s">
        <v>1058</v>
      </c>
      <c r="X70" s="11" t="s">
        <v>985</v>
      </c>
      <c r="Y70" s="11" t="s">
        <v>2020</v>
      </c>
      <c r="Z70" s="11" t="s">
        <v>985</v>
      </c>
      <c r="AA70" s="11" t="s">
        <v>2020</v>
      </c>
      <c r="AB70" s="11" t="s">
        <v>766</v>
      </c>
      <c r="AC70" s="11" t="n">
        <v>1</v>
      </c>
      <c r="AF70" s="11" t="s">
        <v>2471</v>
      </c>
    </row>
    <row r="71" customFormat="false" ht="15" hidden="false" customHeight="false" outlineLevel="0" collapsed="false">
      <c r="A71" s="2" t="s">
        <v>2472</v>
      </c>
      <c r="B71" s="11" t="s">
        <v>2473</v>
      </c>
      <c r="C71" s="11" t="s">
        <v>2474</v>
      </c>
      <c r="D71" s="11" t="s">
        <v>2474</v>
      </c>
      <c r="E71" s="11" t="s">
        <v>2475</v>
      </c>
      <c r="F71" s="11" t="s">
        <v>2476</v>
      </c>
      <c r="G71" s="11" t="s">
        <v>2079</v>
      </c>
      <c r="H71" s="11" t="s">
        <v>2013</v>
      </c>
      <c r="I71" s="11" t="s">
        <v>1657</v>
      </c>
      <c r="J71" s="11" t="s">
        <v>2080</v>
      </c>
      <c r="K71" s="11" t="s">
        <v>2081</v>
      </c>
      <c r="L71" s="11" t="s">
        <v>2016</v>
      </c>
      <c r="M71" s="11" t="s">
        <v>258</v>
      </c>
      <c r="N71" s="11" t="s">
        <v>748</v>
      </c>
      <c r="O71" s="11" t="s">
        <v>801</v>
      </c>
      <c r="P71" s="11" t="s">
        <v>2017</v>
      </c>
      <c r="R71" s="11" t="s">
        <v>2027</v>
      </c>
      <c r="S71" s="11" t="s">
        <v>2019</v>
      </c>
      <c r="T71" s="11" t="s">
        <v>776</v>
      </c>
      <c r="U71" s="11" t="s">
        <v>258</v>
      </c>
      <c r="W71" s="11" t="s">
        <v>1058</v>
      </c>
      <c r="X71" s="11" t="s">
        <v>985</v>
      </c>
      <c r="Y71" s="11" t="s">
        <v>2020</v>
      </c>
      <c r="Z71" s="11" t="s">
        <v>985</v>
      </c>
      <c r="AA71" s="11" t="s">
        <v>2020</v>
      </c>
      <c r="AB71" s="11" t="s">
        <v>766</v>
      </c>
      <c r="AC71" s="11" t="n">
        <v>1</v>
      </c>
      <c r="AF71" s="11" t="s">
        <v>2477</v>
      </c>
    </row>
    <row r="72" customFormat="false" ht="15" hidden="false" customHeight="false" outlineLevel="0" collapsed="false">
      <c r="A72" s="2" t="s">
        <v>2478</v>
      </c>
      <c r="B72" s="11" t="s">
        <v>2479</v>
      </c>
      <c r="C72" s="11" t="s">
        <v>2480</v>
      </c>
      <c r="D72" s="11" t="s">
        <v>2480</v>
      </c>
      <c r="E72" s="11" t="s">
        <v>2481</v>
      </c>
      <c r="F72" s="11" t="s">
        <v>2482</v>
      </c>
      <c r="G72" s="11" t="s">
        <v>2079</v>
      </c>
      <c r="H72" s="11" t="s">
        <v>2013</v>
      </c>
      <c r="I72" s="11" t="s">
        <v>1657</v>
      </c>
      <c r="J72" s="11" t="s">
        <v>2080</v>
      </c>
      <c r="K72" s="11" t="s">
        <v>2081</v>
      </c>
      <c r="L72" s="11" t="s">
        <v>2016</v>
      </c>
      <c r="M72" s="11" t="s">
        <v>258</v>
      </c>
      <c r="N72" s="11" t="s">
        <v>748</v>
      </c>
      <c r="O72" s="11" t="s">
        <v>801</v>
      </c>
      <c r="P72" s="11" t="s">
        <v>2017</v>
      </c>
      <c r="R72" s="11" t="s">
        <v>2027</v>
      </c>
      <c r="S72" s="11" t="s">
        <v>2019</v>
      </c>
      <c r="T72" s="11" t="s">
        <v>776</v>
      </c>
      <c r="U72" s="11" t="s">
        <v>258</v>
      </c>
      <c r="W72" s="11" t="s">
        <v>1058</v>
      </c>
      <c r="X72" s="11" t="s">
        <v>985</v>
      </c>
      <c r="Y72" s="11" t="s">
        <v>2020</v>
      </c>
      <c r="Z72" s="11" t="s">
        <v>985</v>
      </c>
      <c r="AA72" s="11" t="s">
        <v>2020</v>
      </c>
      <c r="AB72" s="11" t="s">
        <v>766</v>
      </c>
      <c r="AC72" s="11" t="n">
        <v>1</v>
      </c>
      <c r="AF72" s="11" t="s">
        <v>2483</v>
      </c>
    </row>
    <row r="73" customFormat="false" ht="15" hidden="false" customHeight="false" outlineLevel="0" collapsed="false">
      <c r="A73" s="2" t="s">
        <v>2484</v>
      </c>
      <c r="B73" s="11" t="s">
        <v>2485</v>
      </c>
      <c r="C73" s="11" t="s">
        <v>2486</v>
      </c>
      <c r="D73" s="11" t="s">
        <v>2486</v>
      </c>
      <c r="E73" s="11" t="s">
        <v>2487</v>
      </c>
      <c r="F73" s="11" t="s">
        <v>2488</v>
      </c>
      <c r="G73" s="11" t="s">
        <v>2012</v>
      </c>
      <c r="H73" s="11" t="s">
        <v>2013</v>
      </c>
      <c r="I73" s="11" t="s">
        <v>1629</v>
      </c>
      <c r="J73" s="11" t="s">
        <v>2014</v>
      </c>
      <c r="K73" s="11" t="s">
        <v>2015</v>
      </c>
      <c r="L73" s="11" t="s">
        <v>2016</v>
      </c>
      <c r="M73" s="11" t="s">
        <v>258</v>
      </c>
      <c r="N73" s="11" t="s">
        <v>748</v>
      </c>
      <c r="O73" s="11" t="s">
        <v>823</v>
      </c>
      <c r="P73" s="11" t="s">
        <v>2017</v>
      </c>
      <c r="R73" s="11" t="s">
        <v>2056</v>
      </c>
      <c r="S73" s="11" t="s">
        <v>2057</v>
      </c>
      <c r="T73" s="11" t="s">
        <v>776</v>
      </c>
      <c r="U73" s="11" t="s">
        <v>258</v>
      </c>
      <c r="W73" s="11" t="s">
        <v>1058</v>
      </c>
      <c r="X73" s="11" t="s">
        <v>985</v>
      </c>
      <c r="Y73" s="11" t="s">
        <v>2020</v>
      </c>
      <c r="Z73" s="11" t="s">
        <v>985</v>
      </c>
      <c r="AA73" s="11" t="s">
        <v>2020</v>
      </c>
      <c r="AB73" s="11" t="s">
        <v>766</v>
      </c>
      <c r="AC73" s="11" t="n">
        <v>1</v>
      </c>
      <c r="AF73" s="11" t="s">
        <v>2489</v>
      </c>
    </row>
    <row r="74" customFormat="false" ht="15" hidden="false" customHeight="false" outlineLevel="0" collapsed="false">
      <c r="A74" s="2" t="s">
        <v>2490</v>
      </c>
      <c r="B74" s="11" t="s">
        <v>2491</v>
      </c>
      <c r="C74" s="11" t="s">
        <v>2492</v>
      </c>
      <c r="D74" s="11" t="s">
        <v>2492</v>
      </c>
      <c r="E74" s="11" t="s">
        <v>2493</v>
      </c>
      <c r="F74" s="11" t="s">
        <v>2494</v>
      </c>
      <c r="G74" s="11" t="s">
        <v>2012</v>
      </c>
      <c r="H74" s="11" t="s">
        <v>2145</v>
      </c>
      <c r="I74" s="11" t="s">
        <v>1629</v>
      </c>
      <c r="J74" s="11" t="s">
        <v>2014</v>
      </c>
      <c r="K74" s="11" t="s">
        <v>2015</v>
      </c>
      <c r="L74" s="11" t="s">
        <v>2016</v>
      </c>
      <c r="M74" s="11" t="s">
        <v>258</v>
      </c>
      <c r="N74" s="11" t="s">
        <v>748</v>
      </c>
      <c r="O74" s="11" t="s">
        <v>823</v>
      </c>
      <c r="P74" s="11" t="s">
        <v>2017</v>
      </c>
      <c r="R74" s="11" t="s">
        <v>2056</v>
      </c>
      <c r="S74" s="11" t="s">
        <v>2057</v>
      </c>
      <c r="T74" s="11" t="s">
        <v>776</v>
      </c>
      <c r="U74" s="11" t="s">
        <v>258</v>
      </c>
      <c r="W74" s="11" t="s">
        <v>1058</v>
      </c>
      <c r="X74" s="11" t="s">
        <v>985</v>
      </c>
      <c r="Y74" s="11" t="s">
        <v>2020</v>
      </c>
      <c r="Z74" s="11" t="s">
        <v>985</v>
      </c>
      <c r="AA74" s="11" t="s">
        <v>2020</v>
      </c>
      <c r="AB74" s="11" t="s">
        <v>766</v>
      </c>
      <c r="AC74" s="11" t="n">
        <v>1</v>
      </c>
      <c r="AF74" s="11" t="s">
        <v>2495</v>
      </c>
    </row>
    <row r="75" customFormat="false" ht="15" hidden="false" customHeight="false" outlineLevel="0" collapsed="false">
      <c r="A75" s="2" t="s">
        <v>2496</v>
      </c>
      <c r="B75" s="11" t="s">
        <v>2497</v>
      </c>
      <c r="C75" s="11" t="s">
        <v>2498</v>
      </c>
      <c r="D75" s="11" t="s">
        <v>2498</v>
      </c>
      <c r="E75" s="11" t="s">
        <v>2499</v>
      </c>
      <c r="F75" s="11" t="s">
        <v>2500</v>
      </c>
      <c r="G75" s="11" t="s">
        <v>2137</v>
      </c>
      <c r="H75" s="11" t="s">
        <v>2145</v>
      </c>
      <c r="I75" s="11" t="s">
        <v>1618</v>
      </c>
      <c r="J75" s="11" t="s">
        <v>2138</v>
      </c>
      <c r="K75" s="11" t="s">
        <v>2139</v>
      </c>
      <c r="L75" s="11" t="s">
        <v>2016</v>
      </c>
      <c r="M75" s="11" t="s">
        <v>272</v>
      </c>
      <c r="N75" s="11" t="s">
        <v>774</v>
      </c>
      <c r="O75" s="11" t="s">
        <v>801</v>
      </c>
      <c r="P75" s="11" t="s">
        <v>2114</v>
      </c>
      <c r="R75" s="11" t="s">
        <v>2056</v>
      </c>
      <c r="S75" s="11" t="s">
        <v>2057</v>
      </c>
      <c r="T75" s="11" t="s">
        <v>776</v>
      </c>
      <c r="U75" s="11" t="s">
        <v>258</v>
      </c>
      <c r="W75" s="11" t="s">
        <v>1058</v>
      </c>
      <c r="X75" s="11" t="s">
        <v>985</v>
      </c>
      <c r="Y75" s="11" t="s">
        <v>2020</v>
      </c>
      <c r="Z75" s="11" t="s">
        <v>985</v>
      </c>
      <c r="AA75" s="11" t="s">
        <v>2020</v>
      </c>
      <c r="AB75" s="11" t="s">
        <v>766</v>
      </c>
      <c r="AC75" s="11" t="n">
        <v>1</v>
      </c>
      <c r="AF75" s="11" t="s">
        <v>2501</v>
      </c>
    </row>
    <row r="76" customFormat="false" ht="15" hidden="false" customHeight="false" outlineLevel="0" collapsed="false">
      <c r="A76" s="2" t="s">
        <v>2502</v>
      </c>
      <c r="B76" s="11" t="s">
        <v>2503</v>
      </c>
      <c r="C76" s="11" t="s">
        <v>2504</v>
      </c>
      <c r="D76" s="11" t="s">
        <v>2504</v>
      </c>
      <c r="E76" s="11" t="s">
        <v>2505</v>
      </c>
      <c r="F76" s="11" t="s">
        <v>2506</v>
      </c>
      <c r="G76" s="11" t="s">
        <v>2137</v>
      </c>
      <c r="H76" s="11" t="s">
        <v>2145</v>
      </c>
      <c r="I76" s="11" t="s">
        <v>1618</v>
      </c>
      <c r="J76" s="11" t="s">
        <v>2138</v>
      </c>
      <c r="K76" s="11" t="s">
        <v>2139</v>
      </c>
      <c r="L76" s="11" t="s">
        <v>2016</v>
      </c>
      <c r="M76" s="11" t="s">
        <v>272</v>
      </c>
      <c r="N76" s="11" t="s">
        <v>774</v>
      </c>
      <c r="O76" s="11" t="s">
        <v>801</v>
      </c>
      <c r="P76" s="11" t="s">
        <v>2114</v>
      </c>
      <c r="R76" s="11" t="s">
        <v>2027</v>
      </c>
      <c r="S76" s="11" t="s">
        <v>2019</v>
      </c>
      <c r="T76" s="11" t="s">
        <v>750</v>
      </c>
      <c r="U76" s="11" t="s">
        <v>258</v>
      </c>
      <c r="W76" s="11" t="s">
        <v>1058</v>
      </c>
      <c r="X76" s="11" t="s">
        <v>985</v>
      </c>
      <c r="Y76" s="11" t="s">
        <v>2020</v>
      </c>
      <c r="Z76" s="11" t="s">
        <v>985</v>
      </c>
      <c r="AA76" s="11" t="s">
        <v>2020</v>
      </c>
      <c r="AB76" s="11" t="s">
        <v>766</v>
      </c>
      <c r="AC76" s="11" t="n">
        <v>1</v>
      </c>
      <c r="AF76" s="11" t="s">
        <v>2028</v>
      </c>
    </row>
    <row r="77" customFormat="false" ht="15" hidden="false" customHeight="false" outlineLevel="0" collapsed="false">
      <c r="A77" s="2" t="s">
        <v>2507</v>
      </c>
      <c r="B77" s="11" t="s">
        <v>2508</v>
      </c>
      <c r="C77" s="11" t="s">
        <v>2509</v>
      </c>
      <c r="D77" s="11" t="s">
        <v>2509</v>
      </c>
      <c r="E77" s="11" t="s">
        <v>2510</v>
      </c>
      <c r="F77" s="11" t="s">
        <v>2511</v>
      </c>
      <c r="G77" s="11" t="s">
        <v>2137</v>
      </c>
      <c r="H77" s="11" t="s">
        <v>2145</v>
      </c>
      <c r="I77" s="11" t="s">
        <v>1618</v>
      </c>
      <c r="J77" s="11" t="s">
        <v>2138</v>
      </c>
      <c r="K77" s="11" t="s">
        <v>2139</v>
      </c>
      <c r="L77" s="11" t="s">
        <v>2016</v>
      </c>
      <c r="M77" s="11" t="s">
        <v>272</v>
      </c>
      <c r="N77" s="11" t="s">
        <v>774</v>
      </c>
      <c r="O77" s="11" t="s">
        <v>801</v>
      </c>
      <c r="P77" s="11" t="s">
        <v>2114</v>
      </c>
      <c r="R77" s="11" t="s">
        <v>2056</v>
      </c>
      <c r="S77" s="11" t="s">
        <v>2162</v>
      </c>
      <c r="T77" s="11" t="s">
        <v>802</v>
      </c>
      <c r="U77" s="11" t="s">
        <v>272</v>
      </c>
      <c r="V77" s="11" t="s">
        <v>2163</v>
      </c>
      <c r="W77" s="11" t="s">
        <v>1058</v>
      </c>
      <c r="X77" s="11" t="s">
        <v>985</v>
      </c>
      <c r="Y77" s="11" t="s">
        <v>2020</v>
      </c>
      <c r="Z77" s="11" t="s">
        <v>985</v>
      </c>
      <c r="AA77" s="11" t="s">
        <v>2020</v>
      </c>
      <c r="AB77" s="11" t="s">
        <v>766</v>
      </c>
      <c r="AC77" s="11" t="n">
        <v>1</v>
      </c>
      <c r="AF77" s="11" t="s">
        <v>2512</v>
      </c>
    </row>
    <row r="78" customFormat="false" ht="15" hidden="false" customHeight="false" outlineLevel="0" collapsed="false">
      <c r="A78" s="2" t="s">
        <v>2513</v>
      </c>
      <c r="B78" s="11" t="s">
        <v>2514</v>
      </c>
      <c r="C78" s="11" t="s">
        <v>2515</v>
      </c>
      <c r="D78" s="11" t="s">
        <v>2515</v>
      </c>
      <c r="E78" s="11" t="s">
        <v>2516</v>
      </c>
      <c r="F78" s="11" t="s">
        <v>2517</v>
      </c>
      <c r="G78" s="11" t="s">
        <v>2079</v>
      </c>
      <c r="H78" s="11" t="s">
        <v>2013</v>
      </c>
      <c r="I78" s="11" t="s">
        <v>1657</v>
      </c>
      <c r="J78" s="11" t="s">
        <v>2080</v>
      </c>
      <c r="K78" s="11" t="s">
        <v>2081</v>
      </c>
      <c r="L78" s="11" t="s">
        <v>2016</v>
      </c>
      <c r="M78" s="11" t="s">
        <v>258</v>
      </c>
      <c r="N78" s="11" t="s">
        <v>748</v>
      </c>
      <c r="O78" s="11" t="s">
        <v>801</v>
      </c>
      <c r="P78" s="11" t="s">
        <v>2017</v>
      </c>
      <c r="R78" s="11" t="s">
        <v>2018</v>
      </c>
      <c r="S78" s="11" t="s">
        <v>2019</v>
      </c>
      <c r="T78" s="11" t="s">
        <v>750</v>
      </c>
      <c r="U78" s="11" t="s">
        <v>258</v>
      </c>
      <c r="W78" s="11" t="s">
        <v>1058</v>
      </c>
      <c r="X78" s="11" t="s">
        <v>985</v>
      </c>
      <c r="Y78" s="11" t="s">
        <v>2020</v>
      </c>
      <c r="Z78" s="11" t="s">
        <v>985</v>
      </c>
      <c r="AA78" s="11" t="s">
        <v>2020</v>
      </c>
      <c r="AB78" s="11" t="s">
        <v>766</v>
      </c>
      <c r="AC78" s="11" t="n">
        <v>1</v>
      </c>
      <c r="AF78" s="11" t="s">
        <v>2518</v>
      </c>
    </row>
  </sheetData>
  <autoFilter ref="A1:AF78"/>
  <dataValidations count="11">
    <dataValidation allowBlank="true" error="Kies een waarde uit de lijst of voeg haar eerst toe aan de bronlijst." errorStyle="stop" errorTitle="Onbekende waarde" operator="between" showDropDown="false" showErrorMessage="true" showInputMessage="false" sqref="G2:G1078" type="list">
      <formula1>instrumenttype!$B$2:$B$2000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M2:M1078" type="list">
      <formula1>Keuzelijsten!$H$5:$H$60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N2:N1078" type="list">
      <formula1>Keuzelijsten!$I$5:$I$60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O2:O1078" type="list">
      <formula1>Keuzelijsten!$J$5:$J$60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P2:P1078" type="list">
      <formula1>digitale_vorm!$B$2:$B$2000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R2:R1078" type="list">
      <formula1>publicatiestatus!$B$2:$B$2000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S2:S1078" type="list">
      <formula1>inhoudelijke_status!$B$2:$B$2000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T2:T1078" type="list">
      <formula1>Keuzelijsten!$K$5:$K$60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U2:U1078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W2:W1078" type="list">
      <formula1>validation_status!$B$2:$B$2000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AB2:AB107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  <col collapsed="false" customWidth="true" hidden="false" outlineLevel="0" max="5" min="5" style="0" width="40"/>
    <col collapsed="false" customWidth="true" hidden="false" outlineLevel="0" max="10" min="6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520</v>
      </c>
      <c r="B1" s="13" t="s">
        <v>315</v>
      </c>
      <c r="C1" s="13" t="s">
        <v>264</v>
      </c>
      <c r="D1" s="13" t="s">
        <v>521</v>
      </c>
      <c r="E1" s="14" t="s">
        <v>319</v>
      </c>
      <c r="F1" s="13" t="s">
        <v>285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2519</v>
      </c>
      <c r="B2" s="11" t="s">
        <v>2012</v>
      </c>
      <c r="C2" s="11" t="s">
        <v>2520</v>
      </c>
      <c r="D2" s="11" t="s">
        <v>2521</v>
      </c>
      <c r="F2" s="11" t="n">
        <v>1</v>
      </c>
      <c r="G2" s="11" t="s">
        <v>985</v>
      </c>
      <c r="H2" s="11" t="s">
        <v>986</v>
      </c>
      <c r="I2" s="11" t="s">
        <v>985</v>
      </c>
      <c r="J2" s="11" t="s">
        <v>986</v>
      </c>
      <c r="K2" s="11" t="s">
        <v>766</v>
      </c>
      <c r="L2" s="11" t="n">
        <v>1</v>
      </c>
    </row>
    <row r="3" customFormat="false" ht="15" hidden="false" customHeight="false" outlineLevel="0" collapsed="false">
      <c r="A3" s="2" t="s">
        <v>2522</v>
      </c>
      <c r="B3" s="11" t="s">
        <v>2079</v>
      </c>
      <c r="C3" s="11" t="s">
        <v>2523</v>
      </c>
      <c r="D3" s="11" t="s">
        <v>2521</v>
      </c>
      <c r="F3" s="11" t="n">
        <v>2</v>
      </c>
      <c r="G3" s="11" t="s">
        <v>985</v>
      </c>
      <c r="H3" s="11" t="s">
        <v>986</v>
      </c>
      <c r="I3" s="11" t="s">
        <v>985</v>
      </c>
      <c r="J3" s="11" t="s">
        <v>986</v>
      </c>
      <c r="K3" s="11" t="s">
        <v>766</v>
      </c>
      <c r="L3" s="11" t="n">
        <v>1</v>
      </c>
    </row>
    <row r="4" customFormat="false" ht="15" hidden="false" customHeight="false" outlineLevel="0" collapsed="false">
      <c r="A4" s="2" t="s">
        <v>2524</v>
      </c>
      <c r="B4" s="11" t="s">
        <v>2103</v>
      </c>
      <c r="C4" s="11" t="s">
        <v>2525</v>
      </c>
      <c r="D4" s="11" t="s">
        <v>2521</v>
      </c>
      <c r="F4" s="11" t="n">
        <v>3</v>
      </c>
      <c r="G4" s="11" t="s">
        <v>985</v>
      </c>
      <c r="H4" s="11" t="s">
        <v>986</v>
      </c>
      <c r="I4" s="11" t="s">
        <v>985</v>
      </c>
      <c r="J4" s="11" t="s">
        <v>986</v>
      </c>
      <c r="K4" s="11" t="s">
        <v>766</v>
      </c>
      <c r="L4" s="11" t="n">
        <v>1</v>
      </c>
    </row>
    <row r="5" customFormat="false" ht="15" hidden="false" customHeight="false" outlineLevel="0" collapsed="false">
      <c r="A5" s="2" t="s">
        <v>2526</v>
      </c>
      <c r="B5" s="11" t="s">
        <v>2527</v>
      </c>
      <c r="C5" s="11" t="s">
        <v>2528</v>
      </c>
      <c r="D5" s="11" t="s">
        <v>2521</v>
      </c>
      <c r="F5" s="11" t="n">
        <v>4</v>
      </c>
      <c r="G5" s="11" t="s">
        <v>985</v>
      </c>
      <c r="H5" s="11" t="s">
        <v>986</v>
      </c>
      <c r="I5" s="11" t="s">
        <v>985</v>
      </c>
      <c r="J5" s="11" t="s">
        <v>986</v>
      </c>
      <c r="K5" s="11" t="s">
        <v>766</v>
      </c>
      <c r="L5" s="11" t="n">
        <v>1</v>
      </c>
    </row>
    <row r="6" customFormat="false" ht="15" hidden="false" customHeight="false" outlineLevel="0" collapsed="false">
      <c r="A6" s="2" t="s">
        <v>2529</v>
      </c>
      <c r="B6" s="11" t="s">
        <v>2040</v>
      </c>
      <c r="C6" s="11" t="s">
        <v>2530</v>
      </c>
      <c r="D6" s="11" t="s">
        <v>2521</v>
      </c>
      <c r="F6" s="11" t="n">
        <v>5</v>
      </c>
      <c r="G6" s="11" t="s">
        <v>985</v>
      </c>
      <c r="H6" s="11" t="s">
        <v>986</v>
      </c>
      <c r="I6" s="11" t="s">
        <v>985</v>
      </c>
      <c r="J6" s="11" t="s">
        <v>986</v>
      </c>
      <c r="K6" s="11" t="s">
        <v>766</v>
      </c>
      <c r="L6" s="11" t="n">
        <v>1</v>
      </c>
    </row>
    <row r="7" customFormat="false" ht="15" hidden="false" customHeight="false" outlineLevel="0" collapsed="false">
      <c r="A7" s="2" t="s">
        <v>2531</v>
      </c>
      <c r="B7" s="11" t="s">
        <v>2532</v>
      </c>
      <c r="C7" s="11" t="s">
        <v>2533</v>
      </c>
      <c r="D7" s="11" t="s">
        <v>2521</v>
      </c>
      <c r="F7" s="11" t="n">
        <v>6</v>
      </c>
      <c r="G7" s="11" t="s">
        <v>985</v>
      </c>
      <c r="H7" s="11" t="s">
        <v>986</v>
      </c>
      <c r="I7" s="11" t="s">
        <v>985</v>
      </c>
      <c r="J7" s="11" t="s">
        <v>986</v>
      </c>
      <c r="K7" s="11" t="s">
        <v>766</v>
      </c>
      <c r="L7" s="11" t="n">
        <v>1</v>
      </c>
    </row>
    <row r="8" customFormat="false" ht="15" hidden="false" customHeight="false" outlineLevel="0" collapsed="false">
      <c r="A8" s="2" t="s">
        <v>2534</v>
      </c>
      <c r="B8" s="11" t="s">
        <v>2535</v>
      </c>
      <c r="C8" s="11" t="s">
        <v>2536</v>
      </c>
      <c r="D8" s="11" t="s">
        <v>2521</v>
      </c>
      <c r="F8" s="11" t="n">
        <v>7</v>
      </c>
      <c r="G8" s="11" t="s">
        <v>985</v>
      </c>
      <c r="H8" s="11" t="s">
        <v>986</v>
      </c>
      <c r="I8" s="11" t="s">
        <v>985</v>
      </c>
      <c r="J8" s="11" t="s">
        <v>986</v>
      </c>
      <c r="K8" s="11" t="s">
        <v>766</v>
      </c>
      <c r="L8" s="11" t="n">
        <v>1</v>
      </c>
    </row>
    <row r="9" customFormat="false" ht="15" hidden="false" customHeight="false" outlineLevel="0" collapsed="false">
      <c r="A9" s="2" t="s">
        <v>2537</v>
      </c>
      <c r="B9" s="11" t="s">
        <v>2538</v>
      </c>
      <c r="C9" s="11" t="s">
        <v>2539</v>
      </c>
      <c r="D9" s="11" t="s">
        <v>2540</v>
      </c>
      <c r="F9" s="11" t="n">
        <v>8</v>
      </c>
      <c r="G9" s="11" t="s">
        <v>985</v>
      </c>
      <c r="H9" s="11" t="s">
        <v>986</v>
      </c>
      <c r="I9" s="11" t="s">
        <v>985</v>
      </c>
      <c r="J9" s="11" t="s">
        <v>986</v>
      </c>
      <c r="K9" s="11" t="s">
        <v>766</v>
      </c>
      <c r="L9" s="11" t="n">
        <v>1</v>
      </c>
    </row>
    <row r="10" customFormat="false" ht="15" hidden="false" customHeight="false" outlineLevel="0" collapsed="false">
      <c r="A10" s="2" t="s">
        <v>2541</v>
      </c>
      <c r="B10" s="11" t="s">
        <v>2542</v>
      </c>
      <c r="C10" s="11" t="s">
        <v>2543</v>
      </c>
      <c r="D10" s="11" t="s">
        <v>2540</v>
      </c>
      <c r="F10" s="11" t="n">
        <v>9</v>
      </c>
      <c r="G10" s="11" t="s">
        <v>985</v>
      </c>
      <c r="H10" s="11" t="s">
        <v>986</v>
      </c>
      <c r="I10" s="11" t="s">
        <v>985</v>
      </c>
      <c r="J10" s="11" t="s">
        <v>986</v>
      </c>
      <c r="K10" s="11" t="s">
        <v>766</v>
      </c>
      <c r="L10" s="11" t="n">
        <v>1</v>
      </c>
    </row>
    <row r="11" customFormat="false" ht="15" hidden="false" customHeight="false" outlineLevel="0" collapsed="false">
      <c r="A11" s="2" t="s">
        <v>2544</v>
      </c>
      <c r="B11" s="11" t="s">
        <v>2545</v>
      </c>
      <c r="C11" s="11" t="s">
        <v>2546</v>
      </c>
      <c r="D11" s="11" t="s">
        <v>2540</v>
      </c>
      <c r="F11" s="11" t="n">
        <v>10</v>
      </c>
      <c r="G11" s="11" t="s">
        <v>985</v>
      </c>
      <c r="H11" s="11" t="s">
        <v>986</v>
      </c>
      <c r="I11" s="11" t="s">
        <v>985</v>
      </c>
      <c r="J11" s="11" t="s">
        <v>986</v>
      </c>
      <c r="K11" s="11" t="s">
        <v>766</v>
      </c>
      <c r="L11" s="11" t="n">
        <v>1</v>
      </c>
    </row>
    <row r="12" customFormat="false" ht="15" hidden="false" customHeight="false" outlineLevel="0" collapsed="false">
      <c r="A12" s="2" t="s">
        <v>2547</v>
      </c>
      <c r="B12" s="11" t="s">
        <v>2137</v>
      </c>
      <c r="C12" s="11" t="s">
        <v>2548</v>
      </c>
      <c r="D12" s="11" t="s">
        <v>2540</v>
      </c>
      <c r="F12" s="11" t="n">
        <v>11</v>
      </c>
      <c r="G12" s="11" t="s">
        <v>985</v>
      </c>
      <c r="H12" s="11" t="s">
        <v>986</v>
      </c>
      <c r="I12" s="11" t="s">
        <v>985</v>
      </c>
      <c r="J12" s="11" t="s">
        <v>986</v>
      </c>
      <c r="K12" s="11" t="s">
        <v>766</v>
      </c>
      <c r="L12" s="11" t="n">
        <v>1</v>
      </c>
    </row>
    <row r="13" customFormat="false" ht="15" hidden="false" customHeight="false" outlineLevel="0" collapsed="false">
      <c r="A13" s="2" t="s">
        <v>2549</v>
      </c>
      <c r="B13" s="11" t="s">
        <v>2111</v>
      </c>
      <c r="C13" s="11" t="s">
        <v>2550</v>
      </c>
      <c r="D13" s="11" t="s">
        <v>2540</v>
      </c>
      <c r="F13" s="11" t="n">
        <v>12</v>
      </c>
      <c r="G13" s="11" t="s">
        <v>985</v>
      </c>
      <c r="H13" s="11" t="s">
        <v>986</v>
      </c>
      <c r="I13" s="11" t="s">
        <v>985</v>
      </c>
      <c r="J13" s="11" t="s">
        <v>986</v>
      </c>
      <c r="K13" s="11" t="s">
        <v>766</v>
      </c>
      <c r="L13" s="11" t="n">
        <v>1</v>
      </c>
    </row>
    <row r="14" customFormat="false" ht="15" hidden="false" customHeight="false" outlineLevel="0" collapsed="false">
      <c r="A14" s="2" t="s">
        <v>2551</v>
      </c>
      <c r="B14" s="11" t="s">
        <v>2552</v>
      </c>
      <c r="C14" s="11" t="s">
        <v>2553</v>
      </c>
      <c r="D14" s="11" t="s">
        <v>2540</v>
      </c>
      <c r="F14" s="11" t="n">
        <v>13</v>
      </c>
      <c r="G14" s="11" t="s">
        <v>985</v>
      </c>
      <c r="H14" s="11" t="s">
        <v>986</v>
      </c>
      <c r="I14" s="11" t="s">
        <v>985</v>
      </c>
      <c r="J14" s="11" t="s">
        <v>986</v>
      </c>
      <c r="K14" s="11" t="s">
        <v>766</v>
      </c>
      <c r="L14" s="11" t="n">
        <v>1</v>
      </c>
    </row>
    <row r="15" customFormat="false" ht="15" hidden="false" customHeight="false" outlineLevel="0" collapsed="false">
      <c r="A15" s="2" t="s">
        <v>2554</v>
      </c>
      <c r="B15" s="11" t="s">
        <v>2187</v>
      </c>
      <c r="C15" s="11" t="s">
        <v>2555</v>
      </c>
      <c r="D15" s="11" t="s">
        <v>2556</v>
      </c>
      <c r="F15" s="11" t="n">
        <v>14</v>
      </c>
      <c r="G15" s="11" t="s">
        <v>985</v>
      </c>
      <c r="H15" s="11" t="s">
        <v>986</v>
      </c>
      <c r="I15" s="11" t="s">
        <v>985</v>
      </c>
      <c r="J15" s="11" t="s">
        <v>986</v>
      </c>
      <c r="K15" s="11" t="s">
        <v>766</v>
      </c>
      <c r="L15" s="11" t="n">
        <v>1</v>
      </c>
    </row>
    <row r="16" customFormat="false" ht="15" hidden="false" customHeight="false" outlineLevel="0" collapsed="false">
      <c r="A16" s="2" t="s">
        <v>2557</v>
      </c>
      <c r="B16" s="11" t="s">
        <v>2093</v>
      </c>
      <c r="C16" s="11" t="s">
        <v>2558</v>
      </c>
      <c r="D16" s="11" t="s">
        <v>2556</v>
      </c>
      <c r="F16" s="11" t="n">
        <v>15</v>
      </c>
      <c r="G16" s="11" t="s">
        <v>985</v>
      </c>
      <c r="H16" s="11" t="s">
        <v>986</v>
      </c>
      <c r="I16" s="11" t="s">
        <v>985</v>
      </c>
      <c r="J16" s="11" t="s">
        <v>986</v>
      </c>
      <c r="K16" s="11" t="s">
        <v>766</v>
      </c>
      <c r="L16" s="11" t="n">
        <v>1</v>
      </c>
    </row>
    <row r="17" customFormat="false" ht="15" hidden="false" customHeight="false" outlineLevel="0" collapsed="false">
      <c r="A17" s="2" t="s">
        <v>2559</v>
      </c>
      <c r="B17" s="11" t="s">
        <v>2175</v>
      </c>
      <c r="C17" s="11" t="s">
        <v>2560</v>
      </c>
      <c r="D17" s="11" t="s">
        <v>2556</v>
      </c>
      <c r="F17" s="11" t="n">
        <v>16</v>
      </c>
      <c r="G17" s="11" t="s">
        <v>985</v>
      </c>
      <c r="H17" s="11" t="s">
        <v>986</v>
      </c>
      <c r="I17" s="11" t="s">
        <v>985</v>
      </c>
      <c r="J17" s="11" t="s">
        <v>986</v>
      </c>
      <c r="K17" s="11" t="s">
        <v>766</v>
      </c>
      <c r="L17" s="11" t="n">
        <v>1</v>
      </c>
    </row>
    <row r="18" customFormat="false" ht="15" hidden="false" customHeight="false" outlineLevel="0" collapsed="false">
      <c r="A18" s="2" t="s">
        <v>2561</v>
      </c>
      <c r="B18" s="11" t="s">
        <v>2562</v>
      </c>
      <c r="C18" s="11" t="s">
        <v>2563</v>
      </c>
      <c r="D18" s="11" t="s">
        <v>2556</v>
      </c>
      <c r="F18" s="11" t="n">
        <v>17</v>
      </c>
      <c r="G18" s="11" t="s">
        <v>985</v>
      </c>
      <c r="H18" s="11" t="s">
        <v>986</v>
      </c>
      <c r="I18" s="11" t="s">
        <v>985</v>
      </c>
      <c r="J18" s="11" t="s">
        <v>986</v>
      </c>
      <c r="K18" s="11" t="s">
        <v>766</v>
      </c>
      <c r="L18" s="11" t="n">
        <v>1</v>
      </c>
    </row>
    <row r="19" customFormat="false" ht="15" hidden="false" customHeight="false" outlineLevel="0" collapsed="false">
      <c r="A19" s="2" t="s">
        <v>2564</v>
      </c>
      <c r="B19" s="11" t="s">
        <v>2565</v>
      </c>
      <c r="C19" s="11" t="s">
        <v>2566</v>
      </c>
      <c r="D19" s="11" t="s">
        <v>2556</v>
      </c>
      <c r="F19" s="11" t="n">
        <v>18</v>
      </c>
      <c r="G19" s="11" t="s">
        <v>985</v>
      </c>
      <c r="H19" s="11" t="s">
        <v>986</v>
      </c>
      <c r="I19" s="11" t="s">
        <v>985</v>
      </c>
      <c r="J19" s="11" t="s">
        <v>986</v>
      </c>
      <c r="K19" s="11" t="s">
        <v>766</v>
      </c>
      <c r="L19" s="11" t="n">
        <v>1</v>
      </c>
    </row>
    <row r="20" customFormat="false" ht="15" hidden="false" customHeight="false" outlineLevel="0" collapsed="false">
      <c r="A20" s="2" t="s">
        <v>2567</v>
      </c>
      <c r="B20" s="11" t="s">
        <v>2568</v>
      </c>
      <c r="C20" s="11" t="s">
        <v>2569</v>
      </c>
      <c r="D20" s="11" t="s">
        <v>2556</v>
      </c>
      <c r="F20" s="11" t="n">
        <v>19</v>
      </c>
      <c r="G20" s="11" t="s">
        <v>985</v>
      </c>
      <c r="H20" s="11" t="s">
        <v>986</v>
      </c>
      <c r="I20" s="11" t="s">
        <v>985</v>
      </c>
      <c r="J20" s="11" t="s">
        <v>986</v>
      </c>
      <c r="K20" s="11" t="s">
        <v>766</v>
      </c>
      <c r="L20" s="11" t="n">
        <v>1</v>
      </c>
    </row>
    <row r="21" customFormat="false" ht="15" hidden="false" customHeight="false" outlineLevel="0" collapsed="false">
      <c r="A21" s="2" t="s">
        <v>2570</v>
      </c>
      <c r="B21" s="11" t="s">
        <v>2571</v>
      </c>
      <c r="C21" s="11" t="s">
        <v>2572</v>
      </c>
      <c r="D21" s="11" t="s">
        <v>2556</v>
      </c>
      <c r="F21" s="11" t="n">
        <v>20</v>
      </c>
      <c r="G21" s="11" t="s">
        <v>985</v>
      </c>
      <c r="H21" s="11" t="s">
        <v>986</v>
      </c>
      <c r="I21" s="11" t="s">
        <v>985</v>
      </c>
      <c r="J21" s="11" t="s">
        <v>986</v>
      </c>
      <c r="K21" s="11" t="s">
        <v>766</v>
      </c>
      <c r="L21" s="11" t="n">
        <v>1</v>
      </c>
    </row>
    <row r="22" customFormat="false" ht="15" hidden="false" customHeight="false" outlineLevel="0" collapsed="false">
      <c r="A22" s="2" t="s">
        <v>2573</v>
      </c>
      <c r="B22" s="11" t="s">
        <v>2574</v>
      </c>
      <c r="C22" s="11" t="s">
        <v>2575</v>
      </c>
      <c r="D22" s="11" t="s">
        <v>2556</v>
      </c>
      <c r="F22" s="11" t="n">
        <v>21</v>
      </c>
      <c r="G22" s="11" t="s">
        <v>985</v>
      </c>
      <c r="H22" s="11" t="s">
        <v>986</v>
      </c>
      <c r="I22" s="11" t="s">
        <v>985</v>
      </c>
      <c r="J22" s="11" t="s">
        <v>986</v>
      </c>
      <c r="K22" s="11" t="s">
        <v>766</v>
      </c>
      <c r="L22" s="11" t="n">
        <v>1</v>
      </c>
    </row>
    <row r="23" customFormat="false" ht="15" hidden="false" customHeight="false" outlineLevel="0" collapsed="false">
      <c r="A23" s="2" t="s">
        <v>2576</v>
      </c>
      <c r="B23" s="11" t="s">
        <v>2577</v>
      </c>
      <c r="C23" s="11" t="s">
        <v>2578</v>
      </c>
      <c r="D23" s="11" t="s">
        <v>2579</v>
      </c>
      <c r="F23" s="11" t="n">
        <v>22</v>
      </c>
      <c r="G23" s="11" t="s">
        <v>985</v>
      </c>
      <c r="H23" s="11" t="s">
        <v>986</v>
      </c>
      <c r="I23" s="11" t="s">
        <v>985</v>
      </c>
      <c r="J23" s="11" t="s">
        <v>986</v>
      </c>
      <c r="K23" s="11" t="s">
        <v>766</v>
      </c>
      <c r="L23" s="11" t="n">
        <v>1</v>
      </c>
    </row>
    <row r="24" customFormat="false" ht="15" hidden="false" customHeight="false" outlineLevel="0" collapsed="false">
      <c r="A24" s="2" t="s">
        <v>2580</v>
      </c>
      <c r="B24" s="11" t="s">
        <v>2215</v>
      </c>
      <c r="C24" s="11" t="s">
        <v>2581</v>
      </c>
      <c r="D24" s="11" t="s">
        <v>2579</v>
      </c>
      <c r="F24" s="11" t="n">
        <v>23</v>
      </c>
      <c r="G24" s="11" t="s">
        <v>985</v>
      </c>
      <c r="H24" s="11" t="s">
        <v>986</v>
      </c>
      <c r="I24" s="11" t="s">
        <v>985</v>
      </c>
      <c r="J24" s="11" t="s">
        <v>986</v>
      </c>
      <c r="K24" s="11" t="s">
        <v>766</v>
      </c>
      <c r="L24" s="11" t="n">
        <v>1</v>
      </c>
    </row>
    <row r="25" customFormat="false" ht="15" hidden="false" customHeight="false" outlineLevel="0" collapsed="false">
      <c r="A25" s="2" t="s">
        <v>2582</v>
      </c>
      <c r="B25" s="11" t="s">
        <v>2197</v>
      </c>
      <c r="C25" s="11" t="s">
        <v>2583</v>
      </c>
      <c r="D25" s="11" t="s">
        <v>2579</v>
      </c>
      <c r="F25" s="11" t="n">
        <v>24</v>
      </c>
      <c r="G25" s="11" t="s">
        <v>985</v>
      </c>
      <c r="H25" s="11" t="s">
        <v>986</v>
      </c>
      <c r="I25" s="11" t="s">
        <v>985</v>
      </c>
      <c r="J25" s="11" t="s">
        <v>986</v>
      </c>
      <c r="K25" s="11" t="s">
        <v>766</v>
      </c>
      <c r="L25" s="11" t="n">
        <v>1</v>
      </c>
    </row>
    <row r="26" customFormat="false" ht="15" hidden="false" customHeight="false" outlineLevel="0" collapsed="false">
      <c r="A26" s="2" t="s">
        <v>2584</v>
      </c>
      <c r="B26" s="11" t="s">
        <v>2585</v>
      </c>
      <c r="C26" s="11" t="s">
        <v>2586</v>
      </c>
      <c r="D26" s="11" t="s">
        <v>2579</v>
      </c>
      <c r="F26" s="11" t="n">
        <v>25</v>
      </c>
      <c r="G26" s="11" t="s">
        <v>985</v>
      </c>
      <c r="H26" s="11" t="s">
        <v>986</v>
      </c>
      <c r="I26" s="11" t="s">
        <v>985</v>
      </c>
      <c r="J26" s="11" t="s">
        <v>986</v>
      </c>
      <c r="K26" s="11" t="s">
        <v>766</v>
      </c>
      <c r="L26" s="11" t="n">
        <v>1</v>
      </c>
    </row>
    <row r="27" customFormat="false" ht="15" hidden="false" customHeight="false" outlineLevel="0" collapsed="false">
      <c r="A27" s="2" t="s">
        <v>2587</v>
      </c>
      <c r="B27" s="11" t="s">
        <v>2225</v>
      </c>
      <c r="C27" s="11" t="s">
        <v>2588</v>
      </c>
      <c r="D27" s="11" t="s">
        <v>2579</v>
      </c>
      <c r="F27" s="11" t="n">
        <v>26</v>
      </c>
      <c r="G27" s="11" t="s">
        <v>985</v>
      </c>
      <c r="H27" s="11" t="s">
        <v>986</v>
      </c>
      <c r="I27" s="11" t="s">
        <v>985</v>
      </c>
      <c r="J27" s="11" t="s">
        <v>986</v>
      </c>
      <c r="K27" s="11" t="s">
        <v>766</v>
      </c>
      <c r="L27" s="11" t="n">
        <v>1</v>
      </c>
    </row>
    <row r="28" customFormat="false" ht="15" hidden="false" customHeight="false" outlineLevel="0" collapsed="false">
      <c r="A28" s="2" t="s">
        <v>2589</v>
      </c>
      <c r="B28" s="11" t="s">
        <v>2590</v>
      </c>
      <c r="C28" s="11" t="s">
        <v>2591</v>
      </c>
      <c r="D28" s="11" t="s">
        <v>2579</v>
      </c>
      <c r="F28" s="11" t="n">
        <v>27</v>
      </c>
      <c r="G28" s="11" t="s">
        <v>985</v>
      </c>
      <c r="H28" s="11" t="s">
        <v>986</v>
      </c>
      <c r="I28" s="11" t="s">
        <v>985</v>
      </c>
      <c r="J28" s="11" t="s">
        <v>986</v>
      </c>
      <c r="K28" s="11" t="s">
        <v>766</v>
      </c>
      <c r="L28" s="11" t="n">
        <v>1</v>
      </c>
    </row>
    <row r="29" customFormat="false" ht="15" hidden="false" customHeight="false" outlineLevel="0" collapsed="false">
      <c r="A29" s="2" t="s">
        <v>2592</v>
      </c>
      <c r="B29" s="11" t="s">
        <v>2593</v>
      </c>
      <c r="C29" s="11" t="s">
        <v>2594</v>
      </c>
      <c r="D29" s="11" t="s">
        <v>2579</v>
      </c>
      <c r="F29" s="11" t="n">
        <v>28</v>
      </c>
      <c r="G29" s="11" t="s">
        <v>985</v>
      </c>
      <c r="H29" s="11" t="s">
        <v>986</v>
      </c>
      <c r="I29" s="11" t="s">
        <v>985</v>
      </c>
      <c r="J29" s="11" t="s">
        <v>986</v>
      </c>
      <c r="K29" s="11" t="s">
        <v>766</v>
      </c>
      <c r="L29" s="11" t="n">
        <v>1</v>
      </c>
    </row>
    <row r="30" customFormat="false" ht="15" hidden="false" customHeight="false" outlineLevel="0" collapsed="false">
      <c r="A30" s="2" t="s">
        <v>2595</v>
      </c>
      <c r="B30" s="11" t="s">
        <v>2596</v>
      </c>
      <c r="C30" s="11" t="s">
        <v>2597</v>
      </c>
      <c r="D30" s="11" t="s">
        <v>2579</v>
      </c>
      <c r="F30" s="11" t="n">
        <v>29</v>
      </c>
      <c r="G30" s="11" t="s">
        <v>985</v>
      </c>
      <c r="H30" s="11" t="s">
        <v>986</v>
      </c>
      <c r="I30" s="11" t="s">
        <v>985</v>
      </c>
      <c r="J30" s="11" t="s">
        <v>986</v>
      </c>
      <c r="K30" s="11" t="s">
        <v>766</v>
      </c>
      <c r="L30" s="11" t="n">
        <v>1</v>
      </c>
    </row>
    <row r="31" customFormat="false" ht="15" hidden="false" customHeight="false" outlineLevel="0" collapsed="false">
      <c r="A31" s="2" t="s">
        <v>2598</v>
      </c>
      <c r="B31" s="11" t="s">
        <v>2069</v>
      </c>
      <c r="C31" s="11" t="s">
        <v>2599</v>
      </c>
      <c r="D31" s="11" t="s">
        <v>2579</v>
      </c>
      <c r="F31" s="11" t="n">
        <v>30</v>
      </c>
      <c r="G31" s="11" t="s">
        <v>985</v>
      </c>
      <c r="H31" s="11" t="s">
        <v>986</v>
      </c>
      <c r="I31" s="11" t="s">
        <v>985</v>
      </c>
      <c r="J31" s="11" t="s">
        <v>986</v>
      </c>
      <c r="K31" s="11" t="s">
        <v>766</v>
      </c>
      <c r="L31" s="11" t="n">
        <v>1</v>
      </c>
    </row>
  </sheetData>
  <autoFilter ref="A1:O31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K2:K1031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8" min="5" style="0" width="14"/>
    <col collapsed="false" customWidth="true" hidden="false" outlineLevel="0" max="9" min="9" style="0" width="40"/>
    <col collapsed="false" customWidth="true" hidden="false" outlineLevel="0" max="10" min="10" style="0" width="17"/>
    <col collapsed="false" customWidth="true" hidden="false" outlineLevel="0" max="12" min="11" style="0" width="14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13" t="s">
        <v>501</v>
      </c>
      <c r="B1" s="13" t="s">
        <v>315</v>
      </c>
      <c r="C1" s="13" t="s">
        <v>264</v>
      </c>
      <c r="D1" s="14" t="s">
        <v>319</v>
      </c>
      <c r="E1" s="15" t="s">
        <v>292</v>
      </c>
      <c r="F1" s="15" t="s">
        <v>295</v>
      </c>
      <c r="G1" s="15" t="s">
        <v>298</v>
      </c>
      <c r="H1" s="15" t="s">
        <v>300</v>
      </c>
      <c r="I1" s="15" t="s">
        <v>302</v>
      </c>
      <c r="J1" s="15" t="s">
        <v>305</v>
      </c>
      <c r="K1" s="15" t="s">
        <v>307</v>
      </c>
      <c r="L1" s="15" t="s">
        <v>310</v>
      </c>
      <c r="M1" s="15" t="s">
        <v>312</v>
      </c>
    </row>
    <row r="2" customFormat="false" ht="15" hidden="false" customHeight="false" outlineLevel="0" collapsed="false">
      <c r="A2" s="2" t="s">
        <v>2600</v>
      </c>
      <c r="B2" s="11" t="s">
        <v>2017</v>
      </c>
      <c r="C2" s="11" t="s">
        <v>2601</v>
      </c>
      <c r="E2" s="11" t="s">
        <v>985</v>
      </c>
      <c r="F2" s="11" t="s">
        <v>986</v>
      </c>
      <c r="G2" s="11" t="s">
        <v>985</v>
      </c>
      <c r="H2" s="11" t="s">
        <v>986</v>
      </c>
      <c r="I2" s="11" t="s">
        <v>766</v>
      </c>
      <c r="J2" s="11" t="n">
        <v>1</v>
      </c>
    </row>
    <row r="3" customFormat="false" ht="15" hidden="false" customHeight="false" outlineLevel="0" collapsed="false">
      <c r="A3" s="2" t="s">
        <v>2602</v>
      </c>
      <c r="B3" s="11" t="s">
        <v>2603</v>
      </c>
      <c r="C3" s="11" t="s">
        <v>2604</v>
      </c>
      <c r="E3" s="11" t="s">
        <v>985</v>
      </c>
      <c r="F3" s="11" t="s">
        <v>986</v>
      </c>
      <c r="G3" s="11" t="s">
        <v>985</v>
      </c>
      <c r="H3" s="11" t="s">
        <v>986</v>
      </c>
      <c r="I3" s="11" t="s">
        <v>766</v>
      </c>
      <c r="J3" s="11" t="n">
        <v>1</v>
      </c>
    </row>
    <row r="4" customFormat="false" ht="15" hidden="false" customHeight="false" outlineLevel="0" collapsed="false">
      <c r="A4" s="2" t="s">
        <v>2605</v>
      </c>
      <c r="B4" s="11" t="s">
        <v>2190</v>
      </c>
      <c r="C4" s="11" t="s">
        <v>2606</v>
      </c>
      <c r="E4" s="11" t="s">
        <v>985</v>
      </c>
      <c r="F4" s="11" t="s">
        <v>986</v>
      </c>
      <c r="G4" s="11" t="s">
        <v>985</v>
      </c>
      <c r="H4" s="11" t="s">
        <v>986</v>
      </c>
      <c r="I4" s="11" t="s">
        <v>766</v>
      </c>
      <c r="J4" s="11" t="n">
        <v>1</v>
      </c>
    </row>
    <row r="5" customFormat="false" ht="15" hidden="false" customHeight="false" outlineLevel="0" collapsed="false">
      <c r="A5" s="2" t="s">
        <v>2607</v>
      </c>
      <c r="B5" s="11" t="s">
        <v>2114</v>
      </c>
      <c r="C5" s="11" t="s">
        <v>2608</v>
      </c>
      <c r="E5" s="11" t="s">
        <v>985</v>
      </c>
      <c r="F5" s="11" t="s">
        <v>986</v>
      </c>
      <c r="G5" s="11" t="s">
        <v>985</v>
      </c>
      <c r="H5" s="11" t="s">
        <v>986</v>
      </c>
      <c r="I5" s="11" t="s">
        <v>766</v>
      </c>
      <c r="J5" s="11" t="n">
        <v>1</v>
      </c>
    </row>
    <row r="6" customFormat="false" ht="15" hidden="false" customHeight="false" outlineLevel="0" collapsed="false">
      <c r="A6" s="2" t="s">
        <v>2609</v>
      </c>
      <c r="B6" s="11" t="s">
        <v>2219</v>
      </c>
      <c r="C6" s="11" t="s">
        <v>2610</v>
      </c>
      <c r="E6" s="11" t="s">
        <v>985</v>
      </c>
      <c r="F6" s="11" t="s">
        <v>986</v>
      </c>
      <c r="G6" s="11" t="s">
        <v>985</v>
      </c>
      <c r="H6" s="11" t="s">
        <v>986</v>
      </c>
      <c r="I6" s="11" t="s">
        <v>766</v>
      </c>
      <c r="J6" s="11" t="n">
        <v>1</v>
      </c>
    </row>
    <row r="7" customFormat="false" ht="15" hidden="false" customHeight="false" outlineLevel="0" collapsed="false">
      <c r="A7" s="2" t="s">
        <v>2611</v>
      </c>
      <c r="B7" s="11" t="s">
        <v>2612</v>
      </c>
      <c r="C7" s="11" t="s">
        <v>2613</v>
      </c>
      <c r="E7" s="11" t="s">
        <v>985</v>
      </c>
      <c r="F7" s="11" t="s">
        <v>986</v>
      </c>
      <c r="G7" s="11" t="s">
        <v>985</v>
      </c>
      <c r="H7" s="11" t="s">
        <v>986</v>
      </c>
      <c r="I7" s="11" t="s">
        <v>766</v>
      </c>
      <c r="J7" s="11" t="n">
        <v>1</v>
      </c>
    </row>
    <row r="8" customFormat="false" ht="15" hidden="false" customHeight="false" outlineLevel="0" collapsed="false">
      <c r="A8" s="2" t="s">
        <v>2614</v>
      </c>
      <c r="B8" s="11" t="s">
        <v>2615</v>
      </c>
      <c r="C8" s="11" t="s">
        <v>2616</v>
      </c>
      <c r="E8" s="11" t="s">
        <v>985</v>
      </c>
      <c r="F8" s="11" t="s">
        <v>986</v>
      </c>
      <c r="G8" s="11" t="s">
        <v>985</v>
      </c>
      <c r="H8" s="11" t="s">
        <v>986</v>
      </c>
      <c r="I8" s="11" t="s">
        <v>766</v>
      </c>
      <c r="J8" s="11" t="n">
        <v>1</v>
      </c>
    </row>
    <row r="9" customFormat="false" ht="15" hidden="false" customHeight="false" outlineLevel="0" collapsed="false">
      <c r="A9" s="2" t="s">
        <v>2617</v>
      </c>
      <c r="B9" s="11" t="s">
        <v>2097</v>
      </c>
      <c r="C9" s="11" t="s">
        <v>2558</v>
      </c>
      <c r="E9" s="11" t="s">
        <v>985</v>
      </c>
      <c r="F9" s="11" t="s">
        <v>986</v>
      </c>
      <c r="G9" s="11" t="s">
        <v>985</v>
      </c>
      <c r="H9" s="11" t="s">
        <v>986</v>
      </c>
      <c r="I9" s="11" t="s">
        <v>766</v>
      </c>
      <c r="J9" s="11" t="n">
        <v>1</v>
      </c>
    </row>
    <row r="10" customFormat="false" ht="15" hidden="false" customHeight="false" outlineLevel="0" collapsed="false">
      <c r="A10" s="2" t="s">
        <v>2618</v>
      </c>
      <c r="B10" s="11" t="s">
        <v>2619</v>
      </c>
      <c r="C10" s="11" t="s">
        <v>2620</v>
      </c>
      <c r="E10" s="11" t="s">
        <v>985</v>
      </c>
      <c r="F10" s="11" t="s">
        <v>986</v>
      </c>
      <c r="G10" s="11" t="s">
        <v>985</v>
      </c>
      <c r="H10" s="11" t="s">
        <v>986</v>
      </c>
      <c r="I10" s="11" t="s">
        <v>766</v>
      </c>
      <c r="J10" s="11" t="n">
        <v>1</v>
      </c>
    </row>
    <row r="11" customFormat="false" ht="15" hidden="false" customHeight="false" outlineLevel="0" collapsed="false">
      <c r="A11" s="2" t="s">
        <v>2621</v>
      </c>
      <c r="B11" s="11" t="s">
        <v>2622</v>
      </c>
      <c r="C11" s="11" t="s">
        <v>2623</v>
      </c>
      <c r="E11" s="11" t="s">
        <v>985</v>
      </c>
      <c r="F11" s="11" t="s">
        <v>986</v>
      </c>
      <c r="G11" s="11" t="s">
        <v>985</v>
      </c>
      <c r="H11" s="11" t="s">
        <v>986</v>
      </c>
      <c r="I11" s="11" t="s">
        <v>766</v>
      </c>
      <c r="J11" s="11" t="n">
        <v>1</v>
      </c>
    </row>
    <row r="12" customFormat="false" ht="15" hidden="false" customHeight="false" outlineLevel="0" collapsed="false">
      <c r="A12" s="2" t="s">
        <v>2624</v>
      </c>
      <c r="B12" s="11" t="s">
        <v>2625</v>
      </c>
      <c r="C12" s="11" t="s">
        <v>2594</v>
      </c>
      <c r="E12" s="11" t="s">
        <v>985</v>
      </c>
      <c r="F12" s="11" t="s">
        <v>986</v>
      </c>
      <c r="G12" s="11" t="s">
        <v>985</v>
      </c>
      <c r="H12" s="11" t="s">
        <v>986</v>
      </c>
      <c r="I12" s="11" t="s">
        <v>766</v>
      </c>
      <c r="J12" s="11" t="n">
        <v>1</v>
      </c>
    </row>
    <row r="13" customFormat="false" ht="15" hidden="false" customHeight="false" outlineLevel="0" collapsed="false">
      <c r="A13" s="2" t="s">
        <v>2626</v>
      </c>
      <c r="B13" s="11" t="s">
        <v>2073</v>
      </c>
      <c r="C13" s="11" t="s">
        <v>2627</v>
      </c>
      <c r="E13" s="11" t="s">
        <v>985</v>
      </c>
      <c r="F13" s="11" t="s">
        <v>986</v>
      </c>
      <c r="G13" s="11" t="s">
        <v>985</v>
      </c>
      <c r="H13" s="11" t="s">
        <v>986</v>
      </c>
      <c r="I13" s="11" t="s">
        <v>766</v>
      </c>
      <c r="J13" s="11" t="n">
        <v>1</v>
      </c>
    </row>
    <row r="14" customFormat="false" ht="15" hidden="false" customHeight="false" outlineLevel="0" collapsed="false">
      <c r="A14" s="2" t="s">
        <v>2628</v>
      </c>
      <c r="B14" s="11" t="s">
        <v>2629</v>
      </c>
      <c r="C14" s="11" t="s">
        <v>2630</v>
      </c>
      <c r="E14" s="11" t="s">
        <v>985</v>
      </c>
      <c r="F14" s="11" t="s">
        <v>986</v>
      </c>
      <c r="G14" s="11" t="s">
        <v>985</v>
      </c>
      <c r="H14" s="11" t="s">
        <v>986</v>
      </c>
      <c r="I14" s="11" t="s">
        <v>766</v>
      </c>
      <c r="J14" s="11" t="n">
        <v>1</v>
      </c>
    </row>
    <row r="15" customFormat="false" ht="15" hidden="false" customHeight="false" outlineLevel="0" collapsed="false">
      <c r="A15" s="2" t="s">
        <v>2631</v>
      </c>
      <c r="B15" s="11" t="s">
        <v>2632</v>
      </c>
      <c r="C15" s="11" t="s">
        <v>1541</v>
      </c>
      <c r="E15" s="11" t="s">
        <v>985</v>
      </c>
      <c r="F15" s="11" t="s">
        <v>986</v>
      </c>
      <c r="G15" s="11" t="s">
        <v>985</v>
      </c>
      <c r="H15" s="11" t="s">
        <v>986</v>
      </c>
      <c r="I15" s="11" t="s">
        <v>766</v>
      </c>
      <c r="J15" s="11" t="n">
        <v>1</v>
      </c>
    </row>
  </sheetData>
  <autoFilter ref="A1:M15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I2:I101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R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1"/>
    <col collapsed="false" customWidth="true" hidden="false" outlineLevel="0" max="6" min="5" style="0" width="40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3" min="10" style="0" width="14"/>
    <col collapsed="false" customWidth="true" hidden="false" outlineLevel="0" max="14" min="14" style="0" width="40"/>
    <col collapsed="false" customWidth="true" hidden="false" outlineLevel="0" max="15" min="15" style="0" width="17"/>
    <col collapsed="false" customWidth="true" hidden="false" outlineLevel="0" max="17" min="16" style="0" width="14"/>
    <col collapsed="false" customWidth="true" hidden="false" outlineLevel="0" max="18" min="18" style="0" width="40"/>
  </cols>
  <sheetData>
    <row r="1" customFormat="false" ht="15" hidden="false" customHeight="false" outlineLevel="0" collapsed="false">
      <c r="A1" s="13" t="s">
        <v>522</v>
      </c>
      <c r="B1" s="13" t="s">
        <v>264</v>
      </c>
      <c r="C1" s="14" t="s">
        <v>524</v>
      </c>
      <c r="D1" s="13" t="s">
        <v>525</v>
      </c>
      <c r="E1" s="14" t="s">
        <v>527</v>
      </c>
      <c r="F1" s="14" t="s">
        <v>528</v>
      </c>
      <c r="G1" s="14" t="s">
        <v>529</v>
      </c>
      <c r="H1" s="14" t="s">
        <v>530</v>
      </c>
      <c r="I1" s="14" t="s">
        <v>319</v>
      </c>
      <c r="J1" s="15" t="s">
        <v>292</v>
      </c>
      <c r="K1" s="15" t="s">
        <v>295</v>
      </c>
      <c r="L1" s="15" t="s">
        <v>298</v>
      </c>
      <c r="M1" s="15" t="s">
        <v>300</v>
      </c>
      <c r="N1" s="15" t="s">
        <v>302</v>
      </c>
      <c r="O1" s="15" t="s">
        <v>305</v>
      </c>
      <c r="P1" s="15" t="s">
        <v>307</v>
      </c>
      <c r="Q1" s="15" t="s">
        <v>310</v>
      </c>
      <c r="R1" s="15" t="s">
        <v>312</v>
      </c>
    </row>
    <row r="2" customFormat="false" ht="15" hidden="false" customHeight="false" outlineLevel="0" collapsed="false">
      <c r="A2" s="2" t="s">
        <v>2633</v>
      </c>
      <c r="B2" s="11" t="s">
        <v>2634</v>
      </c>
      <c r="D2" s="11" t="s">
        <v>2635</v>
      </c>
      <c r="H2" s="11" t="s">
        <v>2636</v>
      </c>
      <c r="J2" s="11" t="s">
        <v>985</v>
      </c>
      <c r="K2" s="11" t="s">
        <v>2020</v>
      </c>
      <c r="L2" s="11" t="s">
        <v>985</v>
      </c>
      <c r="M2" s="11" t="s">
        <v>2020</v>
      </c>
      <c r="N2" s="11" t="s">
        <v>766</v>
      </c>
      <c r="O2" s="11" t="n">
        <v>1</v>
      </c>
      <c r="R2" s="11" t="s">
        <v>2637</v>
      </c>
    </row>
    <row r="3" customFormat="false" ht="15" hidden="false" customHeight="false" outlineLevel="0" collapsed="false">
      <c r="A3" s="2" t="s">
        <v>2638</v>
      </c>
      <c r="B3" s="11" t="s">
        <v>2639</v>
      </c>
      <c r="D3" s="11" t="s">
        <v>2635</v>
      </c>
      <c r="H3" s="11" t="s">
        <v>2636</v>
      </c>
      <c r="J3" s="11" t="s">
        <v>985</v>
      </c>
      <c r="K3" s="11" t="s">
        <v>2020</v>
      </c>
      <c r="L3" s="11" t="s">
        <v>985</v>
      </c>
      <c r="M3" s="11" t="s">
        <v>2020</v>
      </c>
      <c r="N3" s="11" t="s">
        <v>766</v>
      </c>
      <c r="O3" s="11" t="n">
        <v>1</v>
      </c>
      <c r="R3" s="11" t="s">
        <v>2640</v>
      </c>
    </row>
    <row r="4" customFormat="false" ht="15" hidden="false" customHeight="false" outlineLevel="0" collapsed="false">
      <c r="A4" s="2" t="s">
        <v>2641</v>
      </c>
      <c r="B4" s="11" t="s">
        <v>2642</v>
      </c>
      <c r="D4" s="11" t="s">
        <v>2635</v>
      </c>
      <c r="H4" s="11" t="s">
        <v>2636</v>
      </c>
      <c r="J4" s="11" t="s">
        <v>985</v>
      </c>
      <c r="K4" s="11" t="s">
        <v>2020</v>
      </c>
      <c r="L4" s="11" t="s">
        <v>985</v>
      </c>
      <c r="M4" s="11" t="s">
        <v>2020</v>
      </c>
      <c r="N4" s="11" t="s">
        <v>766</v>
      </c>
      <c r="O4" s="11" t="n">
        <v>1</v>
      </c>
      <c r="R4" s="11" t="s">
        <v>2637</v>
      </c>
    </row>
    <row r="5" customFormat="false" ht="15" hidden="false" customHeight="false" outlineLevel="0" collapsed="false">
      <c r="A5" s="2" t="s">
        <v>2643</v>
      </c>
      <c r="B5" s="11" t="s">
        <v>2644</v>
      </c>
      <c r="D5" s="11" t="s">
        <v>2645</v>
      </c>
      <c r="H5" s="11" t="s">
        <v>2636</v>
      </c>
      <c r="J5" s="11" t="s">
        <v>985</v>
      </c>
      <c r="K5" s="11" t="s">
        <v>2020</v>
      </c>
      <c r="L5" s="11" t="s">
        <v>985</v>
      </c>
      <c r="M5" s="11" t="s">
        <v>2020</v>
      </c>
      <c r="N5" s="11" t="s">
        <v>766</v>
      </c>
      <c r="O5" s="11" t="n">
        <v>1</v>
      </c>
      <c r="R5" s="11" t="s">
        <v>2637</v>
      </c>
    </row>
    <row r="6" customFormat="false" ht="15" hidden="false" customHeight="false" outlineLevel="0" collapsed="false">
      <c r="A6" s="2" t="s">
        <v>2646</v>
      </c>
      <c r="B6" s="11" t="s">
        <v>2647</v>
      </c>
      <c r="D6" s="11" t="s">
        <v>2648</v>
      </c>
      <c r="H6" s="11" t="s">
        <v>2636</v>
      </c>
      <c r="J6" s="11" t="s">
        <v>985</v>
      </c>
      <c r="K6" s="11" t="s">
        <v>2020</v>
      </c>
      <c r="L6" s="11" t="s">
        <v>985</v>
      </c>
      <c r="M6" s="11" t="s">
        <v>2020</v>
      </c>
      <c r="N6" s="11" t="s">
        <v>766</v>
      </c>
      <c r="O6" s="11" t="n">
        <v>1</v>
      </c>
      <c r="R6" s="11" t="s">
        <v>2640</v>
      </c>
    </row>
    <row r="7" customFormat="false" ht="15" hidden="false" customHeight="false" outlineLevel="0" collapsed="false">
      <c r="A7" s="2" t="s">
        <v>2649</v>
      </c>
      <c r="B7" s="11" t="s">
        <v>2650</v>
      </c>
      <c r="D7" s="11" t="s">
        <v>2651</v>
      </c>
      <c r="H7" s="11" t="s">
        <v>2636</v>
      </c>
      <c r="J7" s="11" t="s">
        <v>985</v>
      </c>
      <c r="K7" s="11" t="s">
        <v>2020</v>
      </c>
      <c r="L7" s="11" t="s">
        <v>985</v>
      </c>
      <c r="M7" s="11" t="s">
        <v>2020</v>
      </c>
      <c r="N7" s="11" t="s">
        <v>766</v>
      </c>
      <c r="O7" s="11" t="n">
        <v>1</v>
      </c>
      <c r="R7" s="11" t="s">
        <v>2637</v>
      </c>
    </row>
    <row r="8" customFormat="false" ht="15" hidden="false" customHeight="false" outlineLevel="0" collapsed="false">
      <c r="A8" s="2" t="s">
        <v>2652</v>
      </c>
      <c r="B8" s="11" t="s">
        <v>2653</v>
      </c>
      <c r="D8" s="11" t="s">
        <v>2654</v>
      </c>
      <c r="H8" s="11" t="s">
        <v>2636</v>
      </c>
      <c r="J8" s="11" t="s">
        <v>985</v>
      </c>
      <c r="K8" s="11" t="s">
        <v>2020</v>
      </c>
      <c r="L8" s="11" t="s">
        <v>985</v>
      </c>
      <c r="M8" s="11" t="s">
        <v>2020</v>
      </c>
      <c r="N8" s="11" t="s">
        <v>766</v>
      </c>
      <c r="O8" s="11" t="n">
        <v>1</v>
      </c>
      <c r="R8" s="11" t="s">
        <v>2637</v>
      </c>
    </row>
    <row r="9" customFormat="false" ht="15" hidden="false" customHeight="false" outlineLevel="0" collapsed="false">
      <c r="A9" s="2" t="s">
        <v>2655</v>
      </c>
      <c r="B9" s="11" t="s">
        <v>2656</v>
      </c>
      <c r="D9" s="11" t="s">
        <v>2635</v>
      </c>
      <c r="H9" s="11" t="s">
        <v>2636</v>
      </c>
      <c r="J9" s="11" t="s">
        <v>985</v>
      </c>
      <c r="K9" s="11" t="s">
        <v>2020</v>
      </c>
      <c r="L9" s="11" t="s">
        <v>985</v>
      </c>
      <c r="M9" s="11" t="s">
        <v>2020</v>
      </c>
      <c r="N9" s="11" t="s">
        <v>766</v>
      </c>
      <c r="O9" s="11" t="n">
        <v>1</v>
      </c>
      <c r="R9" s="11" t="s">
        <v>2640</v>
      </c>
    </row>
    <row r="10" customFormat="false" ht="15" hidden="false" customHeight="false" outlineLevel="0" collapsed="false">
      <c r="A10" s="2" t="s">
        <v>2657</v>
      </c>
      <c r="B10" s="11" t="s">
        <v>2658</v>
      </c>
      <c r="D10" s="11" t="s">
        <v>2659</v>
      </c>
      <c r="H10" s="11" t="s">
        <v>2636</v>
      </c>
      <c r="J10" s="11" t="s">
        <v>985</v>
      </c>
      <c r="K10" s="11" t="s">
        <v>2020</v>
      </c>
      <c r="L10" s="11" t="s">
        <v>985</v>
      </c>
      <c r="M10" s="11" t="s">
        <v>2020</v>
      </c>
      <c r="N10" s="11" t="s">
        <v>766</v>
      </c>
      <c r="O10" s="11" t="n">
        <v>1</v>
      </c>
      <c r="R10" s="11" t="s">
        <v>2637</v>
      </c>
    </row>
    <row r="11" customFormat="false" ht="15" hidden="false" customHeight="false" outlineLevel="0" collapsed="false">
      <c r="A11" s="2" t="s">
        <v>2660</v>
      </c>
      <c r="B11" s="11" t="s">
        <v>2661</v>
      </c>
      <c r="D11" s="11" t="s">
        <v>2662</v>
      </c>
      <c r="H11" s="11" t="s">
        <v>2636</v>
      </c>
      <c r="J11" s="11" t="s">
        <v>985</v>
      </c>
      <c r="K11" s="11" t="s">
        <v>2020</v>
      </c>
      <c r="L11" s="11" t="s">
        <v>985</v>
      </c>
      <c r="M11" s="11" t="s">
        <v>2020</v>
      </c>
      <c r="N11" s="11" t="s">
        <v>766</v>
      </c>
      <c r="O11" s="11" t="n">
        <v>1</v>
      </c>
      <c r="R11" s="11" t="s">
        <v>2640</v>
      </c>
    </row>
    <row r="12" customFormat="false" ht="15" hidden="false" customHeight="false" outlineLevel="0" collapsed="false">
      <c r="A12" s="2" t="s">
        <v>2663</v>
      </c>
      <c r="B12" s="11" t="s">
        <v>2664</v>
      </c>
      <c r="D12" s="11" t="s">
        <v>2665</v>
      </c>
      <c r="H12" s="11" t="s">
        <v>2636</v>
      </c>
      <c r="J12" s="11" t="s">
        <v>985</v>
      </c>
      <c r="K12" s="11" t="s">
        <v>2020</v>
      </c>
      <c r="L12" s="11" t="s">
        <v>985</v>
      </c>
      <c r="M12" s="11" t="s">
        <v>2020</v>
      </c>
      <c r="N12" s="11" t="s">
        <v>766</v>
      </c>
      <c r="O12" s="11" t="n">
        <v>1</v>
      </c>
      <c r="R12" s="11" t="s">
        <v>2637</v>
      </c>
    </row>
    <row r="13" customFormat="false" ht="15" hidden="false" customHeight="false" outlineLevel="0" collapsed="false">
      <c r="A13" s="2" t="s">
        <v>2666</v>
      </c>
      <c r="B13" s="11" t="s">
        <v>2667</v>
      </c>
      <c r="D13" s="11" t="s">
        <v>2662</v>
      </c>
      <c r="H13" s="11" t="s">
        <v>2636</v>
      </c>
      <c r="J13" s="11" t="s">
        <v>985</v>
      </c>
      <c r="K13" s="11" t="s">
        <v>2020</v>
      </c>
      <c r="L13" s="11" t="s">
        <v>985</v>
      </c>
      <c r="M13" s="11" t="s">
        <v>2020</v>
      </c>
      <c r="N13" s="11" t="s">
        <v>766</v>
      </c>
      <c r="O13" s="11" t="n">
        <v>1</v>
      </c>
      <c r="R13" s="11" t="s">
        <v>2637</v>
      </c>
    </row>
    <row r="14" customFormat="false" ht="15" hidden="false" customHeight="false" outlineLevel="0" collapsed="false">
      <c r="A14" s="2" t="s">
        <v>2668</v>
      </c>
      <c r="B14" s="11" t="s">
        <v>2669</v>
      </c>
      <c r="D14" s="11" t="s">
        <v>2662</v>
      </c>
      <c r="H14" s="11" t="s">
        <v>2636</v>
      </c>
      <c r="J14" s="11" t="s">
        <v>985</v>
      </c>
      <c r="K14" s="11" t="s">
        <v>2020</v>
      </c>
      <c r="L14" s="11" t="s">
        <v>985</v>
      </c>
      <c r="M14" s="11" t="s">
        <v>2020</v>
      </c>
      <c r="N14" s="11" t="s">
        <v>766</v>
      </c>
      <c r="O14" s="11" t="n">
        <v>1</v>
      </c>
      <c r="R14" s="11" t="s">
        <v>2637</v>
      </c>
    </row>
    <row r="15" customFormat="false" ht="15" hidden="false" customHeight="false" outlineLevel="0" collapsed="false">
      <c r="A15" s="2" t="s">
        <v>2670</v>
      </c>
      <c r="B15" s="11" t="s">
        <v>2671</v>
      </c>
      <c r="D15" s="11" t="s">
        <v>2662</v>
      </c>
      <c r="H15" s="11" t="s">
        <v>2636</v>
      </c>
      <c r="J15" s="11" t="s">
        <v>985</v>
      </c>
      <c r="K15" s="11" t="s">
        <v>2020</v>
      </c>
      <c r="L15" s="11" t="s">
        <v>985</v>
      </c>
      <c r="M15" s="11" t="s">
        <v>2020</v>
      </c>
      <c r="N15" s="11" t="s">
        <v>766</v>
      </c>
      <c r="O15" s="11" t="n">
        <v>1</v>
      </c>
      <c r="R15" s="11" t="s">
        <v>2637</v>
      </c>
    </row>
    <row r="16" customFormat="false" ht="15" hidden="false" customHeight="false" outlineLevel="0" collapsed="false">
      <c r="A16" s="2" t="s">
        <v>2672</v>
      </c>
      <c r="B16" s="11" t="s">
        <v>2673</v>
      </c>
      <c r="D16" s="11" t="s">
        <v>2645</v>
      </c>
      <c r="H16" s="11" t="s">
        <v>2636</v>
      </c>
      <c r="J16" s="11" t="s">
        <v>985</v>
      </c>
      <c r="K16" s="11" t="s">
        <v>2020</v>
      </c>
      <c r="L16" s="11" t="s">
        <v>985</v>
      </c>
      <c r="M16" s="11" t="s">
        <v>2020</v>
      </c>
      <c r="N16" s="11" t="s">
        <v>766</v>
      </c>
      <c r="O16" s="11" t="n">
        <v>1</v>
      </c>
      <c r="R16" s="11" t="s">
        <v>2637</v>
      </c>
    </row>
    <row r="17" customFormat="false" ht="15" hidden="false" customHeight="false" outlineLevel="0" collapsed="false">
      <c r="A17" s="2" t="s">
        <v>2674</v>
      </c>
      <c r="B17" s="11" t="s">
        <v>2675</v>
      </c>
      <c r="D17" s="11" t="s">
        <v>2676</v>
      </c>
      <c r="H17" s="11" t="s">
        <v>2636</v>
      </c>
      <c r="J17" s="11" t="s">
        <v>985</v>
      </c>
      <c r="K17" s="11" t="s">
        <v>2020</v>
      </c>
      <c r="L17" s="11" t="s">
        <v>985</v>
      </c>
      <c r="M17" s="11" t="s">
        <v>2020</v>
      </c>
      <c r="N17" s="11" t="s">
        <v>766</v>
      </c>
      <c r="O17" s="11" t="n">
        <v>1</v>
      </c>
      <c r="R17" s="11" t="s">
        <v>2637</v>
      </c>
    </row>
    <row r="18" customFormat="false" ht="15" hidden="false" customHeight="false" outlineLevel="0" collapsed="false">
      <c r="A18" s="2" t="s">
        <v>2677</v>
      </c>
      <c r="B18" s="11" t="s">
        <v>2678</v>
      </c>
      <c r="D18" s="11" t="s">
        <v>2635</v>
      </c>
      <c r="H18" s="11" t="s">
        <v>2636</v>
      </c>
      <c r="J18" s="11" t="s">
        <v>985</v>
      </c>
      <c r="K18" s="11" t="s">
        <v>2020</v>
      </c>
      <c r="L18" s="11" t="s">
        <v>985</v>
      </c>
      <c r="M18" s="11" t="s">
        <v>2020</v>
      </c>
      <c r="N18" s="11" t="s">
        <v>766</v>
      </c>
      <c r="O18" s="11" t="n">
        <v>1</v>
      </c>
      <c r="R18" s="11" t="s">
        <v>2640</v>
      </c>
    </row>
    <row r="19" customFormat="false" ht="15" hidden="false" customHeight="false" outlineLevel="0" collapsed="false">
      <c r="A19" s="2" t="s">
        <v>2679</v>
      </c>
      <c r="B19" s="11" t="s">
        <v>2680</v>
      </c>
      <c r="D19" s="11" t="s">
        <v>2651</v>
      </c>
      <c r="H19" s="11" t="s">
        <v>2636</v>
      </c>
      <c r="J19" s="11" t="s">
        <v>985</v>
      </c>
      <c r="K19" s="11" t="s">
        <v>2020</v>
      </c>
      <c r="L19" s="11" t="s">
        <v>985</v>
      </c>
      <c r="M19" s="11" t="s">
        <v>2020</v>
      </c>
      <c r="N19" s="11" t="s">
        <v>766</v>
      </c>
      <c r="O19" s="11" t="n">
        <v>1</v>
      </c>
      <c r="R19" s="11" t="s">
        <v>2640</v>
      </c>
    </row>
    <row r="20" customFormat="false" ht="15" hidden="false" customHeight="false" outlineLevel="0" collapsed="false">
      <c r="A20" s="2" t="s">
        <v>2681</v>
      </c>
      <c r="B20" s="11" t="s">
        <v>2682</v>
      </c>
      <c r="D20" s="11" t="s">
        <v>2648</v>
      </c>
      <c r="H20" s="11" t="s">
        <v>2636</v>
      </c>
      <c r="J20" s="11" t="s">
        <v>985</v>
      </c>
      <c r="K20" s="11" t="s">
        <v>2020</v>
      </c>
      <c r="L20" s="11" t="s">
        <v>985</v>
      </c>
      <c r="M20" s="11" t="s">
        <v>2020</v>
      </c>
      <c r="N20" s="11" t="s">
        <v>766</v>
      </c>
      <c r="O20" s="11" t="n">
        <v>1</v>
      </c>
      <c r="R20" s="11" t="s">
        <v>2640</v>
      </c>
    </row>
    <row r="21" customFormat="false" ht="15" hidden="false" customHeight="false" outlineLevel="0" collapsed="false">
      <c r="A21" s="2" t="s">
        <v>2683</v>
      </c>
      <c r="B21" s="11" t="s">
        <v>2684</v>
      </c>
      <c r="D21" s="11" t="s">
        <v>2648</v>
      </c>
      <c r="H21" s="11" t="s">
        <v>2636</v>
      </c>
      <c r="J21" s="11" t="s">
        <v>985</v>
      </c>
      <c r="K21" s="11" t="s">
        <v>2020</v>
      </c>
      <c r="L21" s="11" t="s">
        <v>985</v>
      </c>
      <c r="M21" s="11" t="s">
        <v>2020</v>
      </c>
      <c r="N21" s="11" t="s">
        <v>766</v>
      </c>
      <c r="O21" s="11" t="n">
        <v>1</v>
      </c>
      <c r="R21" s="11" t="s">
        <v>2640</v>
      </c>
    </row>
    <row r="22" customFormat="false" ht="15" hidden="false" customHeight="false" outlineLevel="0" collapsed="false">
      <c r="A22" s="2" t="s">
        <v>2685</v>
      </c>
      <c r="B22" s="11" t="s">
        <v>2686</v>
      </c>
      <c r="D22" s="11" t="s">
        <v>2651</v>
      </c>
      <c r="H22" s="11" t="s">
        <v>2687</v>
      </c>
      <c r="J22" s="11" t="s">
        <v>985</v>
      </c>
      <c r="K22" s="11" t="s">
        <v>2020</v>
      </c>
      <c r="L22" s="11" t="s">
        <v>985</v>
      </c>
      <c r="M22" s="11" t="s">
        <v>2020</v>
      </c>
      <c r="N22" s="11" t="s">
        <v>766</v>
      </c>
      <c r="O22" s="11" t="n">
        <v>1</v>
      </c>
      <c r="R22" s="11" t="s">
        <v>2637</v>
      </c>
    </row>
    <row r="23" customFormat="false" ht="15" hidden="false" customHeight="false" outlineLevel="0" collapsed="false">
      <c r="A23" s="2" t="s">
        <v>2688</v>
      </c>
      <c r="B23" s="11" t="s">
        <v>2689</v>
      </c>
      <c r="D23" s="11" t="s">
        <v>2690</v>
      </c>
      <c r="H23" s="11" t="s">
        <v>2687</v>
      </c>
      <c r="J23" s="11" t="s">
        <v>985</v>
      </c>
      <c r="K23" s="11" t="s">
        <v>2020</v>
      </c>
      <c r="L23" s="11" t="s">
        <v>985</v>
      </c>
      <c r="M23" s="11" t="s">
        <v>2020</v>
      </c>
      <c r="N23" s="11" t="s">
        <v>766</v>
      </c>
      <c r="O23" s="11" t="n">
        <v>1</v>
      </c>
      <c r="R23" s="11" t="s">
        <v>2640</v>
      </c>
    </row>
    <row r="24" customFormat="false" ht="15" hidden="false" customHeight="false" outlineLevel="0" collapsed="false">
      <c r="A24" s="2" t="s">
        <v>2691</v>
      </c>
      <c r="B24" s="11" t="s">
        <v>2692</v>
      </c>
      <c r="D24" s="11" t="s">
        <v>2693</v>
      </c>
      <c r="H24" s="11" t="s">
        <v>2636</v>
      </c>
      <c r="J24" s="11" t="s">
        <v>985</v>
      </c>
      <c r="K24" s="11" t="s">
        <v>2020</v>
      </c>
      <c r="L24" s="11" t="s">
        <v>985</v>
      </c>
      <c r="M24" s="11" t="s">
        <v>2020</v>
      </c>
      <c r="N24" s="11" t="s">
        <v>766</v>
      </c>
      <c r="O24" s="11" t="n">
        <v>1</v>
      </c>
      <c r="R24" s="11" t="s">
        <v>2637</v>
      </c>
    </row>
    <row r="25" customFormat="false" ht="15" hidden="false" customHeight="false" outlineLevel="0" collapsed="false">
      <c r="A25" s="2" t="s">
        <v>2694</v>
      </c>
      <c r="B25" s="11" t="s">
        <v>2695</v>
      </c>
      <c r="D25" s="11" t="s">
        <v>2665</v>
      </c>
      <c r="H25" s="11" t="s">
        <v>2636</v>
      </c>
      <c r="J25" s="11" t="s">
        <v>985</v>
      </c>
      <c r="K25" s="11" t="s">
        <v>2020</v>
      </c>
      <c r="L25" s="11" t="s">
        <v>985</v>
      </c>
      <c r="M25" s="11" t="s">
        <v>2020</v>
      </c>
      <c r="N25" s="11" t="s">
        <v>766</v>
      </c>
      <c r="O25" s="11" t="n">
        <v>1</v>
      </c>
      <c r="R25" s="11" t="s">
        <v>2637</v>
      </c>
    </row>
    <row r="26" customFormat="false" ht="15" hidden="false" customHeight="false" outlineLevel="0" collapsed="false">
      <c r="A26" s="2" t="s">
        <v>2696</v>
      </c>
      <c r="B26" s="11" t="s">
        <v>2697</v>
      </c>
      <c r="D26" s="11" t="s">
        <v>2635</v>
      </c>
      <c r="H26" s="11" t="s">
        <v>2636</v>
      </c>
      <c r="J26" s="11" t="s">
        <v>985</v>
      </c>
      <c r="K26" s="11" t="s">
        <v>2020</v>
      </c>
      <c r="L26" s="11" t="s">
        <v>985</v>
      </c>
      <c r="M26" s="11" t="s">
        <v>2020</v>
      </c>
      <c r="N26" s="11" t="s">
        <v>766</v>
      </c>
      <c r="O26" s="11" t="n">
        <v>1</v>
      </c>
      <c r="R26" s="11" t="s">
        <v>2640</v>
      </c>
    </row>
    <row r="27" customFormat="false" ht="15" hidden="false" customHeight="false" outlineLevel="0" collapsed="false">
      <c r="A27" s="2" t="s">
        <v>2698</v>
      </c>
      <c r="B27" s="11" t="s">
        <v>2699</v>
      </c>
      <c r="D27" s="11" t="s">
        <v>2645</v>
      </c>
      <c r="H27" s="11" t="s">
        <v>2636</v>
      </c>
      <c r="J27" s="11" t="s">
        <v>985</v>
      </c>
      <c r="K27" s="11" t="s">
        <v>2020</v>
      </c>
      <c r="L27" s="11" t="s">
        <v>985</v>
      </c>
      <c r="M27" s="11" t="s">
        <v>2020</v>
      </c>
      <c r="N27" s="11" t="s">
        <v>766</v>
      </c>
      <c r="O27" s="11" t="n">
        <v>1</v>
      </c>
      <c r="R27" s="11" t="s">
        <v>2640</v>
      </c>
    </row>
    <row r="28" customFormat="false" ht="15" hidden="false" customHeight="false" outlineLevel="0" collapsed="false">
      <c r="A28" s="2" t="s">
        <v>2700</v>
      </c>
      <c r="B28" s="11" t="s">
        <v>2701</v>
      </c>
      <c r="D28" s="11" t="s">
        <v>2665</v>
      </c>
      <c r="H28" s="11" t="s">
        <v>2636</v>
      </c>
      <c r="J28" s="11" t="s">
        <v>985</v>
      </c>
      <c r="K28" s="11" t="s">
        <v>2020</v>
      </c>
      <c r="L28" s="11" t="s">
        <v>985</v>
      </c>
      <c r="M28" s="11" t="s">
        <v>2020</v>
      </c>
      <c r="N28" s="11" t="s">
        <v>766</v>
      </c>
      <c r="O28" s="11" t="n">
        <v>1</v>
      </c>
      <c r="R28" s="11" t="s">
        <v>2637</v>
      </c>
    </row>
    <row r="29" customFormat="false" ht="15" hidden="false" customHeight="false" outlineLevel="0" collapsed="false">
      <c r="A29" s="2" t="s">
        <v>2702</v>
      </c>
      <c r="B29" s="11" t="s">
        <v>2703</v>
      </c>
      <c r="D29" s="11" t="s">
        <v>2635</v>
      </c>
      <c r="H29" s="11" t="s">
        <v>2636</v>
      </c>
      <c r="J29" s="11" t="s">
        <v>985</v>
      </c>
      <c r="K29" s="11" t="s">
        <v>2020</v>
      </c>
      <c r="L29" s="11" t="s">
        <v>985</v>
      </c>
      <c r="M29" s="11" t="s">
        <v>2020</v>
      </c>
      <c r="N29" s="11" t="s">
        <v>766</v>
      </c>
      <c r="O29" s="11" t="n">
        <v>1</v>
      </c>
      <c r="R29" s="11" t="s">
        <v>2640</v>
      </c>
    </row>
    <row r="30" customFormat="false" ht="15" hidden="false" customHeight="false" outlineLevel="0" collapsed="false">
      <c r="A30" s="2" t="s">
        <v>2704</v>
      </c>
      <c r="B30" s="11" t="s">
        <v>2705</v>
      </c>
      <c r="D30" s="11" t="s">
        <v>2662</v>
      </c>
      <c r="H30" s="11" t="s">
        <v>2687</v>
      </c>
      <c r="J30" s="11" t="s">
        <v>985</v>
      </c>
      <c r="K30" s="11" t="s">
        <v>2020</v>
      </c>
      <c r="L30" s="11" t="s">
        <v>985</v>
      </c>
      <c r="M30" s="11" t="s">
        <v>2020</v>
      </c>
      <c r="N30" s="11" t="s">
        <v>766</v>
      </c>
      <c r="O30" s="11" t="n">
        <v>1</v>
      </c>
      <c r="R30" s="11" t="s">
        <v>2640</v>
      </c>
    </row>
    <row r="31" customFormat="false" ht="15" hidden="false" customHeight="false" outlineLevel="0" collapsed="false">
      <c r="A31" s="2" t="s">
        <v>2706</v>
      </c>
      <c r="B31" s="11" t="s">
        <v>2707</v>
      </c>
      <c r="D31" s="11" t="s">
        <v>2690</v>
      </c>
      <c r="H31" s="11" t="s">
        <v>2687</v>
      </c>
      <c r="J31" s="11" t="s">
        <v>985</v>
      </c>
      <c r="K31" s="11" t="s">
        <v>2020</v>
      </c>
      <c r="L31" s="11" t="s">
        <v>985</v>
      </c>
      <c r="M31" s="11" t="s">
        <v>2020</v>
      </c>
      <c r="N31" s="11" t="s">
        <v>766</v>
      </c>
      <c r="O31" s="11" t="n">
        <v>1</v>
      </c>
      <c r="R31" s="11" t="s">
        <v>2640</v>
      </c>
    </row>
    <row r="32" customFormat="false" ht="15" hidden="false" customHeight="false" outlineLevel="0" collapsed="false">
      <c r="A32" s="2" t="s">
        <v>2708</v>
      </c>
      <c r="B32" s="11" t="s">
        <v>2709</v>
      </c>
      <c r="D32" s="11" t="s">
        <v>2645</v>
      </c>
      <c r="H32" s="11" t="s">
        <v>2636</v>
      </c>
      <c r="J32" s="11" t="s">
        <v>985</v>
      </c>
      <c r="K32" s="11" t="s">
        <v>2020</v>
      </c>
      <c r="L32" s="11" t="s">
        <v>985</v>
      </c>
      <c r="M32" s="11" t="s">
        <v>2020</v>
      </c>
      <c r="N32" s="11" t="s">
        <v>766</v>
      </c>
      <c r="O32" s="11" t="n">
        <v>1</v>
      </c>
      <c r="R32" s="11" t="s">
        <v>2637</v>
      </c>
    </row>
    <row r="33" customFormat="false" ht="15" hidden="false" customHeight="false" outlineLevel="0" collapsed="false">
      <c r="A33" s="2" t="s">
        <v>2710</v>
      </c>
      <c r="B33" s="11" t="s">
        <v>2711</v>
      </c>
      <c r="D33" s="11" t="s">
        <v>2648</v>
      </c>
      <c r="H33" s="11" t="s">
        <v>2687</v>
      </c>
      <c r="J33" s="11" t="s">
        <v>985</v>
      </c>
      <c r="K33" s="11" t="s">
        <v>2020</v>
      </c>
      <c r="L33" s="11" t="s">
        <v>985</v>
      </c>
      <c r="M33" s="11" t="s">
        <v>2020</v>
      </c>
      <c r="N33" s="11" t="s">
        <v>766</v>
      </c>
      <c r="O33" s="11" t="n">
        <v>1</v>
      </c>
      <c r="R33" s="11" t="s">
        <v>2640</v>
      </c>
    </row>
    <row r="34" customFormat="false" ht="15" hidden="false" customHeight="false" outlineLevel="0" collapsed="false">
      <c r="A34" s="2" t="s">
        <v>2712</v>
      </c>
      <c r="B34" s="11" t="s">
        <v>2713</v>
      </c>
      <c r="D34" s="11" t="s">
        <v>2648</v>
      </c>
      <c r="H34" s="11" t="s">
        <v>2636</v>
      </c>
      <c r="J34" s="11" t="s">
        <v>985</v>
      </c>
      <c r="K34" s="11" t="s">
        <v>2020</v>
      </c>
      <c r="L34" s="11" t="s">
        <v>985</v>
      </c>
      <c r="M34" s="11" t="s">
        <v>2020</v>
      </c>
      <c r="N34" s="11" t="s">
        <v>766</v>
      </c>
      <c r="O34" s="11" t="n">
        <v>1</v>
      </c>
      <c r="R34" s="11" t="s">
        <v>2640</v>
      </c>
    </row>
    <row r="35" customFormat="false" ht="15" hidden="false" customHeight="false" outlineLevel="0" collapsed="false">
      <c r="A35" s="2" t="s">
        <v>2714</v>
      </c>
      <c r="B35" s="11" t="s">
        <v>2715</v>
      </c>
      <c r="D35" s="11" t="s">
        <v>2662</v>
      </c>
      <c r="H35" s="11" t="s">
        <v>2636</v>
      </c>
      <c r="J35" s="11" t="s">
        <v>985</v>
      </c>
      <c r="K35" s="11" t="s">
        <v>2020</v>
      </c>
      <c r="L35" s="11" t="s">
        <v>985</v>
      </c>
      <c r="M35" s="11" t="s">
        <v>2020</v>
      </c>
      <c r="N35" s="11" t="s">
        <v>766</v>
      </c>
      <c r="O35" s="11" t="n">
        <v>1</v>
      </c>
      <c r="R35" s="11" t="s">
        <v>2640</v>
      </c>
    </row>
    <row r="36" customFormat="false" ht="15" hidden="false" customHeight="false" outlineLevel="0" collapsed="false">
      <c r="A36" s="2" t="s">
        <v>2716</v>
      </c>
      <c r="B36" s="11" t="s">
        <v>2367</v>
      </c>
      <c r="D36" s="11" t="s">
        <v>2654</v>
      </c>
      <c r="H36" s="11" t="s">
        <v>2636</v>
      </c>
      <c r="J36" s="11" t="s">
        <v>985</v>
      </c>
      <c r="K36" s="11" t="s">
        <v>2020</v>
      </c>
      <c r="L36" s="11" t="s">
        <v>985</v>
      </c>
      <c r="M36" s="11" t="s">
        <v>2020</v>
      </c>
      <c r="N36" s="11" t="s">
        <v>766</v>
      </c>
      <c r="O36" s="11" t="n">
        <v>1</v>
      </c>
      <c r="R36" s="11" t="s">
        <v>2637</v>
      </c>
    </row>
    <row r="37" customFormat="false" ht="15" hidden="false" customHeight="false" outlineLevel="0" collapsed="false">
      <c r="A37" s="2" t="s">
        <v>2717</v>
      </c>
      <c r="B37" s="11" t="s">
        <v>2718</v>
      </c>
      <c r="D37" s="11" t="s">
        <v>2693</v>
      </c>
      <c r="H37" s="11" t="s">
        <v>2636</v>
      </c>
      <c r="J37" s="11" t="s">
        <v>985</v>
      </c>
      <c r="K37" s="11" t="s">
        <v>2020</v>
      </c>
      <c r="L37" s="11" t="s">
        <v>985</v>
      </c>
      <c r="M37" s="11" t="s">
        <v>2020</v>
      </c>
      <c r="N37" s="11" t="s">
        <v>766</v>
      </c>
      <c r="O37" s="11" t="n">
        <v>1</v>
      </c>
      <c r="R37" s="11" t="s">
        <v>2640</v>
      </c>
    </row>
    <row r="38" customFormat="false" ht="15" hidden="false" customHeight="false" outlineLevel="0" collapsed="false">
      <c r="A38" s="2" t="s">
        <v>2719</v>
      </c>
      <c r="B38" s="11" t="s">
        <v>2720</v>
      </c>
      <c r="D38" s="11" t="s">
        <v>2648</v>
      </c>
      <c r="H38" s="11" t="s">
        <v>2636</v>
      </c>
      <c r="J38" s="11" t="s">
        <v>985</v>
      </c>
      <c r="K38" s="11" t="s">
        <v>2020</v>
      </c>
      <c r="L38" s="11" t="s">
        <v>985</v>
      </c>
      <c r="M38" s="11" t="s">
        <v>2020</v>
      </c>
      <c r="N38" s="11" t="s">
        <v>766</v>
      </c>
      <c r="O38" s="11" t="n">
        <v>1</v>
      </c>
      <c r="R38" s="11" t="s">
        <v>2637</v>
      </c>
    </row>
    <row r="39" customFormat="false" ht="15" hidden="false" customHeight="false" outlineLevel="0" collapsed="false">
      <c r="A39" s="2" t="s">
        <v>2721</v>
      </c>
      <c r="B39" s="11" t="s">
        <v>2722</v>
      </c>
      <c r="D39" s="11" t="s">
        <v>2665</v>
      </c>
      <c r="H39" s="11" t="s">
        <v>2636</v>
      </c>
      <c r="J39" s="11" t="s">
        <v>985</v>
      </c>
      <c r="K39" s="11" t="s">
        <v>2020</v>
      </c>
      <c r="L39" s="11" t="s">
        <v>985</v>
      </c>
      <c r="M39" s="11" t="s">
        <v>2020</v>
      </c>
      <c r="N39" s="11" t="s">
        <v>766</v>
      </c>
      <c r="O39" s="11" t="n">
        <v>1</v>
      </c>
      <c r="R39" s="11" t="s">
        <v>2637</v>
      </c>
    </row>
    <row r="40" customFormat="false" ht="15" hidden="false" customHeight="false" outlineLevel="0" collapsed="false">
      <c r="A40" s="2" t="s">
        <v>2723</v>
      </c>
      <c r="B40" s="11" t="s">
        <v>2724</v>
      </c>
      <c r="D40" s="11" t="s">
        <v>2635</v>
      </c>
      <c r="H40" s="11" t="s">
        <v>2636</v>
      </c>
      <c r="J40" s="11" t="s">
        <v>985</v>
      </c>
      <c r="K40" s="11" t="s">
        <v>2020</v>
      </c>
      <c r="L40" s="11" t="s">
        <v>985</v>
      </c>
      <c r="M40" s="11" t="s">
        <v>2020</v>
      </c>
      <c r="N40" s="11" t="s">
        <v>766</v>
      </c>
      <c r="O40" s="11" t="n">
        <v>1</v>
      </c>
      <c r="R40" s="11" t="s">
        <v>2640</v>
      </c>
    </row>
    <row r="41" customFormat="false" ht="15" hidden="false" customHeight="false" outlineLevel="0" collapsed="false">
      <c r="A41" s="2" t="s">
        <v>2725</v>
      </c>
      <c r="B41" s="11" t="s">
        <v>2726</v>
      </c>
      <c r="D41" s="11" t="s">
        <v>2662</v>
      </c>
      <c r="H41" s="11" t="s">
        <v>2636</v>
      </c>
      <c r="J41" s="11" t="s">
        <v>985</v>
      </c>
      <c r="K41" s="11" t="s">
        <v>2020</v>
      </c>
      <c r="L41" s="11" t="s">
        <v>985</v>
      </c>
      <c r="M41" s="11" t="s">
        <v>2020</v>
      </c>
      <c r="N41" s="11" t="s">
        <v>766</v>
      </c>
      <c r="O41" s="11" t="n">
        <v>1</v>
      </c>
      <c r="R41" s="11" t="s">
        <v>2640</v>
      </c>
    </row>
    <row r="42" customFormat="false" ht="15" hidden="false" customHeight="false" outlineLevel="0" collapsed="false">
      <c r="A42" s="2" t="s">
        <v>2727</v>
      </c>
      <c r="B42" s="11" t="s">
        <v>2728</v>
      </c>
      <c r="D42" s="11" t="s">
        <v>2645</v>
      </c>
      <c r="H42" s="11" t="s">
        <v>2636</v>
      </c>
      <c r="J42" s="11" t="s">
        <v>985</v>
      </c>
      <c r="K42" s="11" t="s">
        <v>2020</v>
      </c>
      <c r="L42" s="11" t="s">
        <v>985</v>
      </c>
      <c r="M42" s="11" t="s">
        <v>2020</v>
      </c>
      <c r="N42" s="11" t="s">
        <v>766</v>
      </c>
      <c r="O42" s="11" t="n">
        <v>1</v>
      </c>
      <c r="R42" s="11" t="s">
        <v>2637</v>
      </c>
    </row>
    <row r="43" customFormat="false" ht="15" hidden="false" customHeight="false" outlineLevel="0" collapsed="false">
      <c r="A43" s="2" t="s">
        <v>2729</v>
      </c>
      <c r="B43" s="11" t="s">
        <v>2730</v>
      </c>
      <c r="D43" s="11" t="s">
        <v>2665</v>
      </c>
      <c r="H43" s="11" t="s">
        <v>2636</v>
      </c>
      <c r="J43" s="11" t="s">
        <v>985</v>
      </c>
      <c r="K43" s="11" t="s">
        <v>2020</v>
      </c>
      <c r="L43" s="11" t="s">
        <v>985</v>
      </c>
      <c r="M43" s="11" t="s">
        <v>2020</v>
      </c>
      <c r="N43" s="11" t="s">
        <v>766</v>
      </c>
      <c r="O43" s="11" t="n">
        <v>1</v>
      </c>
      <c r="R43" s="11" t="s">
        <v>2637</v>
      </c>
    </row>
    <row r="44" customFormat="false" ht="15" hidden="false" customHeight="false" outlineLevel="0" collapsed="false">
      <c r="A44" s="2" t="s">
        <v>2731</v>
      </c>
      <c r="B44" s="11" t="s">
        <v>2732</v>
      </c>
      <c r="D44" s="11" t="s">
        <v>2665</v>
      </c>
      <c r="H44" s="11" t="s">
        <v>2636</v>
      </c>
      <c r="J44" s="11" t="s">
        <v>985</v>
      </c>
      <c r="K44" s="11" t="s">
        <v>2020</v>
      </c>
      <c r="L44" s="11" t="s">
        <v>985</v>
      </c>
      <c r="M44" s="11" t="s">
        <v>2020</v>
      </c>
      <c r="N44" s="11" t="s">
        <v>766</v>
      </c>
      <c r="O44" s="11" t="n">
        <v>1</v>
      </c>
      <c r="R44" s="11" t="s">
        <v>2637</v>
      </c>
    </row>
    <row r="45" customFormat="false" ht="15" hidden="false" customHeight="false" outlineLevel="0" collapsed="false">
      <c r="A45" s="2" t="s">
        <v>2733</v>
      </c>
      <c r="B45" s="11" t="s">
        <v>2734</v>
      </c>
      <c r="D45" s="11" t="s">
        <v>2690</v>
      </c>
      <c r="H45" s="11" t="s">
        <v>2687</v>
      </c>
      <c r="J45" s="11" t="s">
        <v>985</v>
      </c>
      <c r="K45" s="11" t="s">
        <v>2020</v>
      </c>
      <c r="L45" s="11" t="s">
        <v>985</v>
      </c>
      <c r="M45" s="11" t="s">
        <v>2020</v>
      </c>
      <c r="N45" s="11" t="s">
        <v>766</v>
      </c>
      <c r="O45" s="11" t="n">
        <v>1</v>
      </c>
      <c r="R45" s="11" t="s">
        <v>2637</v>
      </c>
    </row>
    <row r="46" customFormat="false" ht="15" hidden="false" customHeight="false" outlineLevel="0" collapsed="false">
      <c r="A46" s="2" t="s">
        <v>2735</v>
      </c>
      <c r="B46" s="11" t="s">
        <v>2736</v>
      </c>
      <c r="D46" s="11" t="s">
        <v>2662</v>
      </c>
      <c r="H46" s="11" t="s">
        <v>2636</v>
      </c>
      <c r="J46" s="11" t="s">
        <v>985</v>
      </c>
      <c r="K46" s="11" t="s">
        <v>2020</v>
      </c>
      <c r="L46" s="11" t="s">
        <v>985</v>
      </c>
      <c r="M46" s="11" t="s">
        <v>2020</v>
      </c>
      <c r="N46" s="11" t="s">
        <v>766</v>
      </c>
      <c r="O46" s="11" t="n">
        <v>1</v>
      </c>
      <c r="R46" s="11" t="s">
        <v>2640</v>
      </c>
    </row>
    <row r="47" customFormat="false" ht="15" hidden="false" customHeight="false" outlineLevel="0" collapsed="false">
      <c r="A47" s="2" t="s">
        <v>2737</v>
      </c>
      <c r="B47" s="11" t="s">
        <v>2738</v>
      </c>
      <c r="D47" s="11" t="s">
        <v>2739</v>
      </c>
      <c r="H47" s="11" t="s">
        <v>2636</v>
      </c>
      <c r="J47" s="11" t="s">
        <v>985</v>
      </c>
      <c r="K47" s="11" t="s">
        <v>2020</v>
      </c>
      <c r="L47" s="11" t="s">
        <v>985</v>
      </c>
      <c r="M47" s="11" t="s">
        <v>2020</v>
      </c>
      <c r="N47" s="11" t="s">
        <v>766</v>
      </c>
      <c r="O47" s="11" t="n">
        <v>1</v>
      </c>
      <c r="R47" s="11" t="s">
        <v>2637</v>
      </c>
    </row>
    <row r="48" customFormat="false" ht="15" hidden="false" customHeight="false" outlineLevel="0" collapsed="false">
      <c r="A48" s="2" t="s">
        <v>2740</v>
      </c>
      <c r="B48" s="11" t="s">
        <v>2741</v>
      </c>
      <c r="D48" s="11" t="s">
        <v>2739</v>
      </c>
      <c r="H48" s="11" t="s">
        <v>2636</v>
      </c>
      <c r="J48" s="11" t="s">
        <v>985</v>
      </c>
      <c r="K48" s="11" t="s">
        <v>2020</v>
      </c>
      <c r="L48" s="11" t="s">
        <v>985</v>
      </c>
      <c r="M48" s="11" t="s">
        <v>2020</v>
      </c>
      <c r="N48" s="11" t="s">
        <v>766</v>
      </c>
      <c r="O48" s="11" t="n">
        <v>1</v>
      </c>
      <c r="R48" s="11" t="s">
        <v>2640</v>
      </c>
    </row>
    <row r="49" customFormat="false" ht="15" hidden="false" customHeight="false" outlineLevel="0" collapsed="false">
      <c r="A49" s="2" t="s">
        <v>2742</v>
      </c>
      <c r="B49" s="11" t="s">
        <v>2743</v>
      </c>
      <c r="D49" s="11" t="s">
        <v>2651</v>
      </c>
      <c r="H49" s="11" t="s">
        <v>2636</v>
      </c>
      <c r="J49" s="11" t="s">
        <v>985</v>
      </c>
      <c r="K49" s="11" t="s">
        <v>2020</v>
      </c>
      <c r="L49" s="11" t="s">
        <v>985</v>
      </c>
      <c r="M49" s="11" t="s">
        <v>2020</v>
      </c>
      <c r="N49" s="11" t="s">
        <v>766</v>
      </c>
      <c r="O49" s="11" t="n">
        <v>1</v>
      </c>
      <c r="R49" s="11" t="s">
        <v>2637</v>
      </c>
    </row>
    <row r="50" customFormat="false" ht="15" hidden="false" customHeight="false" outlineLevel="0" collapsed="false">
      <c r="A50" s="2" t="s">
        <v>2744</v>
      </c>
      <c r="B50" s="11" t="s">
        <v>2745</v>
      </c>
      <c r="D50" s="11" t="s">
        <v>2651</v>
      </c>
      <c r="H50" s="11" t="s">
        <v>2636</v>
      </c>
      <c r="J50" s="11" t="s">
        <v>985</v>
      </c>
      <c r="K50" s="11" t="s">
        <v>2020</v>
      </c>
      <c r="L50" s="11" t="s">
        <v>985</v>
      </c>
      <c r="M50" s="11" t="s">
        <v>2020</v>
      </c>
      <c r="N50" s="11" t="s">
        <v>766</v>
      </c>
      <c r="O50" s="11" t="n">
        <v>1</v>
      </c>
      <c r="R50" s="11" t="s">
        <v>2640</v>
      </c>
    </row>
    <row r="51" customFormat="false" ht="15" hidden="false" customHeight="false" outlineLevel="0" collapsed="false">
      <c r="A51" s="2" t="s">
        <v>2746</v>
      </c>
      <c r="B51" s="11" t="s">
        <v>2747</v>
      </c>
      <c r="D51" s="11" t="s">
        <v>2662</v>
      </c>
      <c r="H51" s="11" t="s">
        <v>2636</v>
      </c>
      <c r="J51" s="11" t="s">
        <v>985</v>
      </c>
      <c r="K51" s="11" t="s">
        <v>2020</v>
      </c>
      <c r="L51" s="11" t="s">
        <v>985</v>
      </c>
      <c r="M51" s="11" t="s">
        <v>2020</v>
      </c>
      <c r="N51" s="11" t="s">
        <v>766</v>
      </c>
      <c r="O51" s="11" t="n">
        <v>1</v>
      </c>
      <c r="R51" s="11" t="s">
        <v>2640</v>
      </c>
    </row>
    <row r="52" customFormat="false" ht="15" hidden="false" customHeight="false" outlineLevel="0" collapsed="false">
      <c r="A52" s="2" t="s">
        <v>2748</v>
      </c>
      <c r="B52" s="11" t="s">
        <v>2749</v>
      </c>
      <c r="D52" s="11" t="s">
        <v>2648</v>
      </c>
      <c r="H52" s="11" t="s">
        <v>2636</v>
      </c>
      <c r="J52" s="11" t="s">
        <v>985</v>
      </c>
      <c r="K52" s="11" t="s">
        <v>2020</v>
      </c>
      <c r="L52" s="11" t="s">
        <v>985</v>
      </c>
      <c r="M52" s="11" t="s">
        <v>2020</v>
      </c>
      <c r="N52" s="11" t="s">
        <v>766</v>
      </c>
      <c r="O52" s="11" t="n">
        <v>1</v>
      </c>
      <c r="R52" s="11" t="s">
        <v>2640</v>
      </c>
    </row>
    <row r="53" customFormat="false" ht="15" hidden="false" customHeight="false" outlineLevel="0" collapsed="false">
      <c r="A53" s="2" t="s">
        <v>2750</v>
      </c>
      <c r="B53" s="11" t="s">
        <v>2751</v>
      </c>
      <c r="D53" s="11" t="s">
        <v>2693</v>
      </c>
      <c r="H53" s="11" t="s">
        <v>2636</v>
      </c>
      <c r="J53" s="11" t="s">
        <v>985</v>
      </c>
      <c r="K53" s="11" t="s">
        <v>2020</v>
      </c>
      <c r="L53" s="11" t="s">
        <v>985</v>
      </c>
      <c r="M53" s="11" t="s">
        <v>2020</v>
      </c>
      <c r="N53" s="11" t="s">
        <v>766</v>
      </c>
      <c r="O53" s="11" t="n">
        <v>1</v>
      </c>
      <c r="R53" s="11" t="s">
        <v>2637</v>
      </c>
    </row>
    <row r="54" customFormat="false" ht="15" hidden="false" customHeight="false" outlineLevel="0" collapsed="false">
      <c r="A54" s="2" t="s">
        <v>2752</v>
      </c>
      <c r="B54" s="11" t="s">
        <v>2753</v>
      </c>
      <c r="D54" s="11" t="s">
        <v>2690</v>
      </c>
      <c r="H54" s="11" t="s">
        <v>2687</v>
      </c>
      <c r="J54" s="11" t="s">
        <v>985</v>
      </c>
      <c r="K54" s="11" t="s">
        <v>2020</v>
      </c>
      <c r="L54" s="11" t="s">
        <v>985</v>
      </c>
      <c r="M54" s="11" t="s">
        <v>2020</v>
      </c>
      <c r="N54" s="11" t="s">
        <v>766</v>
      </c>
      <c r="O54" s="11" t="n">
        <v>1</v>
      </c>
      <c r="R54" s="11" t="s">
        <v>2637</v>
      </c>
    </row>
    <row r="55" customFormat="false" ht="15" hidden="false" customHeight="false" outlineLevel="0" collapsed="false">
      <c r="A55" s="2" t="s">
        <v>2754</v>
      </c>
      <c r="B55" s="11" t="s">
        <v>2755</v>
      </c>
      <c r="D55" s="11" t="s">
        <v>2662</v>
      </c>
      <c r="H55" s="11" t="s">
        <v>2636</v>
      </c>
      <c r="J55" s="11" t="s">
        <v>985</v>
      </c>
      <c r="K55" s="11" t="s">
        <v>2020</v>
      </c>
      <c r="L55" s="11" t="s">
        <v>985</v>
      </c>
      <c r="M55" s="11" t="s">
        <v>2020</v>
      </c>
      <c r="N55" s="11" t="s">
        <v>766</v>
      </c>
      <c r="O55" s="11" t="n">
        <v>1</v>
      </c>
      <c r="R55" s="11" t="s">
        <v>2637</v>
      </c>
    </row>
    <row r="56" customFormat="false" ht="15" hidden="false" customHeight="false" outlineLevel="0" collapsed="false">
      <c r="A56" s="2" t="s">
        <v>2756</v>
      </c>
      <c r="B56" s="11" t="s">
        <v>2757</v>
      </c>
      <c r="D56" s="11" t="s">
        <v>2645</v>
      </c>
      <c r="H56" s="11" t="s">
        <v>2636</v>
      </c>
      <c r="J56" s="11" t="s">
        <v>985</v>
      </c>
      <c r="K56" s="11" t="s">
        <v>2020</v>
      </c>
      <c r="L56" s="11" t="s">
        <v>985</v>
      </c>
      <c r="M56" s="11" t="s">
        <v>2020</v>
      </c>
      <c r="N56" s="11" t="s">
        <v>766</v>
      </c>
      <c r="O56" s="11" t="n">
        <v>1</v>
      </c>
      <c r="R56" s="11" t="s">
        <v>2640</v>
      </c>
    </row>
    <row r="57" customFormat="false" ht="15" hidden="false" customHeight="false" outlineLevel="0" collapsed="false">
      <c r="A57" s="2" t="s">
        <v>2758</v>
      </c>
      <c r="B57" s="11" t="s">
        <v>2759</v>
      </c>
      <c r="C57" s="11" t="s">
        <v>2760</v>
      </c>
      <c r="D57" s="11" t="s">
        <v>2665</v>
      </c>
      <c r="I57" s="11" t="s">
        <v>2761</v>
      </c>
      <c r="J57" s="11" t="s">
        <v>1144</v>
      </c>
      <c r="K57" s="11" t="s">
        <v>1145</v>
      </c>
      <c r="L57" s="11" t="s">
        <v>1144</v>
      </c>
      <c r="M57" s="11" t="s">
        <v>1145</v>
      </c>
      <c r="N57" s="11" t="s">
        <v>766</v>
      </c>
      <c r="O57" s="11" t="n">
        <v>1</v>
      </c>
      <c r="R57" s="11" t="s">
        <v>27</v>
      </c>
    </row>
  </sheetData>
  <autoFilter ref="A1:R57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D2:D1057" type="list">
      <formula1>organisatietype!$B$2:$B$2000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N2:N1057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525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2762</v>
      </c>
      <c r="B2" s="11" t="s">
        <v>2739</v>
      </c>
      <c r="C2" s="11" t="s">
        <v>2763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2764</v>
      </c>
      <c r="B3" s="11" t="s">
        <v>2662</v>
      </c>
      <c r="C3" s="11" t="s">
        <v>848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2765</v>
      </c>
      <c r="B4" s="11" t="s">
        <v>2648</v>
      </c>
      <c r="C4" s="11" t="s">
        <v>809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2766</v>
      </c>
      <c r="B5" s="11" t="s">
        <v>2635</v>
      </c>
      <c r="C5" s="11" t="s">
        <v>2767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2768</v>
      </c>
      <c r="B6" s="11" t="s">
        <v>2665</v>
      </c>
      <c r="C6" s="11" t="s">
        <v>2769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2770</v>
      </c>
      <c r="B7" s="11" t="s">
        <v>2676</v>
      </c>
      <c r="C7" s="11" t="s">
        <v>2771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2772</v>
      </c>
      <c r="B8" s="11" t="s">
        <v>2693</v>
      </c>
      <c r="C8" s="11" t="s">
        <v>2533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2773</v>
      </c>
      <c r="B9" s="11" t="s">
        <v>2651</v>
      </c>
      <c r="C9" s="11" t="s">
        <v>2774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2775</v>
      </c>
      <c r="B10" s="11" t="s">
        <v>2654</v>
      </c>
      <c r="C10" s="11" t="s">
        <v>2776</v>
      </c>
      <c r="E10" s="11" t="n">
        <v>9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</row>
    <row r="11" customFormat="false" ht="15" hidden="false" customHeight="false" outlineLevel="0" collapsed="false">
      <c r="A11" s="2" t="s">
        <v>2777</v>
      </c>
      <c r="B11" s="11" t="s">
        <v>2778</v>
      </c>
      <c r="C11" s="11" t="s">
        <v>2779</v>
      </c>
      <c r="E11" s="11" t="n">
        <v>10</v>
      </c>
      <c r="F11" s="11" t="s">
        <v>985</v>
      </c>
      <c r="G11" s="11" t="s">
        <v>986</v>
      </c>
      <c r="H11" s="11" t="s">
        <v>985</v>
      </c>
      <c r="I11" s="11" t="s">
        <v>986</v>
      </c>
      <c r="J11" s="11" t="s">
        <v>766</v>
      </c>
      <c r="K11" s="11" t="n">
        <v>1</v>
      </c>
    </row>
    <row r="12" customFormat="false" ht="15" hidden="false" customHeight="false" outlineLevel="0" collapsed="false">
      <c r="A12" s="2" t="s">
        <v>2780</v>
      </c>
      <c r="B12" s="11" t="s">
        <v>2781</v>
      </c>
      <c r="C12" s="11" t="s">
        <v>2782</v>
      </c>
      <c r="E12" s="11" t="n">
        <v>11</v>
      </c>
      <c r="F12" s="11" t="s">
        <v>985</v>
      </c>
      <c r="G12" s="11" t="s">
        <v>986</v>
      </c>
      <c r="H12" s="11" t="s">
        <v>985</v>
      </c>
      <c r="I12" s="11" t="s">
        <v>986</v>
      </c>
      <c r="J12" s="11" t="s">
        <v>766</v>
      </c>
      <c r="K12" s="11" t="n">
        <v>1</v>
      </c>
    </row>
    <row r="13" customFormat="false" ht="15" hidden="false" customHeight="false" outlineLevel="0" collapsed="false">
      <c r="A13" s="2" t="s">
        <v>2783</v>
      </c>
      <c r="B13" s="11" t="s">
        <v>2784</v>
      </c>
      <c r="C13" s="11" t="s">
        <v>2785</v>
      </c>
      <c r="E13" s="11" t="n">
        <v>12</v>
      </c>
      <c r="F13" s="11" t="s">
        <v>985</v>
      </c>
      <c r="G13" s="11" t="s">
        <v>986</v>
      </c>
      <c r="H13" s="11" t="s">
        <v>985</v>
      </c>
      <c r="I13" s="11" t="s">
        <v>986</v>
      </c>
      <c r="J13" s="11" t="s">
        <v>766</v>
      </c>
      <c r="K13" s="11" t="n">
        <v>1</v>
      </c>
    </row>
    <row r="14" customFormat="false" ht="15" hidden="false" customHeight="false" outlineLevel="0" collapsed="false">
      <c r="A14" s="2" t="s">
        <v>2786</v>
      </c>
      <c r="B14" s="11" t="s">
        <v>2659</v>
      </c>
      <c r="C14" s="11" t="s">
        <v>2787</v>
      </c>
      <c r="E14" s="11" t="n">
        <v>13</v>
      </c>
      <c r="F14" s="11" t="s">
        <v>985</v>
      </c>
      <c r="G14" s="11" t="s">
        <v>986</v>
      </c>
      <c r="H14" s="11" t="s">
        <v>985</v>
      </c>
      <c r="I14" s="11" t="s">
        <v>986</v>
      </c>
      <c r="J14" s="11" t="s">
        <v>766</v>
      </c>
      <c r="K14" s="11" t="n">
        <v>1</v>
      </c>
    </row>
    <row r="15" customFormat="false" ht="15" hidden="false" customHeight="false" outlineLevel="0" collapsed="false">
      <c r="A15" s="2" t="s">
        <v>2788</v>
      </c>
      <c r="B15" s="11" t="s">
        <v>2690</v>
      </c>
      <c r="C15" s="11" t="s">
        <v>757</v>
      </c>
      <c r="E15" s="11" t="n">
        <v>14</v>
      </c>
      <c r="F15" s="11" t="s">
        <v>985</v>
      </c>
      <c r="G15" s="11" t="s">
        <v>986</v>
      </c>
      <c r="H15" s="11" t="s">
        <v>985</v>
      </c>
      <c r="I15" s="11" t="s">
        <v>986</v>
      </c>
      <c r="J15" s="11" t="s">
        <v>766</v>
      </c>
      <c r="K15" s="11" t="n">
        <v>1</v>
      </c>
    </row>
    <row r="16" customFormat="false" ht="15" hidden="false" customHeight="false" outlineLevel="0" collapsed="false">
      <c r="A16" s="2" t="s">
        <v>2789</v>
      </c>
      <c r="B16" s="11" t="s">
        <v>2645</v>
      </c>
      <c r="C16" s="11" t="s">
        <v>1541</v>
      </c>
      <c r="E16" s="11" t="n">
        <v>15</v>
      </c>
      <c r="F16" s="11" t="s">
        <v>985</v>
      </c>
      <c r="G16" s="11" t="s">
        <v>986</v>
      </c>
      <c r="H16" s="11" t="s">
        <v>985</v>
      </c>
      <c r="I16" s="11" t="s">
        <v>986</v>
      </c>
      <c r="J16" s="11" t="s">
        <v>766</v>
      </c>
      <c r="K16" s="11" t="n">
        <v>1</v>
      </c>
    </row>
  </sheetData>
  <autoFilter ref="A1:N16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6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40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11" min="8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531</v>
      </c>
      <c r="B1" s="13" t="s">
        <v>469</v>
      </c>
      <c r="C1" s="13" t="s">
        <v>522</v>
      </c>
      <c r="D1" s="13" t="s">
        <v>533</v>
      </c>
      <c r="E1" s="14" t="s">
        <v>535</v>
      </c>
      <c r="F1" s="14" t="s">
        <v>536</v>
      </c>
      <c r="G1" s="14" t="s">
        <v>410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2790</v>
      </c>
      <c r="B2" s="11" t="s">
        <v>2008</v>
      </c>
      <c r="C2" s="11" t="s">
        <v>2634</v>
      </c>
      <c r="D2" s="11" t="s">
        <v>777</v>
      </c>
      <c r="H2" s="11" t="s">
        <v>985</v>
      </c>
      <c r="I2" s="11" t="s">
        <v>2020</v>
      </c>
      <c r="J2" s="11" t="s">
        <v>985</v>
      </c>
      <c r="K2" s="11" t="s">
        <v>2020</v>
      </c>
      <c r="L2" s="11" t="s">
        <v>766</v>
      </c>
      <c r="M2" s="11" t="n">
        <v>1</v>
      </c>
      <c r="P2" s="11" t="s">
        <v>2791</v>
      </c>
    </row>
    <row r="3" customFormat="false" ht="15" hidden="false" customHeight="false" outlineLevel="0" collapsed="false">
      <c r="A3" s="2" t="s">
        <v>2792</v>
      </c>
      <c r="B3" s="11" t="s">
        <v>2023</v>
      </c>
      <c r="C3" s="11" t="s">
        <v>2634</v>
      </c>
      <c r="D3" s="11" t="s">
        <v>777</v>
      </c>
      <c r="H3" s="11" t="s">
        <v>985</v>
      </c>
      <c r="I3" s="11" t="s">
        <v>2020</v>
      </c>
      <c r="J3" s="11" t="s">
        <v>985</v>
      </c>
      <c r="K3" s="11" t="s">
        <v>2020</v>
      </c>
      <c r="L3" s="11" t="s">
        <v>766</v>
      </c>
      <c r="M3" s="11" t="n">
        <v>1</v>
      </c>
      <c r="P3" s="11" t="s">
        <v>2791</v>
      </c>
    </row>
    <row r="4" customFormat="false" ht="15" hidden="false" customHeight="false" outlineLevel="0" collapsed="false">
      <c r="A4" s="2" t="s">
        <v>2793</v>
      </c>
      <c r="B4" s="11" t="s">
        <v>2030</v>
      </c>
      <c r="C4" s="11" t="s">
        <v>2634</v>
      </c>
      <c r="D4" s="11" t="s">
        <v>777</v>
      </c>
      <c r="H4" s="11" t="s">
        <v>985</v>
      </c>
      <c r="I4" s="11" t="s">
        <v>2020</v>
      </c>
      <c r="J4" s="11" t="s">
        <v>985</v>
      </c>
      <c r="K4" s="11" t="s">
        <v>2020</v>
      </c>
      <c r="L4" s="11" t="s">
        <v>766</v>
      </c>
      <c r="M4" s="11" t="n">
        <v>1</v>
      </c>
      <c r="P4" s="11" t="s">
        <v>2791</v>
      </c>
    </row>
    <row r="5" customFormat="false" ht="15" hidden="false" customHeight="false" outlineLevel="0" collapsed="false">
      <c r="A5" s="2" t="s">
        <v>2794</v>
      </c>
      <c r="B5" s="11" t="s">
        <v>2036</v>
      </c>
      <c r="C5" s="11" t="s">
        <v>2639</v>
      </c>
      <c r="D5" s="11" t="s">
        <v>777</v>
      </c>
      <c r="H5" s="11" t="s">
        <v>985</v>
      </c>
      <c r="I5" s="11" t="s">
        <v>2020</v>
      </c>
      <c r="J5" s="11" t="s">
        <v>985</v>
      </c>
      <c r="K5" s="11" t="s">
        <v>2020</v>
      </c>
      <c r="L5" s="11" t="s">
        <v>766</v>
      </c>
      <c r="M5" s="11" t="n">
        <v>1</v>
      </c>
      <c r="P5" s="11" t="s">
        <v>2791</v>
      </c>
    </row>
    <row r="6" customFormat="false" ht="15" hidden="false" customHeight="false" outlineLevel="0" collapsed="false">
      <c r="A6" s="2" t="s">
        <v>2795</v>
      </c>
      <c r="B6" s="11" t="s">
        <v>2045</v>
      </c>
      <c r="C6" s="11" t="s">
        <v>2642</v>
      </c>
      <c r="D6" s="11" t="s">
        <v>777</v>
      </c>
      <c r="H6" s="11" t="s">
        <v>985</v>
      </c>
      <c r="I6" s="11" t="s">
        <v>2020</v>
      </c>
      <c r="J6" s="11" t="s">
        <v>985</v>
      </c>
      <c r="K6" s="11" t="s">
        <v>2020</v>
      </c>
      <c r="L6" s="11" t="s">
        <v>766</v>
      </c>
      <c r="M6" s="11" t="n">
        <v>1</v>
      </c>
      <c r="P6" s="11" t="s">
        <v>2791</v>
      </c>
    </row>
    <row r="7" customFormat="false" ht="15" hidden="false" customHeight="false" outlineLevel="0" collapsed="false">
      <c r="A7" s="2" t="s">
        <v>2796</v>
      </c>
      <c r="B7" s="11" t="s">
        <v>2051</v>
      </c>
      <c r="C7" s="11" t="s">
        <v>2642</v>
      </c>
      <c r="D7" s="11" t="s">
        <v>777</v>
      </c>
      <c r="H7" s="11" t="s">
        <v>985</v>
      </c>
      <c r="I7" s="11" t="s">
        <v>2020</v>
      </c>
      <c r="J7" s="11" t="s">
        <v>985</v>
      </c>
      <c r="K7" s="11" t="s">
        <v>2020</v>
      </c>
      <c r="L7" s="11" t="s">
        <v>766</v>
      </c>
      <c r="M7" s="11" t="n">
        <v>1</v>
      </c>
      <c r="P7" s="11" t="s">
        <v>2791</v>
      </c>
    </row>
    <row r="8" customFormat="false" ht="15" hidden="false" customHeight="false" outlineLevel="0" collapsed="false">
      <c r="A8" s="2" t="s">
        <v>2797</v>
      </c>
      <c r="B8" s="11" t="s">
        <v>2060</v>
      </c>
      <c r="C8" s="11" t="s">
        <v>2644</v>
      </c>
      <c r="D8" s="11" t="s">
        <v>777</v>
      </c>
      <c r="H8" s="11" t="s">
        <v>985</v>
      </c>
      <c r="I8" s="11" t="s">
        <v>2020</v>
      </c>
      <c r="J8" s="11" t="s">
        <v>985</v>
      </c>
      <c r="K8" s="11" t="s">
        <v>2020</v>
      </c>
      <c r="L8" s="11" t="s">
        <v>766</v>
      </c>
      <c r="M8" s="11" t="n">
        <v>1</v>
      </c>
      <c r="P8" s="11" t="s">
        <v>2791</v>
      </c>
    </row>
    <row r="9" customFormat="false" ht="15" hidden="false" customHeight="false" outlineLevel="0" collapsed="false">
      <c r="A9" s="2" t="s">
        <v>2798</v>
      </c>
      <c r="B9" s="11" t="s">
        <v>2065</v>
      </c>
      <c r="C9" s="11" t="s">
        <v>2647</v>
      </c>
      <c r="D9" s="11" t="s">
        <v>777</v>
      </c>
      <c r="H9" s="11" t="s">
        <v>985</v>
      </c>
      <c r="I9" s="11" t="s">
        <v>2020</v>
      </c>
      <c r="J9" s="11" t="s">
        <v>985</v>
      </c>
      <c r="K9" s="11" t="s">
        <v>2020</v>
      </c>
      <c r="L9" s="11" t="s">
        <v>766</v>
      </c>
      <c r="M9" s="11" t="n">
        <v>1</v>
      </c>
      <c r="P9" s="11" t="s">
        <v>2791</v>
      </c>
    </row>
    <row r="10" customFormat="false" ht="15" hidden="false" customHeight="false" outlineLevel="0" collapsed="false">
      <c r="A10" s="2" t="s">
        <v>2799</v>
      </c>
      <c r="B10" s="11" t="s">
        <v>2075</v>
      </c>
      <c r="C10" s="11" t="s">
        <v>2650</v>
      </c>
      <c r="D10" s="11" t="s">
        <v>777</v>
      </c>
      <c r="H10" s="11" t="s">
        <v>985</v>
      </c>
      <c r="I10" s="11" t="s">
        <v>2020</v>
      </c>
      <c r="J10" s="11" t="s">
        <v>985</v>
      </c>
      <c r="K10" s="11" t="s">
        <v>2020</v>
      </c>
      <c r="L10" s="11" t="s">
        <v>766</v>
      </c>
      <c r="M10" s="11" t="n">
        <v>1</v>
      </c>
      <c r="P10" s="11" t="s">
        <v>2791</v>
      </c>
    </row>
    <row r="11" customFormat="false" ht="15" hidden="false" customHeight="false" outlineLevel="0" collapsed="false">
      <c r="A11" s="2" t="s">
        <v>2800</v>
      </c>
      <c r="B11" s="11" t="s">
        <v>2084</v>
      </c>
      <c r="C11" s="11" t="s">
        <v>2650</v>
      </c>
      <c r="D11" s="11" t="s">
        <v>777</v>
      </c>
      <c r="H11" s="11" t="s">
        <v>985</v>
      </c>
      <c r="I11" s="11" t="s">
        <v>2020</v>
      </c>
      <c r="J11" s="11" t="s">
        <v>985</v>
      </c>
      <c r="K11" s="11" t="s">
        <v>2020</v>
      </c>
      <c r="L11" s="11" t="s">
        <v>766</v>
      </c>
      <c r="M11" s="11" t="n">
        <v>1</v>
      </c>
      <c r="P11" s="11" t="s">
        <v>2791</v>
      </c>
    </row>
    <row r="12" customFormat="false" ht="15" hidden="false" customHeight="false" outlineLevel="0" collapsed="false">
      <c r="A12" s="2" t="s">
        <v>2801</v>
      </c>
      <c r="B12" s="11" t="s">
        <v>2089</v>
      </c>
      <c r="C12" s="11" t="s">
        <v>2650</v>
      </c>
      <c r="D12" s="11" t="s">
        <v>777</v>
      </c>
      <c r="H12" s="11" t="s">
        <v>985</v>
      </c>
      <c r="I12" s="11" t="s">
        <v>2020</v>
      </c>
      <c r="J12" s="11" t="s">
        <v>985</v>
      </c>
      <c r="K12" s="11" t="s">
        <v>2020</v>
      </c>
      <c r="L12" s="11" t="s">
        <v>766</v>
      </c>
      <c r="M12" s="11" t="n">
        <v>1</v>
      </c>
      <c r="P12" s="11" t="s">
        <v>2791</v>
      </c>
    </row>
    <row r="13" customFormat="false" ht="15" hidden="false" customHeight="false" outlineLevel="0" collapsed="false">
      <c r="A13" s="2" t="s">
        <v>2802</v>
      </c>
      <c r="B13" s="11" t="s">
        <v>2099</v>
      </c>
      <c r="C13" s="11" t="s">
        <v>2653</v>
      </c>
      <c r="D13" s="11" t="s">
        <v>777</v>
      </c>
      <c r="H13" s="11" t="s">
        <v>985</v>
      </c>
      <c r="I13" s="11" t="s">
        <v>2020</v>
      </c>
      <c r="J13" s="11" t="s">
        <v>985</v>
      </c>
      <c r="K13" s="11" t="s">
        <v>2020</v>
      </c>
      <c r="L13" s="11" t="s">
        <v>766</v>
      </c>
      <c r="M13" s="11" t="n">
        <v>1</v>
      </c>
      <c r="P13" s="11" t="s">
        <v>2791</v>
      </c>
    </row>
    <row r="14" customFormat="false" ht="15" hidden="false" customHeight="false" outlineLevel="0" collapsed="false">
      <c r="A14" s="2" t="s">
        <v>2803</v>
      </c>
      <c r="B14" s="11" t="s">
        <v>2107</v>
      </c>
      <c r="C14" s="11" t="s">
        <v>2656</v>
      </c>
      <c r="D14" s="11" t="s">
        <v>777</v>
      </c>
      <c r="H14" s="11" t="s">
        <v>985</v>
      </c>
      <c r="I14" s="11" t="s">
        <v>2020</v>
      </c>
      <c r="J14" s="11" t="s">
        <v>985</v>
      </c>
      <c r="K14" s="11" t="s">
        <v>2020</v>
      </c>
      <c r="L14" s="11" t="s">
        <v>766</v>
      </c>
      <c r="M14" s="11" t="n">
        <v>1</v>
      </c>
      <c r="P14" s="11" t="s">
        <v>2791</v>
      </c>
    </row>
    <row r="15" customFormat="false" ht="15" hidden="false" customHeight="false" outlineLevel="0" collapsed="false">
      <c r="A15" s="2" t="s">
        <v>2804</v>
      </c>
      <c r="B15" s="11" t="s">
        <v>2117</v>
      </c>
      <c r="C15" s="11" t="s">
        <v>2658</v>
      </c>
      <c r="D15" s="11" t="s">
        <v>777</v>
      </c>
      <c r="H15" s="11" t="s">
        <v>985</v>
      </c>
      <c r="I15" s="11" t="s">
        <v>2020</v>
      </c>
      <c r="J15" s="11" t="s">
        <v>985</v>
      </c>
      <c r="K15" s="11" t="s">
        <v>2020</v>
      </c>
      <c r="L15" s="11" t="s">
        <v>766</v>
      </c>
      <c r="M15" s="11" t="n">
        <v>1</v>
      </c>
      <c r="P15" s="11" t="s">
        <v>2791</v>
      </c>
    </row>
    <row r="16" customFormat="false" ht="15" hidden="false" customHeight="false" outlineLevel="0" collapsed="false">
      <c r="A16" s="2" t="s">
        <v>2805</v>
      </c>
      <c r="B16" s="11" t="s">
        <v>2122</v>
      </c>
      <c r="C16" s="11" t="s">
        <v>2658</v>
      </c>
      <c r="D16" s="11" t="s">
        <v>777</v>
      </c>
      <c r="H16" s="11" t="s">
        <v>985</v>
      </c>
      <c r="I16" s="11" t="s">
        <v>2020</v>
      </c>
      <c r="J16" s="11" t="s">
        <v>985</v>
      </c>
      <c r="K16" s="11" t="s">
        <v>2020</v>
      </c>
      <c r="L16" s="11" t="s">
        <v>766</v>
      </c>
      <c r="M16" s="11" t="n">
        <v>1</v>
      </c>
      <c r="P16" s="11" t="s">
        <v>2791</v>
      </c>
    </row>
    <row r="17" customFormat="false" ht="15" hidden="false" customHeight="false" outlineLevel="0" collapsed="false">
      <c r="A17" s="2" t="s">
        <v>2806</v>
      </c>
      <c r="B17" s="11" t="s">
        <v>2127</v>
      </c>
      <c r="C17" s="11" t="s">
        <v>2661</v>
      </c>
      <c r="D17" s="11" t="s">
        <v>777</v>
      </c>
      <c r="H17" s="11" t="s">
        <v>985</v>
      </c>
      <c r="I17" s="11" t="s">
        <v>2020</v>
      </c>
      <c r="J17" s="11" t="s">
        <v>985</v>
      </c>
      <c r="K17" s="11" t="s">
        <v>2020</v>
      </c>
      <c r="L17" s="11" t="s">
        <v>766</v>
      </c>
      <c r="M17" s="11" t="n">
        <v>1</v>
      </c>
      <c r="P17" s="11" t="s">
        <v>2791</v>
      </c>
    </row>
    <row r="18" customFormat="false" ht="15" hidden="false" customHeight="false" outlineLevel="0" collapsed="false">
      <c r="A18" s="2" t="s">
        <v>2807</v>
      </c>
      <c r="B18" s="11" t="s">
        <v>2133</v>
      </c>
      <c r="C18" s="11" t="s">
        <v>2664</v>
      </c>
      <c r="D18" s="11" t="s">
        <v>777</v>
      </c>
      <c r="H18" s="11" t="s">
        <v>985</v>
      </c>
      <c r="I18" s="11" t="s">
        <v>2020</v>
      </c>
      <c r="J18" s="11" t="s">
        <v>985</v>
      </c>
      <c r="K18" s="11" t="s">
        <v>2020</v>
      </c>
      <c r="L18" s="11" t="s">
        <v>766</v>
      </c>
      <c r="M18" s="11" t="n">
        <v>1</v>
      </c>
      <c r="P18" s="11" t="s">
        <v>2791</v>
      </c>
    </row>
    <row r="19" customFormat="false" ht="15" hidden="false" customHeight="false" outlineLevel="0" collapsed="false">
      <c r="A19" s="2" t="s">
        <v>2808</v>
      </c>
      <c r="B19" s="11" t="s">
        <v>2141</v>
      </c>
      <c r="C19" s="11" t="s">
        <v>2667</v>
      </c>
      <c r="D19" s="11" t="s">
        <v>777</v>
      </c>
      <c r="H19" s="11" t="s">
        <v>985</v>
      </c>
      <c r="I19" s="11" t="s">
        <v>2020</v>
      </c>
      <c r="J19" s="11" t="s">
        <v>985</v>
      </c>
      <c r="K19" s="11" t="s">
        <v>2020</v>
      </c>
      <c r="L19" s="11" t="s">
        <v>766</v>
      </c>
      <c r="M19" s="11" t="n">
        <v>1</v>
      </c>
      <c r="P19" s="11" t="s">
        <v>2791</v>
      </c>
    </row>
    <row r="20" customFormat="false" ht="15" hidden="false" customHeight="false" outlineLevel="0" collapsed="false">
      <c r="A20" s="2" t="s">
        <v>2809</v>
      </c>
      <c r="B20" s="11" t="s">
        <v>2147</v>
      </c>
      <c r="C20" s="11" t="s">
        <v>2667</v>
      </c>
      <c r="D20" s="11" t="s">
        <v>777</v>
      </c>
      <c r="H20" s="11" t="s">
        <v>985</v>
      </c>
      <c r="I20" s="11" t="s">
        <v>2020</v>
      </c>
      <c r="J20" s="11" t="s">
        <v>985</v>
      </c>
      <c r="K20" s="11" t="s">
        <v>2020</v>
      </c>
      <c r="L20" s="11" t="s">
        <v>766</v>
      </c>
      <c r="M20" s="11" t="n">
        <v>1</v>
      </c>
      <c r="P20" s="11" t="s">
        <v>2791</v>
      </c>
    </row>
    <row r="21" customFormat="false" ht="15" hidden="false" customHeight="false" outlineLevel="0" collapsed="false">
      <c r="A21" s="2" t="s">
        <v>2810</v>
      </c>
      <c r="B21" s="11" t="s">
        <v>2152</v>
      </c>
      <c r="C21" s="11" t="s">
        <v>2667</v>
      </c>
      <c r="D21" s="11" t="s">
        <v>777</v>
      </c>
      <c r="H21" s="11" t="s">
        <v>985</v>
      </c>
      <c r="I21" s="11" t="s">
        <v>2020</v>
      </c>
      <c r="J21" s="11" t="s">
        <v>985</v>
      </c>
      <c r="K21" s="11" t="s">
        <v>2020</v>
      </c>
      <c r="L21" s="11" t="s">
        <v>766</v>
      </c>
      <c r="M21" s="11" t="n">
        <v>1</v>
      </c>
      <c r="P21" s="11" t="s">
        <v>2791</v>
      </c>
    </row>
    <row r="22" customFormat="false" ht="15" hidden="false" customHeight="false" outlineLevel="0" collapsed="false">
      <c r="A22" s="2" t="s">
        <v>2811</v>
      </c>
      <c r="B22" s="11" t="s">
        <v>2158</v>
      </c>
      <c r="C22" s="11" t="s">
        <v>2669</v>
      </c>
      <c r="D22" s="11" t="s">
        <v>777</v>
      </c>
      <c r="H22" s="11" t="s">
        <v>985</v>
      </c>
      <c r="I22" s="11" t="s">
        <v>2020</v>
      </c>
      <c r="J22" s="11" t="s">
        <v>985</v>
      </c>
      <c r="K22" s="11" t="s">
        <v>2020</v>
      </c>
      <c r="L22" s="11" t="s">
        <v>766</v>
      </c>
      <c r="M22" s="11" t="n">
        <v>1</v>
      </c>
      <c r="P22" s="11" t="s">
        <v>2791</v>
      </c>
    </row>
    <row r="23" customFormat="false" ht="15" hidden="false" customHeight="false" outlineLevel="0" collapsed="false">
      <c r="A23" s="2" t="s">
        <v>2812</v>
      </c>
      <c r="B23" s="11" t="s">
        <v>2166</v>
      </c>
      <c r="C23" s="11" t="s">
        <v>2634</v>
      </c>
      <c r="D23" s="11" t="s">
        <v>777</v>
      </c>
      <c r="H23" s="11" t="s">
        <v>985</v>
      </c>
      <c r="I23" s="11" t="s">
        <v>2020</v>
      </c>
      <c r="J23" s="11" t="s">
        <v>985</v>
      </c>
      <c r="K23" s="11" t="s">
        <v>2020</v>
      </c>
      <c r="L23" s="11" t="s">
        <v>766</v>
      </c>
      <c r="M23" s="11" t="n">
        <v>1</v>
      </c>
      <c r="P23" s="11" t="s">
        <v>2791</v>
      </c>
    </row>
    <row r="24" customFormat="false" ht="15" hidden="false" customHeight="false" outlineLevel="0" collapsed="false">
      <c r="A24" s="2" t="s">
        <v>2813</v>
      </c>
      <c r="B24" s="11" t="s">
        <v>2171</v>
      </c>
      <c r="C24" s="11" t="s">
        <v>2671</v>
      </c>
      <c r="D24" s="11" t="s">
        <v>777</v>
      </c>
      <c r="H24" s="11" t="s">
        <v>985</v>
      </c>
      <c r="I24" s="11" t="s">
        <v>2020</v>
      </c>
      <c r="J24" s="11" t="s">
        <v>985</v>
      </c>
      <c r="K24" s="11" t="s">
        <v>2020</v>
      </c>
      <c r="L24" s="11" t="s">
        <v>766</v>
      </c>
      <c r="M24" s="11" t="n">
        <v>1</v>
      </c>
      <c r="P24" s="11" t="s">
        <v>2791</v>
      </c>
    </row>
    <row r="25" customFormat="false" ht="15" hidden="false" customHeight="false" outlineLevel="0" collapsed="false">
      <c r="A25" s="2" t="s">
        <v>2814</v>
      </c>
      <c r="B25" s="11" t="s">
        <v>1841</v>
      </c>
      <c r="C25" s="11" t="s">
        <v>2673</v>
      </c>
      <c r="D25" s="11" t="s">
        <v>777</v>
      </c>
      <c r="H25" s="11" t="s">
        <v>985</v>
      </c>
      <c r="I25" s="11" t="s">
        <v>2020</v>
      </c>
      <c r="J25" s="11" t="s">
        <v>985</v>
      </c>
      <c r="K25" s="11" t="s">
        <v>2020</v>
      </c>
      <c r="L25" s="11" t="s">
        <v>766</v>
      </c>
      <c r="M25" s="11" t="n">
        <v>1</v>
      </c>
      <c r="P25" s="11" t="s">
        <v>2791</v>
      </c>
    </row>
    <row r="26" customFormat="false" ht="15" hidden="false" customHeight="false" outlineLevel="0" collapsed="false">
      <c r="A26" s="2" t="s">
        <v>2815</v>
      </c>
      <c r="B26" s="11" t="s">
        <v>1832</v>
      </c>
      <c r="C26" s="11" t="s">
        <v>2675</v>
      </c>
      <c r="D26" s="11" t="s">
        <v>777</v>
      </c>
      <c r="H26" s="11" t="s">
        <v>985</v>
      </c>
      <c r="I26" s="11" t="s">
        <v>2020</v>
      </c>
      <c r="J26" s="11" t="s">
        <v>985</v>
      </c>
      <c r="K26" s="11" t="s">
        <v>2020</v>
      </c>
      <c r="L26" s="11" t="s">
        <v>766</v>
      </c>
      <c r="M26" s="11" t="n">
        <v>1</v>
      </c>
      <c r="P26" s="11" t="s">
        <v>2791</v>
      </c>
    </row>
    <row r="27" customFormat="false" ht="15" hidden="false" customHeight="false" outlineLevel="0" collapsed="false">
      <c r="A27" s="2" t="s">
        <v>2816</v>
      </c>
      <c r="B27" s="11" t="s">
        <v>2193</v>
      </c>
      <c r="C27" s="11" t="s">
        <v>2634</v>
      </c>
      <c r="D27" s="11" t="s">
        <v>777</v>
      </c>
      <c r="H27" s="11" t="s">
        <v>985</v>
      </c>
      <c r="I27" s="11" t="s">
        <v>2020</v>
      </c>
      <c r="J27" s="11" t="s">
        <v>985</v>
      </c>
      <c r="K27" s="11" t="s">
        <v>2020</v>
      </c>
      <c r="L27" s="11" t="s">
        <v>766</v>
      </c>
      <c r="M27" s="11" t="n">
        <v>1</v>
      </c>
      <c r="P27" s="11" t="s">
        <v>2791</v>
      </c>
    </row>
    <row r="28" customFormat="false" ht="15" hidden="false" customHeight="false" outlineLevel="0" collapsed="false">
      <c r="A28" s="2" t="s">
        <v>2817</v>
      </c>
      <c r="B28" s="11" t="s">
        <v>2201</v>
      </c>
      <c r="C28" s="11" t="s">
        <v>2634</v>
      </c>
      <c r="D28" s="11" t="s">
        <v>777</v>
      </c>
      <c r="H28" s="11" t="s">
        <v>985</v>
      </c>
      <c r="I28" s="11" t="s">
        <v>2020</v>
      </c>
      <c r="J28" s="11" t="s">
        <v>985</v>
      </c>
      <c r="K28" s="11" t="s">
        <v>2020</v>
      </c>
      <c r="L28" s="11" t="s">
        <v>766</v>
      </c>
      <c r="M28" s="11" t="n">
        <v>1</v>
      </c>
      <c r="P28" s="11" t="s">
        <v>2791</v>
      </c>
    </row>
    <row r="29" customFormat="false" ht="15" hidden="false" customHeight="false" outlineLevel="0" collapsed="false">
      <c r="A29" s="2" t="s">
        <v>2818</v>
      </c>
      <c r="B29" s="11" t="s">
        <v>2207</v>
      </c>
      <c r="C29" s="11" t="s">
        <v>2634</v>
      </c>
      <c r="D29" s="11" t="s">
        <v>777</v>
      </c>
      <c r="H29" s="11" t="s">
        <v>985</v>
      </c>
      <c r="I29" s="11" t="s">
        <v>2020</v>
      </c>
      <c r="J29" s="11" t="s">
        <v>985</v>
      </c>
      <c r="K29" s="11" t="s">
        <v>2020</v>
      </c>
      <c r="L29" s="11" t="s">
        <v>766</v>
      </c>
      <c r="M29" s="11" t="n">
        <v>1</v>
      </c>
      <c r="P29" s="11" t="s">
        <v>2791</v>
      </c>
    </row>
    <row r="30" customFormat="false" ht="15" hidden="false" customHeight="false" outlineLevel="0" collapsed="false">
      <c r="A30" s="2" t="s">
        <v>2819</v>
      </c>
      <c r="B30" s="11" t="s">
        <v>1882</v>
      </c>
      <c r="C30" s="11" t="s">
        <v>2669</v>
      </c>
      <c r="D30" s="11" t="s">
        <v>777</v>
      </c>
      <c r="H30" s="11" t="s">
        <v>985</v>
      </c>
      <c r="I30" s="11" t="s">
        <v>2020</v>
      </c>
      <c r="J30" s="11" t="s">
        <v>985</v>
      </c>
      <c r="K30" s="11" t="s">
        <v>2020</v>
      </c>
      <c r="L30" s="11" t="s">
        <v>766</v>
      </c>
      <c r="M30" s="11" t="n">
        <v>1</v>
      </c>
      <c r="P30" s="11" t="s">
        <v>2791</v>
      </c>
    </row>
    <row r="31" customFormat="false" ht="15" hidden="false" customHeight="false" outlineLevel="0" collapsed="false">
      <c r="A31" s="2" t="s">
        <v>2820</v>
      </c>
      <c r="B31" s="11" t="s">
        <v>2221</v>
      </c>
      <c r="C31" s="11" t="s">
        <v>2678</v>
      </c>
      <c r="D31" s="11" t="s">
        <v>777</v>
      </c>
      <c r="H31" s="11" t="s">
        <v>985</v>
      </c>
      <c r="I31" s="11" t="s">
        <v>2020</v>
      </c>
      <c r="J31" s="11" t="s">
        <v>985</v>
      </c>
      <c r="K31" s="11" t="s">
        <v>2020</v>
      </c>
      <c r="L31" s="11" t="s">
        <v>766</v>
      </c>
      <c r="M31" s="11" t="n">
        <v>1</v>
      </c>
      <c r="P31" s="11" t="s">
        <v>2791</v>
      </c>
    </row>
    <row r="32" customFormat="false" ht="15" hidden="false" customHeight="false" outlineLevel="0" collapsed="false">
      <c r="A32" s="2" t="s">
        <v>2821</v>
      </c>
      <c r="B32" s="11" t="s">
        <v>2230</v>
      </c>
      <c r="C32" s="11" t="s">
        <v>2680</v>
      </c>
      <c r="D32" s="11" t="s">
        <v>777</v>
      </c>
      <c r="H32" s="11" t="s">
        <v>985</v>
      </c>
      <c r="I32" s="11" t="s">
        <v>2020</v>
      </c>
      <c r="J32" s="11" t="s">
        <v>985</v>
      </c>
      <c r="K32" s="11" t="s">
        <v>2020</v>
      </c>
      <c r="L32" s="11" t="s">
        <v>766</v>
      </c>
      <c r="M32" s="11" t="n">
        <v>1</v>
      </c>
      <c r="P32" s="11" t="s">
        <v>2791</v>
      </c>
    </row>
    <row r="33" customFormat="false" ht="15" hidden="false" customHeight="false" outlineLevel="0" collapsed="false">
      <c r="A33" s="2" t="s">
        <v>2822</v>
      </c>
      <c r="B33" s="11" t="s">
        <v>2236</v>
      </c>
      <c r="C33" s="11" t="s">
        <v>2682</v>
      </c>
      <c r="D33" s="11" t="s">
        <v>777</v>
      </c>
      <c r="H33" s="11" t="s">
        <v>985</v>
      </c>
      <c r="I33" s="11" t="s">
        <v>2020</v>
      </c>
      <c r="J33" s="11" t="s">
        <v>985</v>
      </c>
      <c r="K33" s="11" t="s">
        <v>2020</v>
      </c>
      <c r="L33" s="11" t="s">
        <v>766</v>
      </c>
      <c r="M33" s="11" t="n">
        <v>1</v>
      </c>
      <c r="P33" s="11" t="s">
        <v>2791</v>
      </c>
    </row>
    <row r="34" customFormat="false" ht="15" hidden="false" customHeight="false" outlineLevel="0" collapsed="false">
      <c r="A34" s="2" t="s">
        <v>2823</v>
      </c>
      <c r="B34" s="11" t="s">
        <v>2242</v>
      </c>
      <c r="C34" s="11" t="s">
        <v>2684</v>
      </c>
      <c r="D34" s="11" t="s">
        <v>777</v>
      </c>
      <c r="H34" s="11" t="s">
        <v>985</v>
      </c>
      <c r="I34" s="11" t="s">
        <v>2020</v>
      </c>
      <c r="J34" s="11" t="s">
        <v>985</v>
      </c>
      <c r="K34" s="11" t="s">
        <v>2020</v>
      </c>
      <c r="L34" s="11" t="s">
        <v>766</v>
      </c>
      <c r="M34" s="11" t="n">
        <v>1</v>
      </c>
      <c r="P34" s="11" t="s">
        <v>2791</v>
      </c>
    </row>
    <row r="35" customFormat="false" ht="15" hidden="false" customHeight="false" outlineLevel="0" collapsed="false">
      <c r="A35" s="2" t="s">
        <v>2824</v>
      </c>
      <c r="B35" s="11" t="s">
        <v>2248</v>
      </c>
      <c r="C35" s="11" t="s">
        <v>2686</v>
      </c>
      <c r="D35" s="11" t="s">
        <v>777</v>
      </c>
      <c r="H35" s="11" t="s">
        <v>985</v>
      </c>
      <c r="I35" s="11" t="s">
        <v>2020</v>
      </c>
      <c r="J35" s="11" t="s">
        <v>985</v>
      </c>
      <c r="K35" s="11" t="s">
        <v>2020</v>
      </c>
      <c r="L35" s="11" t="s">
        <v>766</v>
      </c>
      <c r="M35" s="11" t="n">
        <v>1</v>
      </c>
      <c r="P35" s="11" t="s">
        <v>2791</v>
      </c>
    </row>
    <row r="36" customFormat="false" ht="15" hidden="false" customHeight="false" outlineLevel="0" collapsed="false">
      <c r="A36" s="2" t="s">
        <v>2825</v>
      </c>
      <c r="B36" s="11" t="s">
        <v>2254</v>
      </c>
      <c r="C36" s="11" t="s">
        <v>2689</v>
      </c>
      <c r="D36" s="11" t="s">
        <v>777</v>
      </c>
      <c r="H36" s="11" t="s">
        <v>985</v>
      </c>
      <c r="I36" s="11" t="s">
        <v>2020</v>
      </c>
      <c r="J36" s="11" t="s">
        <v>985</v>
      </c>
      <c r="K36" s="11" t="s">
        <v>2020</v>
      </c>
      <c r="L36" s="11" t="s">
        <v>766</v>
      </c>
      <c r="M36" s="11" t="n">
        <v>1</v>
      </c>
      <c r="P36" s="11" t="s">
        <v>2791</v>
      </c>
    </row>
    <row r="37" customFormat="false" ht="15" hidden="false" customHeight="false" outlineLevel="0" collapsed="false">
      <c r="A37" s="2" t="s">
        <v>2826</v>
      </c>
      <c r="B37" s="11" t="s">
        <v>2260</v>
      </c>
      <c r="C37" s="11" t="s">
        <v>2692</v>
      </c>
      <c r="D37" s="11" t="s">
        <v>777</v>
      </c>
      <c r="H37" s="11" t="s">
        <v>985</v>
      </c>
      <c r="I37" s="11" t="s">
        <v>2020</v>
      </c>
      <c r="J37" s="11" t="s">
        <v>985</v>
      </c>
      <c r="K37" s="11" t="s">
        <v>2020</v>
      </c>
      <c r="L37" s="11" t="s">
        <v>766</v>
      </c>
      <c r="M37" s="11" t="n">
        <v>1</v>
      </c>
      <c r="P37" s="11" t="s">
        <v>2791</v>
      </c>
    </row>
    <row r="38" customFormat="false" ht="15" hidden="false" customHeight="false" outlineLevel="0" collapsed="false">
      <c r="A38" s="2" t="s">
        <v>2827</v>
      </c>
      <c r="B38" s="11" t="s">
        <v>2265</v>
      </c>
      <c r="C38" s="11" t="s">
        <v>2634</v>
      </c>
      <c r="D38" s="11" t="s">
        <v>777</v>
      </c>
      <c r="H38" s="11" t="s">
        <v>985</v>
      </c>
      <c r="I38" s="11" t="s">
        <v>2020</v>
      </c>
      <c r="J38" s="11" t="s">
        <v>985</v>
      </c>
      <c r="K38" s="11" t="s">
        <v>2020</v>
      </c>
      <c r="L38" s="11" t="s">
        <v>766</v>
      </c>
      <c r="M38" s="11" t="n">
        <v>1</v>
      </c>
      <c r="P38" s="11" t="s">
        <v>2791</v>
      </c>
    </row>
    <row r="39" customFormat="false" ht="15" hidden="false" customHeight="false" outlineLevel="0" collapsed="false">
      <c r="A39" s="2" t="s">
        <v>2828</v>
      </c>
      <c r="B39" s="11" t="s">
        <v>2271</v>
      </c>
      <c r="C39" s="11" t="s">
        <v>2675</v>
      </c>
      <c r="D39" s="11" t="s">
        <v>777</v>
      </c>
      <c r="H39" s="11" t="s">
        <v>985</v>
      </c>
      <c r="I39" s="11" t="s">
        <v>2020</v>
      </c>
      <c r="J39" s="11" t="s">
        <v>985</v>
      </c>
      <c r="K39" s="11" t="s">
        <v>2020</v>
      </c>
      <c r="L39" s="11" t="s">
        <v>766</v>
      </c>
      <c r="M39" s="11" t="n">
        <v>1</v>
      </c>
      <c r="P39" s="11" t="s">
        <v>2791</v>
      </c>
    </row>
    <row r="40" customFormat="false" ht="15" hidden="false" customHeight="false" outlineLevel="0" collapsed="false">
      <c r="A40" s="2" t="s">
        <v>2829</v>
      </c>
      <c r="B40" s="11" t="s">
        <v>2277</v>
      </c>
      <c r="C40" s="11" t="s">
        <v>2634</v>
      </c>
      <c r="D40" s="11" t="s">
        <v>777</v>
      </c>
      <c r="H40" s="11" t="s">
        <v>985</v>
      </c>
      <c r="I40" s="11" t="s">
        <v>2020</v>
      </c>
      <c r="J40" s="11" t="s">
        <v>985</v>
      </c>
      <c r="K40" s="11" t="s">
        <v>2020</v>
      </c>
      <c r="L40" s="11" t="s">
        <v>766</v>
      </c>
      <c r="M40" s="11" t="n">
        <v>1</v>
      </c>
      <c r="P40" s="11" t="s">
        <v>2791</v>
      </c>
    </row>
    <row r="41" customFormat="false" ht="15" hidden="false" customHeight="false" outlineLevel="0" collapsed="false">
      <c r="A41" s="2" t="s">
        <v>2830</v>
      </c>
      <c r="B41" s="11" t="s">
        <v>1845</v>
      </c>
      <c r="C41" s="11" t="s">
        <v>2695</v>
      </c>
      <c r="D41" s="11" t="s">
        <v>777</v>
      </c>
      <c r="H41" s="11" t="s">
        <v>985</v>
      </c>
      <c r="I41" s="11" t="s">
        <v>2020</v>
      </c>
      <c r="J41" s="11" t="s">
        <v>985</v>
      </c>
      <c r="K41" s="11" t="s">
        <v>2020</v>
      </c>
      <c r="L41" s="11" t="s">
        <v>766</v>
      </c>
      <c r="M41" s="11" t="n">
        <v>1</v>
      </c>
      <c r="P41" s="11" t="s">
        <v>2791</v>
      </c>
    </row>
    <row r="42" customFormat="false" ht="15" hidden="false" customHeight="false" outlineLevel="0" collapsed="false">
      <c r="A42" s="2" t="s">
        <v>2831</v>
      </c>
      <c r="B42" s="11" t="s">
        <v>2287</v>
      </c>
      <c r="C42" s="11" t="s">
        <v>2697</v>
      </c>
      <c r="D42" s="11" t="s">
        <v>777</v>
      </c>
      <c r="H42" s="11" t="s">
        <v>985</v>
      </c>
      <c r="I42" s="11" t="s">
        <v>2020</v>
      </c>
      <c r="J42" s="11" t="s">
        <v>985</v>
      </c>
      <c r="K42" s="11" t="s">
        <v>2020</v>
      </c>
      <c r="L42" s="11" t="s">
        <v>766</v>
      </c>
      <c r="M42" s="11" t="n">
        <v>1</v>
      </c>
      <c r="P42" s="11" t="s">
        <v>2791</v>
      </c>
    </row>
    <row r="43" customFormat="false" ht="15" hidden="false" customHeight="false" outlineLevel="0" collapsed="false">
      <c r="A43" s="2" t="s">
        <v>2832</v>
      </c>
      <c r="B43" s="11" t="s">
        <v>2294</v>
      </c>
      <c r="C43" s="11" t="s">
        <v>2675</v>
      </c>
      <c r="D43" s="11" t="s">
        <v>777</v>
      </c>
      <c r="H43" s="11" t="s">
        <v>985</v>
      </c>
      <c r="I43" s="11" t="s">
        <v>2020</v>
      </c>
      <c r="J43" s="11" t="s">
        <v>985</v>
      </c>
      <c r="K43" s="11" t="s">
        <v>2020</v>
      </c>
      <c r="L43" s="11" t="s">
        <v>766</v>
      </c>
      <c r="M43" s="11" t="n">
        <v>1</v>
      </c>
      <c r="P43" s="11" t="s">
        <v>2791</v>
      </c>
    </row>
    <row r="44" customFormat="false" ht="15" hidden="false" customHeight="false" outlineLevel="0" collapsed="false">
      <c r="A44" s="2" t="s">
        <v>2833</v>
      </c>
      <c r="B44" s="11" t="s">
        <v>2299</v>
      </c>
      <c r="C44" s="11" t="s">
        <v>2699</v>
      </c>
      <c r="D44" s="11" t="s">
        <v>777</v>
      </c>
      <c r="H44" s="11" t="s">
        <v>985</v>
      </c>
      <c r="I44" s="11" t="s">
        <v>2020</v>
      </c>
      <c r="J44" s="11" t="s">
        <v>985</v>
      </c>
      <c r="K44" s="11" t="s">
        <v>2020</v>
      </c>
      <c r="L44" s="11" t="s">
        <v>766</v>
      </c>
      <c r="M44" s="11" t="n">
        <v>1</v>
      </c>
      <c r="P44" s="11" t="s">
        <v>2791</v>
      </c>
    </row>
    <row r="45" customFormat="false" ht="15" hidden="false" customHeight="false" outlineLevel="0" collapsed="false">
      <c r="A45" s="2" t="s">
        <v>2834</v>
      </c>
      <c r="B45" s="11" t="s">
        <v>2305</v>
      </c>
      <c r="C45" s="11" t="s">
        <v>2701</v>
      </c>
      <c r="D45" s="11" t="s">
        <v>777</v>
      </c>
      <c r="H45" s="11" t="s">
        <v>985</v>
      </c>
      <c r="I45" s="11" t="s">
        <v>2020</v>
      </c>
      <c r="J45" s="11" t="s">
        <v>985</v>
      </c>
      <c r="K45" s="11" t="s">
        <v>2020</v>
      </c>
      <c r="L45" s="11" t="s">
        <v>766</v>
      </c>
      <c r="M45" s="11" t="n">
        <v>1</v>
      </c>
      <c r="P45" s="11" t="s">
        <v>2791</v>
      </c>
    </row>
    <row r="46" customFormat="false" ht="15" hidden="false" customHeight="false" outlineLevel="0" collapsed="false">
      <c r="A46" s="2" t="s">
        <v>2835</v>
      </c>
      <c r="B46" s="11" t="s">
        <v>2311</v>
      </c>
      <c r="C46" s="11" t="s">
        <v>2703</v>
      </c>
      <c r="D46" s="11" t="s">
        <v>777</v>
      </c>
      <c r="H46" s="11" t="s">
        <v>985</v>
      </c>
      <c r="I46" s="11" t="s">
        <v>2020</v>
      </c>
      <c r="J46" s="11" t="s">
        <v>985</v>
      </c>
      <c r="K46" s="11" t="s">
        <v>2020</v>
      </c>
      <c r="L46" s="11" t="s">
        <v>766</v>
      </c>
      <c r="M46" s="11" t="n">
        <v>1</v>
      </c>
      <c r="P46" s="11" t="s">
        <v>2791</v>
      </c>
    </row>
    <row r="47" customFormat="false" ht="15" hidden="false" customHeight="false" outlineLevel="0" collapsed="false">
      <c r="A47" s="2" t="s">
        <v>2836</v>
      </c>
      <c r="B47" s="11" t="s">
        <v>2317</v>
      </c>
      <c r="C47" s="11" t="s">
        <v>2678</v>
      </c>
      <c r="D47" s="11" t="s">
        <v>777</v>
      </c>
      <c r="H47" s="11" t="s">
        <v>985</v>
      </c>
      <c r="I47" s="11" t="s">
        <v>2020</v>
      </c>
      <c r="J47" s="11" t="s">
        <v>985</v>
      </c>
      <c r="K47" s="11" t="s">
        <v>2020</v>
      </c>
      <c r="L47" s="11" t="s">
        <v>766</v>
      </c>
      <c r="M47" s="11" t="n">
        <v>1</v>
      </c>
      <c r="P47" s="11" t="s">
        <v>2791</v>
      </c>
    </row>
    <row r="48" customFormat="false" ht="15" hidden="false" customHeight="false" outlineLevel="0" collapsed="false">
      <c r="A48" s="2" t="s">
        <v>2837</v>
      </c>
      <c r="B48" s="11" t="s">
        <v>2322</v>
      </c>
      <c r="C48" s="11" t="s">
        <v>2705</v>
      </c>
      <c r="D48" s="11" t="s">
        <v>777</v>
      </c>
      <c r="H48" s="11" t="s">
        <v>985</v>
      </c>
      <c r="I48" s="11" t="s">
        <v>2020</v>
      </c>
      <c r="J48" s="11" t="s">
        <v>985</v>
      </c>
      <c r="K48" s="11" t="s">
        <v>2020</v>
      </c>
      <c r="L48" s="11" t="s">
        <v>766</v>
      </c>
      <c r="M48" s="11" t="n">
        <v>1</v>
      </c>
      <c r="P48" s="11" t="s">
        <v>2791</v>
      </c>
    </row>
    <row r="49" customFormat="false" ht="15" hidden="false" customHeight="false" outlineLevel="0" collapsed="false">
      <c r="A49" s="2" t="s">
        <v>2838</v>
      </c>
      <c r="B49" s="11" t="s">
        <v>2329</v>
      </c>
      <c r="C49" s="11" t="s">
        <v>2667</v>
      </c>
      <c r="D49" s="11" t="s">
        <v>777</v>
      </c>
      <c r="H49" s="11" t="s">
        <v>985</v>
      </c>
      <c r="I49" s="11" t="s">
        <v>2020</v>
      </c>
      <c r="J49" s="11" t="s">
        <v>985</v>
      </c>
      <c r="K49" s="11" t="s">
        <v>2020</v>
      </c>
      <c r="L49" s="11" t="s">
        <v>766</v>
      </c>
      <c r="M49" s="11" t="n">
        <v>1</v>
      </c>
      <c r="P49" s="11" t="s">
        <v>2791</v>
      </c>
    </row>
    <row r="50" customFormat="false" ht="15" hidden="false" customHeight="false" outlineLevel="0" collapsed="false">
      <c r="A50" s="2" t="s">
        <v>2839</v>
      </c>
      <c r="B50" s="11" t="s">
        <v>2335</v>
      </c>
      <c r="C50" s="11" t="s">
        <v>2707</v>
      </c>
      <c r="D50" s="11" t="s">
        <v>777</v>
      </c>
      <c r="H50" s="11" t="s">
        <v>985</v>
      </c>
      <c r="I50" s="11" t="s">
        <v>2020</v>
      </c>
      <c r="J50" s="11" t="s">
        <v>985</v>
      </c>
      <c r="K50" s="11" t="s">
        <v>2020</v>
      </c>
      <c r="L50" s="11" t="s">
        <v>766</v>
      </c>
      <c r="M50" s="11" t="n">
        <v>1</v>
      </c>
      <c r="P50" s="11" t="s">
        <v>2791</v>
      </c>
    </row>
    <row r="51" customFormat="false" ht="15" hidden="false" customHeight="false" outlineLevel="0" collapsed="false">
      <c r="A51" s="2" t="s">
        <v>2840</v>
      </c>
      <c r="B51" s="11" t="s">
        <v>2340</v>
      </c>
      <c r="C51" s="11" t="s">
        <v>2709</v>
      </c>
      <c r="D51" s="11" t="s">
        <v>777</v>
      </c>
      <c r="H51" s="11" t="s">
        <v>985</v>
      </c>
      <c r="I51" s="11" t="s">
        <v>2020</v>
      </c>
      <c r="J51" s="11" t="s">
        <v>985</v>
      </c>
      <c r="K51" s="11" t="s">
        <v>2020</v>
      </c>
      <c r="L51" s="11" t="s">
        <v>766</v>
      </c>
      <c r="M51" s="11" t="n">
        <v>1</v>
      </c>
      <c r="P51" s="11" t="s">
        <v>2791</v>
      </c>
    </row>
    <row r="52" customFormat="false" ht="15" hidden="false" customHeight="false" outlineLevel="0" collapsed="false">
      <c r="A52" s="2" t="s">
        <v>2841</v>
      </c>
      <c r="B52" s="11" t="s">
        <v>2345</v>
      </c>
      <c r="C52" s="11" t="s">
        <v>2711</v>
      </c>
      <c r="D52" s="11" t="s">
        <v>777</v>
      </c>
      <c r="H52" s="11" t="s">
        <v>985</v>
      </c>
      <c r="I52" s="11" t="s">
        <v>2020</v>
      </c>
      <c r="J52" s="11" t="s">
        <v>985</v>
      </c>
      <c r="K52" s="11" t="s">
        <v>2020</v>
      </c>
      <c r="L52" s="11" t="s">
        <v>766</v>
      </c>
      <c r="M52" s="11" t="n">
        <v>1</v>
      </c>
      <c r="P52" s="11" t="s">
        <v>2791</v>
      </c>
    </row>
    <row r="53" customFormat="false" ht="15" hidden="false" customHeight="false" outlineLevel="0" collapsed="false">
      <c r="A53" s="2" t="s">
        <v>2842</v>
      </c>
      <c r="B53" s="11" t="s">
        <v>2352</v>
      </c>
      <c r="C53" s="11" t="s">
        <v>2713</v>
      </c>
      <c r="D53" s="11" t="s">
        <v>777</v>
      </c>
      <c r="H53" s="11" t="s">
        <v>985</v>
      </c>
      <c r="I53" s="11" t="s">
        <v>2020</v>
      </c>
      <c r="J53" s="11" t="s">
        <v>985</v>
      </c>
      <c r="K53" s="11" t="s">
        <v>2020</v>
      </c>
      <c r="L53" s="11" t="s">
        <v>766</v>
      </c>
      <c r="M53" s="11" t="n">
        <v>1</v>
      </c>
      <c r="P53" s="11" t="s">
        <v>2791</v>
      </c>
    </row>
    <row r="54" customFormat="false" ht="15" hidden="false" customHeight="false" outlineLevel="0" collapsed="false">
      <c r="A54" s="2" t="s">
        <v>2843</v>
      </c>
      <c r="B54" s="11" t="s">
        <v>2359</v>
      </c>
      <c r="C54" s="11" t="s">
        <v>2715</v>
      </c>
      <c r="D54" s="11" t="s">
        <v>777</v>
      </c>
      <c r="H54" s="11" t="s">
        <v>985</v>
      </c>
      <c r="I54" s="11" t="s">
        <v>2020</v>
      </c>
      <c r="J54" s="11" t="s">
        <v>985</v>
      </c>
      <c r="K54" s="11" t="s">
        <v>2020</v>
      </c>
      <c r="L54" s="11" t="s">
        <v>766</v>
      </c>
      <c r="M54" s="11" t="n">
        <v>1</v>
      </c>
      <c r="P54" s="11" t="s">
        <v>2791</v>
      </c>
    </row>
    <row r="55" customFormat="false" ht="15" hidden="false" customHeight="false" outlineLevel="0" collapsed="false">
      <c r="A55" s="2" t="s">
        <v>2844</v>
      </c>
      <c r="B55" s="11" t="s">
        <v>2366</v>
      </c>
      <c r="C55" s="11" t="s">
        <v>2367</v>
      </c>
      <c r="D55" s="11" t="s">
        <v>777</v>
      </c>
      <c r="H55" s="11" t="s">
        <v>985</v>
      </c>
      <c r="I55" s="11" t="s">
        <v>2020</v>
      </c>
      <c r="J55" s="11" t="s">
        <v>985</v>
      </c>
      <c r="K55" s="11" t="s">
        <v>2020</v>
      </c>
      <c r="L55" s="11" t="s">
        <v>766</v>
      </c>
      <c r="M55" s="11" t="n">
        <v>1</v>
      </c>
      <c r="P55" s="11" t="s">
        <v>2791</v>
      </c>
    </row>
    <row r="56" customFormat="false" ht="15" hidden="false" customHeight="false" outlineLevel="0" collapsed="false">
      <c r="A56" s="2" t="s">
        <v>2845</v>
      </c>
      <c r="B56" s="11" t="s">
        <v>2373</v>
      </c>
      <c r="C56" s="11" t="s">
        <v>2718</v>
      </c>
      <c r="D56" s="11" t="s">
        <v>777</v>
      </c>
      <c r="H56" s="11" t="s">
        <v>985</v>
      </c>
      <c r="I56" s="11" t="s">
        <v>2020</v>
      </c>
      <c r="J56" s="11" t="s">
        <v>985</v>
      </c>
      <c r="K56" s="11" t="s">
        <v>2020</v>
      </c>
      <c r="L56" s="11" t="s">
        <v>766</v>
      </c>
      <c r="M56" s="11" t="n">
        <v>1</v>
      </c>
      <c r="P56" s="11" t="s">
        <v>2791</v>
      </c>
    </row>
    <row r="57" customFormat="false" ht="15" hidden="false" customHeight="false" outlineLevel="0" collapsed="false">
      <c r="A57" s="2" t="s">
        <v>2846</v>
      </c>
      <c r="B57" s="11" t="s">
        <v>2380</v>
      </c>
      <c r="C57" s="11" t="s">
        <v>2720</v>
      </c>
      <c r="D57" s="11" t="s">
        <v>777</v>
      </c>
      <c r="H57" s="11" t="s">
        <v>985</v>
      </c>
      <c r="I57" s="11" t="s">
        <v>2020</v>
      </c>
      <c r="J57" s="11" t="s">
        <v>985</v>
      </c>
      <c r="K57" s="11" t="s">
        <v>2020</v>
      </c>
      <c r="L57" s="11" t="s">
        <v>766</v>
      </c>
      <c r="M57" s="11" t="n">
        <v>1</v>
      </c>
      <c r="P57" s="11" t="s">
        <v>2791</v>
      </c>
    </row>
    <row r="58" customFormat="false" ht="15" hidden="false" customHeight="false" outlineLevel="0" collapsed="false">
      <c r="A58" s="2" t="s">
        <v>2847</v>
      </c>
      <c r="B58" s="11" t="s">
        <v>2387</v>
      </c>
      <c r="C58" s="11" t="s">
        <v>2722</v>
      </c>
      <c r="D58" s="11" t="s">
        <v>777</v>
      </c>
      <c r="H58" s="11" t="s">
        <v>985</v>
      </c>
      <c r="I58" s="11" t="s">
        <v>2020</v>
      </c>
      <c r="J58" s="11" t="s">
        <v>985</v>
      </c>
      <c r="K58" s="11" t="s">
        <v>2020</v>
      </c>
      <c r="L58" s="11" t="s">
        <v>766</v>
      </c>
      <c r="M58" s="11" t="n">
        <v>1</v>
      </c>
      <c r="P58" s="11" t="s">
        <v>2791</v>
      </c>
    </row>
    <row r="59" customFormat="false" ht="15" hidden="false" customHeight="false" outlineLevel="0" collapsed="false">
      <c r="A59" s="2" t="s">
        <v>2848</v>
      </c>
      <c r="B59" s="11" t="s">
        <v>2394</v>
      </c>
      <c r="C59" s="11" t="s">
        <v>2724</v>
      </c>
      <c r="D59" s="11" t="s">
        <v>777</v>
      </c>
      <c r="H59" s="11" t="s">
        <v>985</v>
      </c>
      <c r="I59" s="11" t="s">
        <v>2020</v>
      </c>
      <c r="J59" s="11" t="s">
        <v>985</v>
      </c>
      <c r="K59" s="11" t="s">
        <v>2020</v>
      </c>
      <c r="L59" s="11" t="s">
        <v>766</v>
      </c>
      <c r="M59" s="11" t="n">
        <v>1</v>
      </c>
      <c r="P59" s="11" t="s">
        <v>2791</v>
      </c>
    </row>
    <row r="60" customFormat="false" ht="15" hidden="false" customHeight="false" outlineLevel="0" collapsed="false">
      <c r="A60" s="2" t="s">
        <v>2849</v>
      </c>
      <c r="B60" s="11" t="s">
        <v>2401</v>
      </c>
      <c r="C60" s="11" t="s">
        <v>2726</v>
      </c>
      <c r="D60" s="11" t="s">
        <v>777</v>
      </c>
      <c r="H60" s="11" t="s">
        <v>985</v>
      </c>
      <c r="I60" s="11" t="s">
        <v>2020</v>
      </c>
      <c r="J60" s="11" t="s">
        <v>985</v>
      </c>
      <c r="K60" s="11" t="s">
        <v>2020</v>
      </c>
      <c r="L60" s="11" t="s">
        <v>766</v>
      </c>
      <c r="M60" s="11" t="n">
        <v>1</v>
      </c>
      <c r="P60" s="11" t="s">
        <v>2791</v>
      </c>
    </row>
    <row r="61" customFormat="false" ht="15" hidden="false" customHeight="false" outlineLevel="0" collapsed="false">
      <c r="A61" s="2" t="s">
        <v>2850</v>
      </c>
      <c r="B61" s="11" t="s">
        <v>2408</v>
      </c>
      <c r="C61" s="11" t="s">
        <v>2669</v>
      </c>
      <c r="D61" s="11" t="s">
        <v>777</v>
      </c>
      <c r="H61" s="11" t="s">
        <v>985</v>
      </c>
      <c r="I61" s="11" t="s">
        <v>2020</v>
      </c>
      <c r="J61" s="11" t="s">
        <v>985</v>
      </c>
      <c r="K61" s="11" t="s">
        <v>2020</v>
      </c>
      <c r="L61" s="11" t="s">
        <v>766</v>
      </c>
      <c r="M61" s="11" t="n">
        <v>1</v>
      </c>
      <c r="P61" s="11" t="s">
        <v>2791</v>
      </c>
    </row>
    <row r="62" customFormat="false" ht="15" hidden="false" customHeight="false" outlineLevel="0" collapsed="false">
      <c r="A62" s="2" t="s">
        <v>2851</v>
      </c>
      <c r="B62" s="11" t="s">
        <v>2415</v>
      </c>
      <c r="C62" s="11" t="s">
        <v>2728</v>
      </c>
      <c r="D62" s="11" t="s">
        <v>777</v>
      </c>
      <c r="H62" s="11" t="s">
        <v>985</v>
      </c>
      <c r="I62" s="11" t="s">
        <v>2020</v>
      </c>
      <c r="J62" s="11" t="s">
        <v>985</v>
      </c>
      <c r="K62" s="11" t="s">
        <v>2020</v>
      </c>
      <c r="L62" s="11" t="s">
        <v>766</v>
      </c>
      <c r="M62" s="11" t="n">
        <v>1</v>
      </c>
      <c r="P62" s="11" t="s">
        <v>2791</v>
      </c>
    </row>
    <row r="63" customFormat="false" ht="15" hidden="false" customHeight="false" outlineLevel="0" collapsed="false">
      <c r="A63" s="2" t="s">
        <v>2852</v>
      </c>
      <c r="B63" s="11" t="s">
        <v>2422</v>
      </c>
      <c r="C63" s="11" t="s">
        <v>2730</v>
      </c>
      <c r="D63" s="11" t="s">
        <v>777</v>
      </c>
      <c r="H63" s="11" t="s">
        <v>985</v>
      </c>
      <c r="I63" s="11" t="s">
        <v>2020</v>
      </c>
      <c r="J63" s="11" t="s">
        <v>985</v>
      </c>
      <c r="K63" s="11" t="s">
        <v>2020</v>
      </c>
      <c r="L63" s="11" t="s">
        <v>766</v>
      </c>
      <c r="M63" s="11" t="n">
        <v>1</v>
      </c>
      <c r="P63" s="11" t="s">
        <v>2791</v>
      </c>
    </row>
    <row r="64" customFormat="false" ht="15" hidden="false" customHeight="false" outlineLevel="0" collapsed="false">
      <c r="A64" s="2" t="s">
        <v>2853</v>
      </c>
      <c r="B64" s="11" t="s">
        <v>2429</v>
      </c>
      <c r="C64" s="11" t="s">
        <v>2732</v>
      </c>
      <c r="D64" s="11" t="s">
        <v>777</v>
      </c>
      <c r="H64" s="11" t="s">
        <v>985</v>
      </c>
      <c r="I64" s="11" t="s">
        <v>2020</v>
      </c>
      <c r="J64" s="11" t="s">
        <v>985</v>
      </c>
      <c r="K64" s="11" t="s">
        <v>2020</v>
      </c>
      <c r="L64" s="11" t="s">
        <v>766</v>
      </c>
      <c r="M64" s="11" t="n">
        <v>1</v>
      </c>
      <c r="P64" s="11" t="s">
        <v>2791</v>
      </c>
    </row>
    <row r="65" customFormat="false" ht="15" hidden="false" customHeight="false" outlineLevel="0" collapsed="false">
      <c r="A65" s="2" t="s">
        <v>2854</v>
      </c>
      <c r="B65" s="11" t="s">
        <v>2436</v>
      </c>
      <c r="C65" s="11" t="s">
        <v>2734</v>
      </c>
      <c r="D65" s="11" t="s">
        <v>777</v>
      </c>
      <c r="H65" s="11" t="s">
        <v>985</v>
      </c>
      <c r="I65" s="11" t="s">
        <v>2020</v>
      </c>
      <c r="J65" s="11" t="s">
        <v>985</v>
      </c>
      <c r="K65" s="11" t="s">
        <v>2020</v>
      </c>
      <c r="L65" s="11" t="s">
        <v>766</v>
      </c>
      <c r="M65" s="11" t="n">
        <v>1</v>
      </c>
      <c r="P65" s="11" t="s">
        <v>2791</v>
      </c>
    </row>
    <row r="66" customFormat="false" ht="15" hidden="false" customHeight="false" outlineLevel="0" collapsed="false">
      <c r="A66" s="2" t="s">
        <v>2855</v>
      </c>
      <c r="B66" s="11" t="s">
        <v>2443</v>
      </c>
      <c r="C66" s="11" t="s">
        <v>2736</v>
      </c>
      <c r="D66" s="11" t="s">
        <v>777</v>
      </c>
      <c r="H66" s="11" t="s">
        <v>985</v>
      </c>
      <c r="I66" s="11" t="s">
        <v>2020</v>
      </c>
      <c r="J66" s="11" t="s">
        <v>985</v>
      </c>
      <c r="K66" s="11" t="s">
        <v>2020</v>
      </c>
      <c r="L66" s="11" t="s">
        <v>766</v>
      </c>
      <c r="M66" s="11" t="n">
        <v>1</v>
      </c>
      <c r="P66" s="11" t="s">
        <v>2791</v>
      </c>
    </row>
    <row r="67" customFormat="false" ht="15" hidden="false" customHeight="false" outlineLevel="0" collapsed="false">
      <c r="A67" s="2" t="s">
        <v>2856</v>
      </c>
      <c r="B67" s="11" t="s">
        <v>2450</v>
      </c>
      <c r="C67" s="11" t="s">
        <v>2738</v>
      </c>
      <c r="D67" s="11" t="s">
        <v>777</v>
      </c>
      <c r="H67" s="11" t="s">
        <v>985</v>
      </c>
      <c r="I67" s="11" t="s">
        <v>2020</v>
      </c>
      <c r="J67" s="11" t="s">
        <v>985</v>
      </c>
      <c r="K67" s="11" t="s">
        <v>2020</v>
      </c>
      <c r="L67" s="11" t="s">
        <v>766</v>
      </c>
      <c r="M67" s="11" t="n">
        <v>1</v>
      </c>
      <c r="P67" s="11" t="s">
        <v>2791</v>
      </c>
    </row>
    <row r="68" customFormat="false" ht="15" hidden="false" customHeight="false" outlineLevel="0" collapsed="false">
      <c r="A68" s="2" t="s">
        <v>2857</v>
      </c>
      <c r="B68" s="11" t="s">
        <v>2456</v>
      </c>
      <c r="C68" s="11" t="s">
        <v>2741</v>
      </c>
      <c r="D68" s="11" t="s">
        <v>777</v>
      </c>
      <c r="H68" s="11" t="s">
        <v>985</v>
      </c>
      <c r="I68" s="11" t="s">
        <v>2020</v>
      </c>
      <c r="J68" s="11" t="s">
        <v>985</v>
      </c>
      <c r="K68" s="11" t="s">
        <v>2020</v>
      </c>
      <c r="L68" s="11" t="s">
        <v>766</v>
      </c>
      <c r="M68" s="11" t="n">
        <v>1</v>
      </c>
      <c r="P68" s="11" t="s">
        <v>2791</v>
      </c>
    </row>
    <row r="69" customFormat="false" ht="15" hidden="false" customHeight="false" outlineLevel="0" collapsed="false">
      <c r="A69" s="2" t="s">
        <v>2858</v>
      </c>
      <c r="B69" s="11" t="s">
        <v>2462</v>
      </c>
      <c r="C69" s="11" t="s">
        <v>2743</v>
      </c>
      <c r="D69" s="11" t="s">
        <v>777</v>
      </c>
      <c r="H69" s="11" t="s">
        <v>985</v>
      </c>
      <c r="I69" s="11" t="s">
        <v>2020</v>
      </c>
      <c r="J69" s="11" t="s">
        <v>985</v>
      </c>
      <c r="K69" s="11" t="s">
        <v>2020</v>
      </c>
      <c r="L69" s="11" t="s">
        <v>766</v>
      </c>
      <c r="M69" s="11" t="n">
        <v>1</v>
      </c>
      <c r="P69" s="11" t="s">
        <v>2791</v>
      </c>
    </row>
    <row r="70" customFormat="false" ht="15" hidden="false" customHeight="false" outlineLevel="0" collapsed="false">
      <c r="A70" s="2" t="s">
        <v>2859</v>
      </c>
      <c r="B70" s="11" t="s">
        <v>2467</v>
      </c>
      <c r="C70" s="11" t="s">
        <v>2745</v>
      </c>
      <c r="D70" s="11" t="s">
        <v>777</v>
      </c>
      <c r="H70" s="11" t="s">
        <v>985</v>
      </c>
      <c r="I70" s="11" t="s">
        <v>2020</v>
      </c>
      <c r="J70" s="11" t="s">
        <v>985</v>
      </c>
      <c r="K70" s="11" t="s">
        <v>2020</v>
      </c>
      <c r="L70" s="11" t="s">
        <v>766</v>
      </c>
      <c r="M70" s="11" t="n">
        <v>1</v>
      </c>
      <c r="P70" s="11" t="s">
        <v>2791</v>
      </c>
    </row>
    <row r="71" customFormat="false" ht="15" hidden="false" customHeight="false" outlineLevel="0" collapsed="false">
      <c r="A71" s="2" t="s">
        <v>2860</v>
      </c>
      <c r="B71" s="11" t="s">
        <v>2473</v>
      </c>
      <c r="C71" s="11" t="s">
        <v>2747</v>
      </c>
      <c r="D71" s="11" t="s">
        <v>777</v>
      </c>
      <c r="H71" s="11" t="s">
        <v>985</v>
      </c>
      <c r="I71" s="11" t="s">
        <v>2020</v>
      </c>
      <c r="J71" s="11" t="s">
        <v>985</v>
      </c>
      <c r="K71" s="11" t="s">
        <v>2020</v>
      </c>
      <c r="L71" s="11" t="s">
        <v>766</v>
      </c>
      <c r="M71" s="11" t="n">
        <v>1</v>
      </c>
      <c r="P71" s="11" t="s">
        <v>2791</v>
      </c>
    </row>
    <row r="72" customFormat="false" ht="15" hidden="false" customHeight="false" outlineLevel="0" collapsed="false">
      <c r="A72" s="2" t="s">
        <v>2861</v>
      </c>
      <c r="B72" s="11" t="s">
        <v>2479</v>
      </c>
      <c r="C72" s="11" t="s">
        <v>2749</v>
      </c>
      <c r="D72" s="11" t="s">
        <v>777</v>
      </c>
      <c r="H72" s="11" t="s">
        <v>985</v>
      </c>
      <c r="I72" s="11" t="s">
        <v>2020</v>
      </c>
      <c r="J72" s="11" t="s">
        <v>985</v>
      </c>
      <c r="K72" s="11" t="s">
        <v>2020</v>
      </c>
      <c r="L72" s="11" t="s">
        <v>766</v>
      </c>
      <c r="M72" s="11" t="n">
        <v>1</v>
      </c>
      <c r="P72" s="11" t="s">
        <v>2791</v>
      </c>
    </row>
    <row r="73" customFormat="false" ht="15" hidden="false" customHeight="false" outlineLevel="0" collapsed="false">
      <c r="A73" s="2" t="s">
        <v>2862</v>
      </c>
      <c r="B73" s="11" t="s">
        <v>2485</v>
      </c>
      <c r="C73" s="11" t="s">
        <v>2751</v>
      </c>
      <c r="D73" s="11" t="s">
        <v>777</v>
      </c>
      <c r="H73" s="11" t="s">
        <v>985</v>
      </c>
      <c r="I73" s="11" t="s">
        <v>2020</v>
      </c>
      <c r="J73" s="11" t="s">
        <v>985</v>
      </c>
      <c r="K73" s="11" t="s">
        <v>2020</v>
      </c>
      <c r="L73" s="11" t="s">
        <v>766</v>
      </c>
      <c r="M73" s="11" t="n">
        <v>1</v>
      </c>
      <c r="P73" s="11" t="s">
        <v>2791</v>
      </c>
    </row>
    <row r="74" customFormat="false" ht="15" hidden="false" customHeight="false" outlineLevel="0" collapsed="false">
      <c r="A74" s="2" t="s">
        <v>2863</v>
      </c>
      <c r="B74" s="11" t="s">
        <v>2491</v>
      </c>
      <c r="C74" s="11" t="s">
        <v>2753</v>
      </c>
      <c r="D74" s="11" t="s">
        <v>777</v>
      </c>
      <c r="H74" s="11" t="s">
        <v>985</v>
      </c>
      <c r="I74" s="11" t="s">
        <v>2020</v>
      </c>
      <c r="J74" s="11" t="s">
        <v>985</v>
      </c>
      <c r="K74" s="11" t="s">
        <v>2020</v>
      </c>
      <c r="L74" s="11" t="s">
        <v>766</v>
      </c>
      <c r="M74" s="11" t="n">
        <v>1</v>
      </c>
      <c r="P74" s="11" t="s">
        <v>2791</v>
      </c>
    </row>
    <row r="75" customFormat="false" ht="15" hidden="false" customHeight="false" outlineLevel="0" collapsed="false">
      <c r="A75" s="2" t="s">
        <v>2864</v>
      </c>
      <c r="B75" s="11" t="s">
        <v>2497</v>
      </c>
      <c r="C75" s="11" t="s">
        <v>2755</v>
      </c>
      <c r="D75" s="11" t="s">
        <v>777</v>
      </c>
      <c r="H75" s="11" t="s">
        <v>985</v>
      </c>
      <c r="I75" s="11" t="s">
        <v>2020</v>
      </c>
      <c r="J75" s="11" t="s">
        <v>985</v>
      </c>
      <c r="K75" s="11" t="s">
        <v>2020</v>
      </c>
      <c r="L75" s="11" t="s">
        <v>766</v>
      </c>
      <c r="M75" s="11" t="n">
        <v>1</v>
      </c>
      <c r="P75" s="11" t="s">
        <v>2791</v>
      </c>
    </row>
    <row r="76" customFormat="false" ht="15" hidden="false" customHeight="false" outlineLevel="0" collapsed="false">
      <c r="A76" s="2" t="s">
        <v>2865</v>
      </c>
      <c r="B76" s="11" t="s">
        <v>2503</v>
      </c>
      <c r="C76" s="11" t="s">
        <v>2669</v>
      </c>
      <c r="D76" s="11" t="s">
        <v>777</v>
      </c>
      <c r="H76" s="11" t="s">
        <v>985</v>
      </c>
      <c r="I76" s="11" t="s">
        <v>2020</v>
      </c>
      <c r="J76" s="11" t="s">
        <v>985</v>
      </c>
      <c r="K76" s="11" t="s">
        <v>2020</v>
      </c>
      <c r="L76" s="11" t="s">
        <v>766</v>
      </c>
      <c r="M76" s="11" t="n">
        <v>1</v>
      </c>
      <c r="P76" s="11" t="s">
        <v>2791</v>
      </c>
    </row>
    <row r="77" customFormat="false" ht="15" hidden="false" customHeight="false" outlineLevel="0" collapsed="false">
      <c r="A77" s="2" t="s">
        <v>2866</v>
      </c>
      <c r="B77" s="11" t="s">
        <v>2508</v>
      </c>
      <c r="C77" s="11" t="s">
        <v>2669</v>
      </c>
      <c r="D77" s="11" t="s">
        <v>777</v>
      </c>
      <c r="H77" s="11" t="s">
        <v>985</v>
      </c>
      <c r="I77" s="11" t="s">
        <v>2020</v>
      </c>
      <c r="J77" s="11" t="s">
        <v>985</v>
      </c>
      <c r="K77" s="11" t="s">
        <v>2020</v>
      </c>
      <c r="L77" s="11" t="s">
        <v>766</v>
      </c>
      <c r="M77" s="11" t="n">
        <v>1</v>
      </c>
      <c r="P77" s="11" t="s">
        <v>2791</v>
      </c>
    </row>
    <row r="78" customFormat="false" ht="15" hidden="false" customHeight="false" outlineLevel="0" collapsed="false">
      <c r="A78" s="2" t="s">
        <v>2867</v>
      </c>
      <c r="B78" s="11" t="s">
        <v>2514</v>
      </c>
      <c r="C78" s="11" t="s">
        <v>2757</v>
      </c>
      <c r="D78" s="11" t="s">
        <v>777</v>
      </c>
      <c r="H78" s="11" t="s">
        <v>985</v>
      </c>
      <c r="I78" s="11" t="s">
        <v>2020</v>
      </c>
      <c r="J78" s="11" t="s">
        <v>985</v>
      </c>
      <c r="K78" s="11" t="s">
        <v>2020</v>
      </c>
      <c r="L78" s="11" t="s">
        <v>766</v>
      </c>
      <c r="M78" s="11" t="n">
        <v>1</v>
      </c>
      <c r="P78" s="11" t="s">
        <v>2791</v>
      </c>
    </row>
  </sheetData>
  <autoFilter ref="A1:P78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78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78" type="list">
      <formula1>organisatie!$B$2:$B$2000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78" type="list">
      <formula1>Keuzelijsten!$L$5:$L$60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7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X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5" min="13" style="0" width="40"/>
    <col collapsed="false" customWidth="true" hidden="false" outlineLevel="0" max="19" min="16" style="0" width="14"/>
    <col collapsed="false" customWidth="true" hidden="false" outlineLevel="0" max="20" min="20" style="0" width="40"/>
    <col collapsed="false" customWidth="true" hidden="false" outlineLevel="0" max="21" min="21" style="0" width="17"/>
    <col collapsed="false" customWidth="true" hidden="false" outlineLevel="0" max="23" min="22" style="0" width="14"/>
    <col collapsed="false" customWidth="true" hidden="false" outlineLevel="0" max="24" min="24" style="0" width="40"/>
  </cols>
  <sheetData>
    <row r="1" customFormat="false" ht="15" hidden="false" customHeight="false" outlineLevel="0" collapsed="false">
      <c r="A1" s="13" t="s">
        <v>537</v>
      </c>
      <c r="B1" s="13" t="s">
        <v>445</v>
      </c>
      <c r="C1" s="13" t="s">
        <v>538</v>
      </c>
      <c r="D1" s="14" t="s">
        <v>522</v>
      </c>
      <c r="E1" s="14" t="s">
        <v>540</v>
      </c>
      <c r="F1" s="14" t="s">
        <v>541</v>
      </c>
      <c r="G1" s="14" t="s">
        <v>542</v>
      </c>
      <c r="H1" s="14" t="s">
        <v>543</v>
      </c>
      <c r="I1" s="13" t="s">
        <v>544</v>
      </c>
      <c r="J1" s="14" t="s">
        <v>545</v>
      </c>
      <c r="K1" s="13" t="s">
        <v>546</v>
      </c>
      <c r="L1" s="13" t="s">
        <v>547</v>
      </c>
      <c r="M1" s="13" t="s">
        <v>548</v>
      </c>
      <c r="N1" s="14" t="s">
        <v>549</v>
      </c>
      <c r="O1" s="14" t="s">
        <v>446</v>
      </c>
      <c r="P1" s="15" t="s">
        <v>292</v>
      </c>
      <c r="Q1" s="15" t="s">
        <v>295</v>
      </c>
      <c r="R1" s="15" t="s">
        <v>298</v>
      </c>
      <c r="S1" s="15" t="s">
        <v>300</v>
      </c>
      <c r="T1" s="15" t="s">
        <v>302</v>
      </c>
      <c r="U1" s="15" t="s">
        <v>305</v>
      </c>
      <c r="V1" s="15" t="s">
        <v>307</v>
      </c>
      <c r="W1" s="15" t="s">
        <v>310</v>
      </c>
      <c r="X1" s="15" t="s">
        <v>312</v>
      </c>
    </row>
    <row r="2" customFormat="false" ht="15" hidden="false" customHeight="false" outlineLevel="0" collapsed="false">
      <c r="A2" s="2" t="s">
        <v>2868</v>
      </c>
      <c r="B2" s="11" t="s">
        <v>2869</v>
      </c>
      <c r="C2" s="11" t="s">
        <v>2870</v>
      </c>
      <c r="I2" s="11" t="s">
        <v>2871</v>
      </c>
      <c r="J2" s="11" t="s">
        <v>2872</v>
      </c>
      <c r="K2" s="11" t="s">
        <v>258</v>
      </c>
      <c r="L2" s="11" t="s">
        <v>272</v>
      </c>
      <c r="M2" s="11" t="s">
        <v>2873</v>
      </c>
      <c r="P2" s="11" t="s">
        <v>985</v>
      </c>
      <c r="Q2" s="11" t="s">
        <v>2020</v>
      </c>
      <c r="R2" s="11" t="s">
        <v>985</v>
      </c>
      <c r="S2" s="11" t="s">
        <v>2020</v>
      </c>
      <c r="T2" s="11" t="s">
        <v>766</v>
      </c>
      <c r="U2" s="11" t="n">
        <v>1</v>
      </c>
      <c r="X2" s="11" t="s">
        <v>2874</v>
      </c>
    </row>
    <row r="3" customFormat="false" ht="15" hidden="false" customHeight="false" outlineLevel="0" collapsed="false">
      <c r="A3" s="2" t="s">
        <v>2875</v>
      </c>
      <c r="B3" s="11" t="s">
        <v>2876</v>
      </c>
      <c r="C3" s="11" t="s">
        <v>2870</v>
      </c>
      <c r="I3" s="11" t="s">
        <v>2871</v>
      </c>
      <c r="J3" s="11" t="s">
        <v>2872</v>
      </c>
      <c r="K3" s="11" t="s">
        <v>258</v>
      </c>
      <c r="L3" s="11" t="s">
        <v>272</v>
      </c>
      <c r="M3" s="11" t="s">
        <v>2873</v>
      </c>
      <c r="P3" s="11" t="s">
        <v>985</v>
      </c>
      <c r="Q3" s="11" t="s">
        <v>2020</v>
      </c>
      <c r="R3" s="11" t="s">
        <v>985</v>
      </c>
      <c r="S3" s="11" t="s">
        <v>2020</v>
      </c>
      <c r="T3" s="11" t="s">
        <v>766</v>
      </c>
      <c r="U3" s="11" t="n">
        <v>1</v>
      </c>
      <c r="X3" s="11" t="s">
        <v>2874</v>
      </c>
    </row>
    <row r="4" customFormat="false" ht="15" hidden="false" customHeight="false" outlineLevel="0" collapsed="false">
      <c r="A4" s="2" t="s">
        <v>2877</v>
      </c>
      <c r="B4" s="11" t="s">
        <v>2878</v>
      </c>
      <c r="C4" s="11" t="s">
        <v>2870</v>
      </c>
      <c r="I4" s="11" t="s">
        <v>2871</v>
      </c>
      <c r="J4" s="11" t="s">
        <v>2872</v>
      </c>
      <c r="K4" s="11" t="s">
        <v>258</v>
      </c>
      <c r="L4" s="11" t="s">
        <v>272</v>
      </c>
      <c r="M4" s="11" t="s">
        <v>2873</v>
      </c>
      <c r="P4" s="11" t="s">
        <v>985</v>
      </c>
      <c r="Q4" s="11" t="s">
        <v>2020</v>
      </c>
      <c r="R4" s="11" t="s">
        <v>985</v>
      </c>
      <c r="S4" s="11" t="s">
        <v>2020</v>
      </c>
      <c r="T4" s="11" t="s">
        <v>766</v>
      </c>
      <c r="U4" s="11" t="n">
        <v>1</v>
      </c>
      <c r="X4" s="11" t="s">
        <v>2874</v>
      </c>
    </row>
    <row r="5" customFormat="false" ht="15" hidden="false" customHeight="false" outlineLevel="0" collapsed="false">
      <c r="A5" s="2" t="s">
        <v>2879</v>
      </c>
      <c r="B5" s="11" t="s">
        <v>2880</v>
      </c>
      <c r="C5" s="11" t="s">
        <v>2870</v>
      </c>
      <c r="I5" s="11" t="s">
        <v>2871</v>
      </c>
      <c r="J5" s="11" t="s">
        <v>2872</v>
      </c>
      <c r="K5" s="11" t="s">
        <v>258</v>
      </c>
      <c r="L5" s="11" t="s">
        <v>272</v>
      </c>
      <c r="M5" s="11" t="s">
        <v>2873</v>
      </c>
      <c r="P5" s="11" t="s">
        <v>985</v>
      </c>
      <c r="Q5" s="11" t="s">
        <v>2020</v>
      </c>
      <c r="R5" s="11" t="s">
        <v>985</v>
      </c>
      <c r="S5" s="11" t="s">
        <v>2020</v>
      </c>
      <c r="T5" s="11" t="s">
        <v>766</v>
      </c>
      <c r="U5" s="11" t="n">
        <v>1</v>
      </c>
      <c r="X5" s="11" t="s">
        <v>2874</v>
      </c>
    </row>
    <row r="6" customFormat="false" ht="15" hidden="false" customHeight="false" outlineLevel="0" collapsed="false">
      <c r="A6" s="2" t="s">
        <v>2881</v>
      </c>
      <c r="B6" s="11" t="s">
        <v>2882</v>
      </c>
      <c r="C6" s="11" t="s">
        <v>2870</v>
      </c>
      <c r="I6" s="11" t="s">
        <v>2871</v>
      </c>
      <c r="J6" s="11" t="s">
        <v>2872</v>
      </c>
      <c r="K6" s="11" t="s">
        <v>258</v>
      </c>
      <c r="L6" s="11" t="s">
        <v>272</v>
      </c>
      <c r="M6" s="11" t="s">
        <v>2873</v>
      </c>
      <c r="P6" s="11" t="s">
        <v>985</v>
      </c>
      <c r="Q6" s="11" t="s">
        <v>2020</v>
      </c>
      <c r="R6" s="11" t="s">
        <v>985</v>
      </c>
      <c r="S6" s="11" t="s">
        <v>2020</v>
      </c>
      <c r="T6" s="11" t="s">
        <v>766</v>
      </c>
      <c r="U6" s="11" t="n">
        <v>1</v>
      </c>
      <c r="X6" s="11" t="s">
        <v>2874</v>
      </c>
    </row>
    <row r="7" customFormat="false" ht="15" hidden="false" customHeight="false" outlineLevel="0" collapsed="false">
      <c r="A7" s="2" t="s">
        <v>2883</v>
      </c>
      <c r="B7" s="11" t="s">
        <v>2884</v>
      </c>
      <c r="C7" s="11" t="s">
        <v>2870</v>
      </c>
      <c r="I7" s="11" t="s">
        <v>2871</v>
      </c>
      <c r="J7" s="11" t="s">
        <v>2872</v>
      </c>
      <c r="K7" s="11" t="s">
        <v>258</v>
      </c>
      <c r="L7" s="11" t="s">
        <v>272</v>
      </c>
      <c r="M7" s="11" t="s">
        <v>2873</v>
      </c>
      <c r="P7" s="11" t="s">
        <v>985</v>
      </c>
      <c r="Q7" s="11" t="s">
        <v>2020</v>
      </c>
      <c r="R7" s="11" t="s">
        <v>985</v>
      </c>
      <c r="S7" s="11" t="s">
        <v>2020</v>
      </c>
      <c r="T7" s="11" t="s">
        <v>766</v>
      </c>
      <c r="U7" s="11" t="n">
        <v>1</v>
      </c>
      <c r="X7" s="11" t="s">
        <v>2874</v>
      </c>
    </row>
    <row r="8" customFormat="false" ht="15" hidden="false" customHeight="false" outlineLevel="0" collapsed="false">
      <c r="A8" s="2" t="s">
        <v>2885</v>
      </c>
      <c r="B8" s="11" t="s">
        <v>2886</v>
      </c>
      <c r="C8" s="11" t="s">
        <v>2870</v>
      </c>
      <c r="I8" s="11" t="s">
        <v>2871</v>
      </c>
      <c r="J8" s="11" t="s">
        <v>2872</v>
      </c>
      <c r="K8" s="11" t="s">
        <v>258</v>
      </c>
      <c r="L8" s="11" t="s">
        <v>272</v>
      </c>
      <c r="M8" s="11" t="s">
        <v>2873</v>
      </c>
      <c r="P8" s="11" t="s">
        <v>985</v>
      </c>
      <c r="Q8" s="11" t="s">
        <v>2020</v>
      </c>
      <c r="R8" s="11" t="s">
        <v>985</v>
      </c>
      <c r="S8" s="11" t="s">
        <v>2020</v>
      </c>
      <c r="T8" s="11" t="s">
        <v>766</v>
      </c>
      <c r="U8" s="11" t="n">
        <v>1</v>
      </c>
      <c r="X8" s="11" t="s">
        <v>2874</v>
      </c>
    </row>
    <row r="9" customFormat="false" ht="15" hidden="false" customHeight="false" outlineLevel="0" collapsed="false">
      <c r="A9" s="2" t="s">
        <v>2887</v>
      </c>
      <c r="B9" s="11" t="s">
        <v>2888</v>
      </c>
      <c r="C9" s="11" t="s">
        <v>2870</v>
      </c>
      <c r="I9" s="11" t="s">
        <v>2871</v>
      </c>
      <c r="J9" s="11" t="s">
        <v>2872</v>
      </c>
      <c r="K9" s="11" t="s">
        <v>258</v>
      </c>
      <c r="L9" s="11" t="s">
        <v>272</v>
      </c>
      <c r="M9" s="11" t="s">
        <v>2873</v>
      </c>
      <c r="P9" s="11" t="s">
        <v>985</v>
      </c>
      <c r="Q9" s="11" t="s">
        <v>2020</v>
      </c>
      <c r="R9" s="11" t="s">
        <v>985</v>
      </c>
      <c r="S9" s="11" t="s">
        <v>2020</v>
      </c>
      <c r="T9" s="11" t="s">
        <v>766</v>
      </c>
      <c r="U9" s="11" t="n">
        <v>1</v>
      </c>
      <c r="X9" s="11" t="s">
        <v>2874</v>
      </c>
    </row>
    <row r="10" customFormat="false" ht="15" hidden="false" customHeight="false" outlineLevel="0" collapsed="false">
      <c r="A10" s="2" t="s">
        <v>2889</v>
      </c>
      <c r="B10" s="11" t="s">
        <v>2890</v>
      </c>
      <c r="C10" s="11" t="s">
        <v>2870</v>
      </c>
      <c r="I10" s="11" t="s">
        <v>2871</v>
      </c>
      <c r="J10" s="11" t="s">
        <v>2872</v>
      </c>
      <c r="K10" s="11" t="s">
        <v>258</v>
      </c>
      <c r="L10" s="11" t="s">
        <v>272</v>
      </c>
      <c r="M10" s="11" t="s">
        <v>2873</v>
      </c>
      <c r="P10" s="11" t="s">
        <v>985</v>
      </c>
      <c r="Q10" s="11" t="s">
        <v>2020</v>
      </c>
      <c r="R10" s="11" t="s">
        <v>985</v>
      </c>
      <c r="S10" s="11" t="s">
        <v>2020</v>
      </c>
      <c r="T10" s="11" t="s">
        <v>766</v>
      </c>
      <c r="U10" s="11" t="n">
        <v>1</v>
      </c>
      <c r="X10" s="11" t="s">
        <v>2874</v>
      </c>
    </row>
    <row r="11" customFormat="false" ht="15" hidden="false" customHeight="false" outlineLevel="0" collapsed="false">
      <c r="A11" s="2" t="s">
        <v>2891</v>
      </c>
      <c r="B11" s="11" t="s">
        <v>2892</v>
      </c>
      <c r="C11" s="11" t="s">
        <v>2870</v>
      </c>
      <c r="I11" s="11" t="s">
        <v>2871</v>
      </c>
      <c r="J11" s="11" t="s">
        <v>2872</v>
      </c>
      <c r="K11" s="11" t="s">
        <v>258</v>
      </c>
      <c r="L11" s="11" t="s">
        <v>272</v>
      </c>
      <c r="M11" s="11" t="s">
        <v>2873</v>
      </c>
      <c r="P11" s="11" t="s">
        <v>985</v>
      </c>
      <c r="Q11" s="11" t="s">
        <v>2020</v>
      </c>
      <c r="R11" s="11" t="s">
        <v>985</v>
      </c>
      <c r="S11" s="11" t="s">
        <v>2020</v>
      </c>
      <c r="T11" s="11" t="s">
        <v>766</v>
      </c>
      <c r="U11" s="11" t="n">
        <v>1</v>
      </c>
      <c r="X11" s="11" t="s">
        <v>2874</v>
      </c>
    </row>
    <row r="12" customFormat="false" ht="15" hidden="false" customHeight="false" outlineLevel="0" collapsed="false">
      <c r="A12" s="2" t="s">
        <v>2893</v>
      </c>
      <c r="B12" s="11" t="s">
        <v>2894</v>
      </c>
      <c r="C12" s="11" t="s">
        <v>2870</v>
      </c>
      <c r="I12" s="11" t="s">
        <v>2871</v>
      </c>
      <c r="J12" s="11" t="s">
        <v>2872</v>
      </c>
      <c r="K12" s="11" t="s">
        <v>258</v>
      </c>
      <c r="L12" s="11" t="s">
        <v>272</v>
      </c>
      <c r="M12" s="11" t="s">
        <v>2873</v>
      </c>
      <c r="P12" s="11" t="s">
        <v>985</v>
      </c>
      <c r="Q12" s="11" t="s">
        <v>2020</v>
      </c>
      <c r="R12" s="11" t="s">
        <v>985</v>
      </c>
      <c r="S12" s="11" t="s">
        <v>2020</v>
      </c>
      <c r="T12" s="11" t="s">
        <v>766</v>
      </c>
      <c r="U12" s="11" t="n">
        <v>1</v>
      </c>
      <c r="X12" s="11" t="s">
        <v>2874</v>
      </c>
    </row>
    <row r="13" customFormat="false" ht="15" hidden="false" customHeight="false" outlineLevel="0" collapsed="false">
      <c r="A13" s="2" t="s">
        <v>2895</v>
      </c>
      <c r="B13" s="11" t="s">
        <v>2896</v>
      </c>
      <c r="C13" s="11" t="s">
        <v>2897</v>
      </c>
      <c r="I13" s="11" t="s">
        <v>2871</v>
      </c>
      <c r="J13" s="11" t="s">
        <v>2872</v>
      </c>
      <c r="K13" s="11" t="s">
        <v>258</v>
      </c>
      <c r="L13" s="11" t="s">
        <v>272</v>
      </c>
      <c r="M13" s="11" t="s">
        <v>2873</v>
      </c>
      <c r="P13" s="11" t="s">
        <v>985</v>
      </c>
      <c r="Q13" s="11" t="s">
        <v>2020</v>
      </c>
      <c r="R13" s="11" t="s">
        <v>985</v>
      </c>
      <c r="S13" s="11" t="s">
        <v>2020</v>
      </c>
      <c r="T13" s="11" t="s">
        <v>766</v>
      </c>
      <c r="U13" s="11" t="n">
        <v>1</v>
      </c>
      <c r="X13" s="11" t="s">
        <v>2874</v>
      </c>
    </row>
    <row r="14" customFormat="false" ht="15" hidden="false" customHeight="false" outlineLevel="0" collapsed="false">
      <c r="A14" s="2" t="s">
        <v>2898</v>
      </c>
      <c r="B14" s="11" t="s">
        <v>2899</v>
      </c>
      <c r="C14" s="11" t="s">
        <v>2870</v>
      </c>
      <c r="I14" s="11" t="s">
        <v>2871</v>
      </c>
      <c r="J14" s="11" t="s">
        <v>2872</v>
      </c>
      <c r="K14" s="11" t="s">
        <v>258</v>
      </c>
      <c r="L14" s="11" t="s">
        <v>272</v>
      </c>
      <c r="M14" s="11" t="s">
        <v>2873</v>
      </c>
      <c r="P14" s="11" t="s">
        <v>985</v>
      </c>
      <c r="Q14" s="11" t="s">
        <v>2020</v>
      </c>
      <c r="R14" s="11" t="s">
        <v>985</v>
      </c>
      <c r="S14" s="11" t="s">
        <v>2020</v>
      </c>
      <c r="T14" s="11" t="s">
        <v>766</v>
      </c>
      <c r="U14" s="11" t="n">
        <v>1</v>
      </c>
      <c r="X14" s="11" t="s">
        <v>2874</v>
      </c>
    </row>
    <row r="15" customFormat="false" ht="15" hidden="false" customHeight="false" outlineLevel="0" collapsed="false">
      <c r="A15" s="2" t="s">
        <v>2900</v>
      </c>
      <c r="B15" s="11" t="s">
        <v>2901</v>
      </c>
      <c r="C15" s="11" t="s">
        <v>2870</v>
      </c>
      <c r="I15" s="11" t="s">
        <v>2871</v>
      </c>
      <c r="J15" s="11" t="s">
        <v>2872</v>
      </c>
      <c r="K15" s="11" t="s">
        <v>258</v>
      </c>
      <c r="L15" s="11" t="s">
        <v>272</v>
      </c>
      <c r="M15" s="11" t="s">
        <v>2873</v>
      </c>
      <c r="P15" s="11" t="s">
        <v>985</v>
      </c>
      <c r="Q15" s="11" t="s">
        <v>2020</v>
      </c>
      <c r="R15" s="11" t="s">
        <v>985</v>
      </c>
      <c r="S15" s="11" t="s">
        <v>2020</v>
      </c>
      <c r="T15" s="11" t="s">
        <v>766</v>
      </c>
      <c r="U15" s="11" t="n">
        <v>1</v>
      </c>
      <c r="X15" s="11" t="s">
        <v>2874</v>
      </c>
    </row>
    <row r="16" customFormat="false" ht="15" hidden="false" customHeight="false" outlineLevel="0" collapsed="false">
      <c r="A16" s="2" t="s">
        <v>2902</v>
      </c>
      <c r="B16" s="11" t="s">
        <v>2903</v>
      </c>
      <c r="C16" s="11" t="s">
        <v>2904</v>
      </c>
      <c r="I16" s="11" t="s">
        <v>2871</v>
      </c>
      <c r="J16" s="11" t="s">
        <v>2872</v>
      </c>
      <c r="K16" s="11" t="s">
        <v>258</v>
      </c>
      <c r="L16" s="11" t="s">
        <v>272</v>
      </c>
      <c r="M16" s="11" t="s">
        <v>2873</v>
      </c>
      <c r="P16" s="11" t="s">
        <v>985</v>
      </c>
      <c r="Q16" s="11" t="s">
        <v>2020</v>
      </c>
      <c r="R16" s="11" t="s">
        <v>985</v>
      </c>
      <c r="S16" s="11" t="s">
        <v>2020</v>
      </c>
      <c r="T16" s="11" t="s">
        <v>766</v>
      </c>
      <c r="U16" s="11" t="n">
        <v>1</v>
      </c>
      <c r="X16" s="11" t="s">
        <v>2874</v>
      </c>
    </row>
    <row r="17" customFormat="false" ht="15" hidden="false" customHeight="false" outlineLevel="0" collapsed="false">
      <c r="A17" s="2" t="s">
        <v>2905</v>
      </c>
      <c r="B17" s="11" t="s">
        <v>2906</v>
      </c>
      <c r="C17" s="11" t="s">
        <v>2897</v>
      </c>
      <c r="I17" s="11" t="s">
        <v>2871</v>
      </c>
      <c r="J17" s="11" t="s">
        <v>2872</v>
      </c>
      <c r="K17" s="11" t="s">
        <v>258</v>
      </c>
      <c r="L17" s="11" t="s">
        <v>272</v>
      </c>
      <c r="M17" s="11" t="s">
        <v>2873</v>
      </c>
      <c r="P17" s="11" t="s">
        <v>985</v>
      </c>
      <c r="Q17" s="11" t="s">
        <v>2020</v>
      </c>
      <c r="R17" s="11" t="s">
        <v>985</v>
      </c>
      <c r="S17" s="11" t="s">
        <v>2020</v>
      </c>
      <c r="T17" s="11" t="s">
        <v>766</v>
      </c>
      <c r="U17" s="11" t="n">
        <v>1</v>
      </c>
      <c r="X17" s="11" t="s">
        <v>2874</v>
      </c>
    </row>
    <row r="18" customFormat="false" ht="15" hidden="false" customHeight="false" outlineLevel="0" collapsed="false">
      <c r="A18" s="2" t="s">
        <v>2907</v>
      </c>
      <c r="B18" s="11" t="s">
        <v>2908</v>
      </c>
      <c r="C18" s="11" t="s">
        <v>2897</v>
      </c>
      <c r="I18" s="11" t="s">
        <v>2871</v>
      </c>
      <c r="J18" s="11" t="s">
        <v>2872</v>
      </c>
      <c r="K18" s="11" t="s">
        <v>258</v>
      </c>
      <c r="L18" s="11" t="s">
        <v>272</v>
      </c>
      <c r="M18" s="11" t="s">
        <v>2873</v>
      </c>
      <c r="P18" s="11" t="s">
        <v>985</v>
      </c>
      <c r="Q18" s="11" t="s">
        <v>2020</v>
      </c>
      <c r="R18" s="11" t="s">
        <v>985</v>
      </c>
      <c r="S18" s="11" t="s">
        <v>2020</v>
      </c>
      <c r="T18" s="11" t="s">
        <v>766</v>
      </c>
      <c r="U18" s="11" t="n">
        <v>1</v>
      </c>
      <c r="X18" s="11" t="s">
        <v>2874</v>
      </c>
    </row>
    <row r="19" customFormat="false" ht="15" hidden="false" customHeight="false" outlineLevel="0" collapsed="false">
      <c r="A19" s="2" t="s">
        <v>2909</v>
      </c>
      <c r="B19" s="11" t="s">
        <v>2910</v>
      </c>
      <c r="C19" s="11" t="s">
        <v>2904</v>
      </c>
      <c r="I19" s="11" t="s">
        <v>2871</v>
      </c>
      <c r="J19" s="11" t="s">
        <v>2872</v>
      </c>
      <c r="K19" s="11" t="s">
        <v>258</v>
      </c>
      <c r="L19" s="11" t="s">
        <v>272</v>
      </c>
      <c r="M19" s="11" t="s">
        <v>2873</v>
      </c>
      <c r="P19" s="11" t="s">
        <v>985</v>
      </c>
      <c r="Q19" s="11" t="s">
        <v>2020</v>
      </c>
      <c r="R19" s="11" t="s">
        <v>985</v>
      </c>
      <c r="S19" s="11" t="s">
        <v>2020</v>
      </c>
      <c r="T19" s="11" t="s">
        <v>766</v>
      </c>
      <c r="U19" s="11" t="n">
        <v>1</v>
      </c>
      <c r="X19" s="11" t="s">
        <v>2874</v>
      </c>
    </row>
    <row r="20" customFormat="false" ht="15" hidden="false" customHeight="false" outlineLevel="0" collapsed="false">
      <c r="A20" s="2" t="s">
        <v>2911</v>
      </c>
      <c r="B20" s="11" t="s">
        <v>2912</v>
      </c>
      <c r="C20" s="11" t="s">
        <v>2897</v>
      </c>
      <c r="I20" s="11" t="s">
        <v>2871</v>
      </c>
      <c r="J20" s="11" t="s">
        <v>2872</v>
      </c>
      <c r="K20" s="11" t="s">
        <v>258</v>
      </c>
      <c r="L20" s="11" t="s">
        <v>272</v>
      </c>
      <c r="M20" s="11" t="s">
        <v>2873</v>
      </c>
      <c r="P20" s="11" t="s">
        <v>985</v>
      </c>
      <c r="Q20" s="11" t="s">
        <v>2020</v>
      </c>
      <c r="R20" s="11" t="s">
        <v>985</v>
      </c>
      <c r="S20" s="11" t="s">
        <v>2020</v>
      </c>
      <c r="T20" s="11" t="s">
        <v>766</v>
      </c>
      <c r="U20" s="11" t="n">
        <v>1</v>
      </c>
      <c r="X20" s="11" t="s">
        <v>2874</v>
      </c>
    </row>
    <row r="21" customFormat="false" ht="15" hidden="false" customHeight="false" outlineLevel="0" collapsed="false">
      <c r="A21" s="2" t="s">
        <v>2913</v>
      </c>
      <c r="B21" s="11" t="s">
        <v>2914</v>
      </c>
      <c r="C21" s="11" t="s">
        <v>2915</v>
      </c>
      <c r="I21" s="11" t="s">
        <v>2871</v>
      </c>
      <c r="J21" s="11" t="s">
        <v>2872</v>
      </c>
      <c r="K21" s="11" t="s">
        <v>258</v>
      </c>
      <c r="L21" s="11" t="s">
        <v>272</v>
      </c>
      <c r="M21" s="11" t="s">
        <v>2873</v>
      </c>
      <c r="P21" s="11" t="s">
        <v>985</v>
      </c>
      <c r="Q21" s="11" t="s">
        <v>2020</v>
      </c>
      <c r="R21" s="11" t="s">
        <v>985</v>
      </c>
      <c r="S21" s="11" t="s">
        <v>2020</v>
      </c>
      <c r="T21" s="11" t="s">
        <v>766</v>
      </c>
      <c r="U21" s="11" t="n">
        <v>1</v>
      </c>
      <c r="X21" s="11" t="s">
        <v>2874</v>
      </c>
    </row>
    <row r="22" customFormat="false" ht="15" hidden="false" customHeight="false" outlineLevel="0" collapsed="false">
      <c r="A22" s="2" t="s">
        <v>2916</v>
      </c>
      <c r="B22" s="11" t="s">
        <v>2917</v>
      </c>
      <c r="C22" s="11" t="s">
        <v>2870</v>
      </c>
      <c r="I22" s="11" t="s">
        <v>2871</v>
      </c>
      <c r="J22" s="11" t="s">
        <v>2872</v>
      </c>
      <c r="K22" s="11" t="s">
        <v>258</v>
      </c>
      <c r="L22" s="11" t="s">
        <v>272</v>
      </c>
      <c r="M22" s="11" t="s">
        <v>2873</v>
      </c>
      <c r="P22" s="11" t="s">
        <v>985</v>
      </c>
      <c r="Q22" s="11" t="s">
        <v>2020</v>
      </c>
      <c r="R22" s="11" t="s">
        <v>985</v>
      </c>
      <c r="S22" s="11" t="s">
        <v>2020</v>
      </c>
      <c r="T22" s="11" t="s">
        <v>766</v>
      </c>
      <c r="U22" s="11" t="n">
        <v>1</v>
      </c>
      <c r="X22" s="11" t="s">
        <v>2874</v>
      </c>
    </row>
    <row r="23" customFormat="false" ht="15" hidden="false" customHeight="false" outlineLevel="0" collapsed="false">
      <c r="A23" s="2" t="s">
        <v>2918</v>
      </c>
      <c r="B23" s="11" t="s">
        <v>2919</v>
      </c>
      <c r="C23" s="11" t="s">
        <v>2870</v>
      </c>
      <c r="I23" s="11" t="s">
        <v>2871</v>
      </c>
      <c r="J23" s="11" t="s">
        <v>2872</v>
      </c>
      <c r="K23" s="11" t="s">
        <v>258</v>
      </c>
      <c r="L23" s="11" t="s">
        <v>272</v>
      </c>
      <c r="M23" s="11" t="s">
        <v>2873</v>
      </c>
      <c r="P23" s="11" t="s">
        <v>985</v>
      </c>
      <c r="Q23" s="11" t="s">
        <v>2020</v>
      </c>
      <c r="R23" s="11" t="s">
        <v>985</v>
      </c>
      <c r="S23" s="11" t="s">
        <v>2020</v>
      </c>
      <c r="T23" s="11" t="s">
        <v>766</v>
      </c>
      <c r="U23" s="11" t="n">
        <v>1</v>
      </c>
      <c r="X23" s="11" t="s">
        <v>2874</v>
      </c>
    </row>
    <row r="24" customFormat="false" ht="15" hidden="false" customHeight="false" outlineLevel="0" collapsed="false">
      <c r="A24" s="2" t="s">
        <v>2920</v>
      </c>
      <c r="B24" s="11" t="s">
        <v>2921</v>
      </c>
      <c r="C24" s="11" t="s">
        <v>2904</v>
      </c>
      <c r="I24" s="11" t="s">
        <v>2871</v>
      </c>
      <c r="J24" s="11" t="s">
        <v>2872</v>
      </c>
      <c r="K24" s="11" t="s">
        <v>258</v>
      </c>
      <c r="L24" s="11" t="s">
        <v>272</v>
      </c>
      <c r="M24" s="11" t="s">
        <v>2873</v>
      </c>
      <c r="P24" s="11" t="s">
        <v>985</v>
      </c>
      <c r="Q24" s="11" t="s">
        <v>2020</v>
      </c>
      <c r="R24" s="11" t="s">
        <v>985</v>
      </c>
      <c r="S24" s="11" t="s">
        <v>2020</v>
      </c>
      <c r="T24" s="11" t="s">
        <v>766</v>
      </c>
      <c r="U24" s="11" t="n">
        <v>1</v>
      </c>
      <c r="X24" s="11" t="s">
        <v>2874</v>
      </c>
    </row>
    <row r="25" customFormat="false" ht="15" hidden="false" customHeight="false" outlineLevel="0" collapsed="false">
      <c r="A25" s="2" t="s">
        <v>2922</v>
      </c>
      <c r="B25" s="11" t="s">
        <v>2923</v>
      </c>
      <c r="C25" s="11" t="s">
        <v>2870</v>
      </c>
      <c r="I25" s="11" t="s">
        <v>2871</v>
      </c>
      <c r="J25" s="11" t="s">
        <v>2872</v>
      </c>
      <c r="K25" s="11" t="s">
        <v>258</v>
      </c>
      <c r="L25" s="11" t="s">
        <v>272</v>
      </c>
      <c r="M25" s="11" t="s">
        <v>2873</v>
      </c>
      <c r="P25" s="11" t="s">
        <v>985</v>
      </c>
      <c r="Q25" s="11" t="s">
        <v>2020</v>
      </c>
      <c r="R25" s="11" t="s">
        <v>985</v>
      </c>
      <c r="S25" s="11" t="s">
        <v>2020</v>
      </c>
      <c r="T25" s="11" t="s">
        <v>766</v>
      </c>
      <c r="U25" s="11" t="n">
        <v>1</v>
      </c>
      <c r="X25" s="11" t="s">
        <v>2874</v>
      </c>
    </row>
    <row r="26" customFormat="false" ht="15" hidden="false" customHeight="false" outlineLevel="0" collapsed="false">
      <c r="A26" s="2" t="s">
        <v>2924</v>
      </c>
      <c r="B26" s="11" t="s">
        <v>2925</v>
      </c>
      <c r="C26" s="11" t="s">
        <v>2870</v>
      </c>
      <c r="I26" s="11" t="s">
        <v>2871</v>
      </c>
      <c r="J26" s="11" t="s">
        <v>2872</v>
      </c>
      <c r="K26" s="11" t="s">
        <v>258</v>
      </c>
      <c r="L26" s="11" t="s">
        <v>272</v>
      </c>
      <c r="M26" s="11" t="s">
        <v>2873</v>
      </c>
      <c r="P26" s="11" t="s">
        <v>985</v>
      </c>
      <c r="Q26" s="11" t="s">
        <v>2020</v>
      </c>
      <c r="R26" s="11" t="s">
        <v>985</v>
      </c>
      <c r="S26" s="11" t="s">
        <v>2020</v>
      </c>
      <c r="T26" s="11" t="s">
        <v>766</v>
      </c>
      <c r="U26" s="11" t="n">
        <v>1</v>
      </c>
      <c r="X26" s="11" t="s">
        <v>2874</v>
      </c>
    </row>
    <row r="27" customFormat="false" ht="15" hidden="false" customHeight="false" outlineLevel="0" collapsed="false">
      <c r="A27" s="2" t="s">
        <v>2926</v>
      </c>
      <c r="B27" s="11" t="s">
        <v>2927</v>
      </c>
      <c r="C27" s="11" t="s">
        <v>2870</v>
      </c>
      <c r="I27" s="11" t="s">
        <v>2871</v>
      </c>
      <c r="J27" s="11" t="s">
        <v>2872</v>
      </c>
      <c r="K27" s="11" t="s">
        <v>258</v>
      </c>
      <c r="L27" s="11" t="s">
        <v>272</v>
      </c>
      <c r="M27" s="11" t="s">
        <v>2873</v>
      </c>
      <c r="P27" s="11" t="s">
        <v>985</v>
      </c>
      <c r="Q27" s="11" t="s">
        <v>2020</v>
      </c>
      <c r="R27" s="11" t="s">
        <v>985</v>
      </c>
      <c r="S27" s="11" t="s">
        <v>2020</v>
      </c>
      <c r="T27" s="11" t="s">
        <v>766</v>
      </c>
      <c r="U27" s="11" t="n">
        <v>1</v>
      </c>
      <c r="X27" s="11" t="s">
        <v>2874</v>
      </c>
    </row>
    <row r="28" customFormat="false" ht="15" hidden="false" customHeight="false" outlineLevel="0" collapsed="false">
      <c r="A28" s="2" t="s">
        <v>2928</v>
      </c>
      <c r="B28" s="11" t="s">
        <v>2929</v>
      </c>
      <c r="C28" s="11" t="s">
        <v>2870</v>
      </c>
      <c r="I28" s="11" t="s">
        <v>2871</v>
      </c>
      <c r="J28" s="11" t="s">
        <v>2872</v>
      </c>
      <c r="K28" s="11" t="s">
        <v>258</v>
      </c>
      <c r="L28" s="11" t="s">
        <v>272</v>
      </c>
      <c r="M28" s="11" t="s">
        <v>2873</v>
      </c>
      <c r="P28" s="11" t="s">
        <v>985</v>
      </c>
      <c r="Q28" s="11" t="s">
        <v>2020</v>
      </c>
      <c r="R28" s="11" t="s">
        <v>985</v>
      </c>
      <c r="S28" s="11" t="s">
        <v>2020</v>
      </c>
      <c r="T28" s="11" t="s">
        <v>766</v>
      </c>
      <c r="U28" s="11" t="n">
        <v>1</v>
      </c>
      <c r="X28" s="11" t="s">
        <v>2874</v>
      </c>
    </row>
    <row r="29" customFormat="false" ht="15" hidden="false" customHeight="false" outlineLevel="0" collapsed="false">
      <c r="A29" s="2" t="s">
        <v>2930</v>
      </c>
      <c r="B29" s="11" t="s">
        <v>2931</v>
      </c>
      <c r="C29" s="11" t="s">
        <v>2904</v>
      </c>
      <c r="I29" s="11" t="s">
        <v>2871</v>
      </c>
      <c r="J29" s="11" t="s">
        <v>2872</v>
      </c>
      <c r="K29" s="11" t="s">
        <v>258</v>
      </c>
      <c r="L29" s="11" t="s">
        <v>272</v>
      </c>
      <c r="M29" s="11" t="s">
        <v>2873</v>
      </c>
      <c r="P29" s="11" t="s">
        <v>985</v>
      </c>
      <c r="Q29" s="11" t="s">
        <v>2020</v>
      </c>
      <c r="R29" s="11" t="s">
        <v>985</v>
      </c>
      <c r="S29" s="11" t="s">
        <v>2020</v>
      </c>
      <c r="T29" s="11" t="s">
        <v>766</v>
      </c>
      <c r="U29" s="11" t="n">
        <v>1</v>
      </c>
      <c r="X29" s="11" t="s">
        <v>2874</v>
      </c>
    </row>
    <row r="30" customFormat="false" ht="15" hidden="false" customHeight="false" outlineLevel="0" collapsed="false">
      <c r="A30" s="2" t="s">
        <v>2932</v>
      </c>
      <c r="B30" s="11" t="s">
        <v>2933</v>
      </c>
      <c r="C30" s="11" t="s">
        <v>2897</v>
      </c>
      <c r="I30" s="11" t="s">
        <v>2871</v>
      </c>
      <c r="J30" s="11" t="s">
        <v>2872</v>
      </c>
      <c r="K30" s="11" t="s">
        <v>258</v>
      </c>
      <c r="L30" s="11" t="s">
        <v>272</v>
      </c>
      <c r="M30" s="11" t="s">
        <v>2873</v>
      </c>
      <c r="P30" s="11" t="s">
        <v>985</v>
      </c>
      <c r="Q30" s="11" t="s">
        <v>2020</v>
      </c>
      <c r="R30" s="11" t="s">
        <v>985</v>
      </c>
      <c r="S30" s="11" t="s">
        <v>2020</v>
      </c>
      <c r="T30" s="11" t="s">
        <v>766</v>
      </c>
      <c r="U30" s="11" t="n">
        <v>1</v>
      </c>
      <c r="X30" s="11" t="s">
        <v>2874</v>
      </c>
    </row>
    <row r="31" customFormat="false" ht="15" hidden="false" customHeight="false" outlineLevel="0" collapsed="false">
      <c r="A31" s="2" t="s">
        <v>2934</v>
      </c>
      <c r="B31" s="11" t="s">
        <v>2935</v>
      </c>
      <c r="C31" s="11" t="s">
        <v>2870</v>
      </c>
      <c r="I31" s="11" t="s">
        <v>2871</v>
      </c>
      <c r="J31" s="11" t="s">
        <v>2872</v>
      </c>
      <c r="K31" s="11" t="s">
        <v>258</v>
      </c>
      <c r="L31" s="11" t="s">
        <v>272</v>
      </c>
      <c r="M31" s="11" t="s">
        <v>2873</v>
      </c>
      <c r="P31" s="11" t="s">
        <v>985</v>
      </c>
      <c r="Q31" s="11" t="s">
        <v>2020</v>
      </c>
      <c r="R31" s="11" t="s">
        <v>985</v>
      </c>
      <c r="S31" s="11" t="s">
        <v>2020</v>
      </c>
      <c r="T31" s="11" t="s">
        <v>766</v>
      </c>
      <c r="U31" s="11" t="n">
        <v>1</v>
      </c>
      <c r="X31" s="11" t="s">
        <v>2874</v>
      </c>
    </row>
    <row r="32" customFormat="false" ht="15" hidden="false" customHeight="false" outlineLevel="0" collapsed="false">
      <c r="A32" s="2" t="s">
        <v>2936</v>
      </c>
      <c r="B32" s="11" t="s">
        <v>2937</v>
      </c>
      <c r="C32" s="11" t="s">
        <v>2870</v>
      </c>
      <c r="I32" s="11" t="s">
        <v>2871</v>
      </c>
      <c r="J32" s="11" t="s">
        <v>2872</v>
      </c>
      <c r="K32" s="11" t="s">
        <v>258</v>
      </c>
      <c r="L32" s="11" t="s">
        <v>272</v>
      </c>
      <c r="M32" s="11" t="s">
        <v>2873</v>
      </c>
      <c r="P32" s="11" t="s">
        <v>985</v>
      </c>
      <c r="Q32" s="11" t="s">
        <v>2020</v>
      </c>
      <c r="R32" s="11" t="s">
        <v>985</v>
      </c>
      <c r="S32" s="11" t="s">
        <v>2020</v>
      </c>
      <c r="T32" s="11" t="s">
        <v>766</v>
      </c>
      <c r="U32" s="11" t="n">
        <v>1</v>
      </c>
      <c r="X32" s="11" t="s">
        <v>2874</v>
      </c>
    </row>
    <row r="33" customFormat="false" ht="15" hidden="false" customHeight="false" outlineLevel="0" collapsed="false">
      <c r="A33" s="2" t="s">
        <v>2938</v>
      </c>
      <c r="B33" s="11" t="s">
        <v>2939</v>
      </c>
      <c r="C33" s="11" t="s">
        <v>2870</v>
      </c>
      <c r="I33" s="11" t="s">
        <v>2871</v>
      </c>
      <c r="J33" s="11" t="s">
        <v>2872</v>
      </c>
      <c r="K33" s="11" t="s">
        <v>258</v>
      </c>
      <c r="L33" s="11" t="s">
        <v>272</v>
      </c>
      <c r="M33" s="11" t="s">
        <v>2873</v>
      </c>
      <c r="P33" s="11" t="s">
        <v>985</v>
      </c>
      <c r="Q33" s="11" t="s">
        <v>2020</v>
      </c>
      <c r="R33" s="11" t="s">
        <v>985</v>
      </c>
      <c r="S33" s="11" t="s">
        <v>2020</v>
      </c>
      <c r="T33" s="11" t="s">
        <v>766</v>
      </c>
      <c r="U33" s="11" t="n">
        <v>1</v>
      </c>
      <c r="X33" s="11" t="s">
        <v>2874</v>
      </c>
    </row>
    <row r="34" customFormat="false" ht="15" hidden="false" customHeight="false" outlineLevel="0" collapsed="false">
      <c r="A34" s="2" t="s">
        <v>2940</v>
      </c>
      <c r="B34" s="11" t="s">
        <v>2941</v>
      </c>
      <c r="C34" s="11" t="s">
        <v>2870</v>
      </c>
      <c r="I34" s="11" t="s">
        <v>2871</v>
      </c>
      <c r="J34" s="11" t="s">
        <v>2872</v>
      </c>
      <c r="K34" s="11" t="s">
        <v>258</v>
      </c>
      <c r="L34" s="11" t="s">
        <v>272</v>
      </c>
      <c r="M34" s="11" t="s">
        <v>2873</v>
      </c>
      <c r="P34" s="11" t="s">
        <v>985</v>
      </c>
      <c r="Q34" s="11" t="s">
        <v>2020</v>
      </c>
      <c r="R34" s="11" t="s">
        <v>985</v>
      </c>
      <c r="S34" s="11" t="s">
        <v>2020</v>
      </c>
      <c r="T34" s="11" t="s">
        <v>766</v>
      </c>
      <c r="U34" s="11" t="n">
        <v>1</v>
      </c>
      <c r="X34" s="11" t="s">
        <v>2874</v>
      </c>
    </row>
    <row r="35" customFormat="false" ht="15" hidden="false" customHeight="false" outlineLevel="0" collapsed="false">
      <c r="A35" s="2" t="s">
        <v>2942</v>
      </c>
      <c r="B35" s="11" t="s">
        <v>2943</v>
      </c>
      <c r="C35" s="11" t="s">
        <v>2870</v>
      </c>
      <c r="I35" s="11" t="s">
        <v>2871</v>
      </c>
      <c r="J35" s="11" t="s">
        <v>2872</v>
      </c>
      <c r="K35" s="11" t="s">
        <v>258</v>
      </c>
      <c r="L35" s="11" t="s">
        <v>272</v>
      </c>
      <c r="M35" s="11" t="s">
        <v>2873</v>
      </c>
      <c r="P35" s="11" t="s">
        <v>985</v>
      </c>
      <c r="Q35" s="11" t="s">
        <v>2020</v>
      </c>
      <c r="R35" s="11" t="s">
        <v>985</v>
      </c>
      <c r="S35" s="11" t="s">
        <v>2020</v>
      </c>
      <c r="T35" s="11" t="s">
        <v>766</v>
      </c>
      <c r="U35" s="11" t="n">
        <v>1</v>
      </c>
      <c r="X35" s="11" t="s">
        <v>2874</v>
      </c>
    </row>
    <row r="36" customFormat="false" ht="15" hidden="false" customHeight="false" outlineLevel="0" collapsed="false">
      <c r="A36" s="2" t="s">
        <v>2944</v>
      </c>
      <c r="B36" s="11" t="s">
        <v>2945</v>
      </c>
      <c r="C36" s="11" t="s">
        <v>2870</v>
      </c>
      <c r="I36" s="11" t="s">
        <v>2871</v>
      </c>
      <c r="J36" s="11" t="s">
        <v>2872</v>
      </c>
      <c r="K36" s="11" t="s">
        <v>258</v>
      </c>
      <c r="L36" s="11" t="s">
        <v>272</v>
      </c>
      <c r="M36" s="11" t="s">
        <v>2873</v>
      </c>
      <c r="P36" s="11" t="s">
        <v>985</v>
      </c>
      <c r="Q36" s="11" t="s">
        <v>2020</v>
      </c>
      <c r="R36" s="11" t="s">
        <v>985</v>
      </c>
      <c r="S36" s="11" t="s">
        <v>2020</v>
      </c>
      <c r="T36" s="11" t="s">
        <v>766</v>
      </c>
      <c r="U36" s="11" t="n">
        <v>1</v>
      </c>
      <c r="X36" s="11" t="s">
        <v>2874</v>
      </c>
    </row>
    <row r="37" customFormat="false" ht="15" hidden="false" customHeight="false" outlineLevel="0" collapsed="false">
      <c r="A37" s="2" t="s">
        <v>2946</v>
      </c>
      <c r="B37" s="11" t="s">
        <v>2947</v>
      </c>
      <c r="C37" s="11" t="s">
        <v>2870</v>
      </c>
      <c r="I37" s="11" t="s">
        <v>2871</v>
      </c>
      <c r="J37" s="11" t="s">
        <v>2872</v>
      </c>
      <c r="K37" s="11" t="s">
        <v>258</v>
      </c>
      <c r="L37" s="11" t="s">
        <v>272</v>
      </c>
      <c r="M37" s="11" t="s">
        <v>2873</v>
      </c>
      <c r="P37" s="11" t="s">
        <v>985</v>
      </c>
      <c r="Q37" s="11" t="s">
        <v>2020</v>
      </c>
      <c r="R37" s="11" t="s">
        <v>985</v>
      </c>
      <c r="S37" s="11" t="s">
        <v>2020</v>
      </c>
      <c r="T37" s="11" t="s">
        <v>766</v>
      </c>
      <c r="U37" s="11" t="n">
        <v>1</v>
      </c>
      <c r="X37" s="11" t="s">
        <v>2874</v>
      </c>
    </row>
    <row r="38" customFormat="false" ht="15" hidden="false" customHeight="false" outlineLevel="0" collapsed="false">
      <c r="A38" s="2" t="s">
        <v>2948</v>
      </c>
      <c r="B38" s="11" t="s">
        <v>2949</v>
      </c>
      <c r="C38" s="11" t="s">
        <v>2897</v>
      </c>
      <c r="I38" s="11" t="s">
        <v>2871</v>
      </c>
      <c r="J38" s="11" t="s">
        <v>2872</v>
      </c>
      <c r="K38" s="11" t="s">
        <v>258</v>
      </c>
      <c r="L38" s="11" t="s">
        <v>272</v>
      </c>
      <c r="M38" s="11" t="s">
        <v>2873</v>
      </c>
      <c r="P38" s="11" t="s">
        <v>985</v>
      </c>
      <c r="Q38" s="11" t="s">
        <v>2020</v>
      </c>
      <c r="R38" s="11" t="s">
        <v>985</v>
      </c>
      <c r="S38" s="11" t="s">
        <v>2020</v>
      </c>
      <c r="T38" s="11" t="s">
        <v>766</v>
      </c>
      <c r="U38" s="11" t="n">
        <v>1</v>
      </c>
      <c r="X38" s="11" t="s">
        <v>2874</v>
      </c>
    </row>
    <row r="39" customFormat="false" ht="15" hidden="false" customHeight="false" outlineLevel="0" collapsed="false">
      <c r="A39" s="2" t="s">
        <v>2950</v>
      </c>
      <c r="B39" s="11" t="s">
        <v>2951</v>
      </c>
      <c r="C39" s="11" t="s">
        <v>2870</v>
      </c>
      <c r="I39" s="11" t="s">
        <v>2871</v>
      </c>
      <c r="J39" s="11" t="s">
        <v>2872</v>
      </c>
      <c r="K39" s="11" t="s">
        <v>258</v>
      </c>
      <c r="L39" s="11" t="s">
        <v>272</v>
      </c>
      <c r="M39" s="11" t="s">
        <v>2873</v>
      </c>
      <c r="P39" s="11" t="s">
        <v>985</v>
      </c>
      <c r="Q39" s="11" t="s">
        <v>2020</v>
      </c>
      <c r="R39" s="11" t="s">
        <v>985</v>
      </c>
      <c r="S39" s="11" t="s">
        <v>2020</v>
      </c>
      <c r="T39" s="11" t="s">
        <v>766</v>
      </c>
      <c r="U39" s="11" t="n">
        <v>1</v>
      </c>
      <c r="X39" s="11" t="s">
        <v>2874</v>
      </c>
    </row>
    <row r="40" customFormat="false" ht="15" hidden="false" customHeight="false" outlineLevel="0" collapsed="false">
      <c r="A40" s="2" t="s">
        <v>2952</v>
      </c>
      <c r="B40" s="11" t="s">
        <v>2953</v>
      </c>
      <c r="C40" s="11" t="s">
        <v>2870</v>
      </c>
      <c r="I40" s="11" t="s">
        <v>2871</v>
      </c>
      <c r="J40" s="11" t="s">
        <v>2872</v>
      </c>
      <c r="K40" s="11" t="s">
        <v>258</v>
      </c>
      <c r="L40" s="11" t="s">
        <v>272</v>
      </c>
      <c r="M40" s="11" t="s">
        <v>2873</v>
      </c>
      <c r="P40" s="11" t="s">
        <v>985</v>
      </c>
      <c r="Q40" s="11" t="s">
        <v>2020</v>
      </c>
      <c r="R40" s="11" t="s">
        <v>985</v>
      </c>
      <c r="S40" s="11" t="s">
        <v>2020</v>
      </c>
      <c r="T40" s="11" t="s">
        <v>766</v>
      </c>
      <c r="U40" s="11" t="n">
        <v>1</v>
      </c>
      <c r="X40" s="11" t="s">
        <v>2874</v>
      </c>
    </row>
    <row r="41" customFormat="false" ht="15" hidden="false" customHeight="false" outlineLevel="0" collapsed="false">
      <c r="A41" s="2" t="s">
        <v>2954</v>
      </c>
      <c r="B41" s="11" t="s">
        <v>2955</v>
      </c>
      <c r="C41" s="11" t="s">
        <v>2870</v>
      </c>
      <c r="I41" s="11" t="s">
        <v>2871</v>
      </c>
      <c r="J41" s="11" t="s">
        <v>2872</v>
      </c>
      <c r="K41" s="11" t="s">
        <v>258</v>
      </c>
      <c r="L41" s="11" t="s">
        <v>272</v>
      </c>
      <c r="M41" s="11" t="s">
        <v>2873</v>
      </c>
      <c r="P41" s="11" t="s">
        <v>985</v>
      </c>
      <c r="Q41" s="11" t="s">
        <v>2020</v>
      </c>
      <c r="R41" s="11" t="s">
        <v>985</v>
      </c>
      <c r="S41" s="11" t="s">
        <v>2020</v>
      </c>
      <c r="T41" s="11" t="s">
        <v>766</v>
      </c>
      <c r="U41" s="11" t="n">
        <v>1</v>
      </c>
      <c r="X41" s="11" t="s">
        <v>2874</v>
      </c>
    </row>
    <row r="42" customFormat="false" ht="15" hidden="false" customHeight="false" outlineLevel="0" collapsed="false">
      <c r="A42" s="2" t="s">
        <v>2956</v>
      </c>
      <c r="B42" s="11" t="s">
        <v>2957</v>
      </c>
      <c r="C42" s="11" t="s">
        <v>2870</v>
      </c>
      <c r="I42" s="11" t="s">
        <v>2871</v>
      </c>
      <c r="J42" s="11" t="s">
        <v>2872</v>
      </c>
      <c r="K42" s="11" t="s">
        <v>258</v>
      </c>
      <c r="L42" s="11" t="s">
        <v>272</v>
      </c>
      <c r="M42" s="11" t="s">
        <v>2873</v>
      </c>
      <c r="P42" s="11" t="s">
        <v>985</v>
      </c>
      <c r="Q42" s="11" t="s">
        <v>2020</v>
      </c>
      <c r="R42" s="11" t="s">
        <v>985</v>
      </c>
      <c r="S42" s="11" t="s">
        <v>2020</v>
      </c>
      <c r="T42" s="11" t="s">
        <v>766</v>
      </c>
      <c r="U42" s="11" t="n">
        <v>1</v>
      </c>
      <c r="X42" s="11" t="s">
        <v>2874</v>
      </c>
    </row>
    <row r="43" customFormat="false" ht="15" hidden="false" customHeight="false" outlineLevel="0" collapsed="false">
      <c r="A43" s="2" t="s">
        <v>2958</v>
      </c>
      <c r="B43" s="11" t="s">
        <v>2959</v>
      </c>
      <c r="C43" s="11" t="s">
        <v>2870</v>
      </c>
      <c r="I43" s="11" t="s">
        <v>2871</v>
      </c>
      <c r="J43" s="11" t="s">
        <v>2872</v>
      </c>
      <c r="K43" s="11" t="s">
        <v>258</v>
      </c>
      <c r="L43" s="11" t="s">
        <v>272</v>
      </c>
      <c r="M43" s="11" t="s">
        <v>2873</v>
      </c>
      <c r="P43" s="11" t="s">
        <v>985</v>
      </c>
      <c r="Q43" s="11" t="s">
        <v>2020</v>
      </c>
      <c r="R43" s="11" t="s">
        <v>985</v>
      </c>
      <c r="S43" s="11" t="s">
        <v>2020</v>
      </c>
      <c r="T43" s="11" t="s">
        <v>766</v>
      </c>
      <c r="U43" s="11" t="n">
        <v>1</v>
      </c>
      <c r="X43" s="11" t="s">
        <v>2874</v>
      </c>
    </row>
    <row r="44" customFormat="false" ht="15" hidden="false" customHeight="false" outlineLevel="0" collapsed="false">
      <c r="A44" s="2" t="s">
        <v>2960</v>
      </c>
      <c r="B44" s="11" t="s">
        <v>2961</v>
      </c>
      <c r="C44" s="11" t="s">
        <v>2870</v>
      </c>
      <c r="I44" s="11" t="s">
        <v>2871</v>
      </c>
      <c r="J44" s="11" t="s">
        <v>2872</v>
      </c>
      <c r="K44" s="11" t="s">
        <v>258</v>
      </c>
      <c r="L44" s="11" t="s">
        <v>272</v>
      </c>
      <c r="M44" s="11" t="s">
        <v>2873</v>
      </c>
      <c r="P44" s="11" t="s">
        <v>985</v>
      </c>
      <c r="Q44" s="11" t="s">
        <v>2020</v>
      </c>
      <c r="R44" s="11" t="s">
        <v>985</v>
      </c>
      <c r="S44" s="11" t="s">
        <v>2020</v>
      </c>
      <c r="T44" s="11" t="s">
        <v>766</v>
      </c>
      <c r="U44" s="11" t="n">
        <v>1</v>
      </c>
      <c r="X44" s="11" t="s">
        <v>2874</v>
      </c>
    </row>
    <row r="45" customFormat="false" ht="15" hidden="false" customHeight="false" outlineLevel="0" collapsed="false">
      <c r="A45" s="2" t="s">
        <v>2962</v>
      </c>
      <c r="B45" s="11" t="s">
        <v>2963</v>
      </c>
      <c r="C45" s="11" t="s">
        <v>2870</v>
      </c>
      <c r="I45" s="11" t="s">
        <v>2871</v>
      </c>
      <c r="J45" s="11" t="s">
        <v>2872</v>
      </c>
      <c r="K45" s="11" t="s">
        <v>258</v>
      </c>
      <c r="L45" s="11" t="s">
        <v>272</v>
      </c>
      <c r="M45" s="11" t="s">
        <v>2873</v>
      </c>
      <c r="P45" s="11" t="s">
        <v>985</v>
      </c>
      <c r="Q45" s="11" t="s">
        <v>2020</v>
      </c>
      <c r="R45" s="11" t="s">
        <v>985</v>
      </c>
      <c r="S45" s="11" t="s">
        <v>2020</v>
      </c>
      <c r="T45" s="11" t="s">
        <v>766</v>
      </c>
      <c r="U45" s="11" t="n">
        <v>1</v>
      </c>
      <c r="X45" s="11" t="s">
        <v>2874</v>
      </c>
    </row>
    <row r="46" customFormat="false" ht="15" hidden="false" customHeight="false" outlineLevel="0" collapsed="false">
      <c r="A46" s="2" t="s">
        <v>2964</v>
      </c>
      <c r="B46" s="11" t="s">
        <v>2965</v>
      </c>
      <c r="C46" s="11" t="s">
        <v>2870</v>
      </c>
      <c r="I46" s="11" t="s">
        <v>2871</v>
      </c>
      <c r="J46" s="11" t="s">
        <v>2872</v>
      </c>
      <c r="K46" s="11" t="s">
        <v>258</v>
      </c>
      <c r="L46" s="11" t="s">
        <v>272</v>
      </c>
      <c r="M46" s="11" t="s">
        <v>2873</v>
      </c>
      <c r="P46" s="11" t="s">
        <v>985</v>
      </c>
      <c r="Q46" s="11" t="s">
        <v>2020</v>
      </c>
      <c r="R46" s="11" t="s">
        <v>985</v>
      </c>
      <c r="S46" s="11" t="s">
        <v>2020</v>
      </c>
      <c r="T46" s="11" t="s">
        <v>766</v>
      </c>
      <c r="U46" s="11" t="n">
        <v>1</v>
      </c>
      <c r="X46" s="11" t="s">
        <v>2874</v>
      </c>
    </row>
    <row r="47" customFormat="false" ht="15" hidden="false" customHeight="false" outlineLevel="0" collapsed="false">
      <c r="A47" s="2" t="s">
        <v>2966</v>
      </c>
      <c r="B47" s="11" t="s">
        <v>2967</v>
      </c>
      <c r="C47" s="11" t="s">
        <v>2904</v>
      </c>
      <c r="I47" s="11" t="s">
        <v>2871</v>
      </c>
      <c r="J47" s="11" t="s">
        <v>2872</v>
      </c>
      <c r="K47" s="11" t="s">
        <v>258</v>
      </c>
      <c r="L47" s="11" t="s">
        <v>272</v>
      </c>
      <c r="M47" s="11" t="s">
        <v>2873</v>
      </c>
      <c r="P47" s="11" t="s">
        <v>985</v>
      </c>
      <c r="Q47" s="11" t="s">
        <v>2020</v>
      </c>
      <c r="R47" s="11" t="s">
        <v>985</v>
      </c>
      <c r="S47" s="11" t="s">
        <v>2020</v>
      </c>
      <c r="T47" s="11" t="s">
        <v>766</v>
      </c>
      <c r="U47" s="11" t="n">
        <v>1</v>
      </c>
      <c r="X47" s="11" t="s">
        <v>2874</v>
      </c>
    </row>
    <row r="48" customFormat="false" ht="15" hidden="false" customHeight="false" outlineLevel="0" collapsed="false">
      <c r="A48" s="2" t="s">
        <v>2968</v>
      </c>
      <c r="B48" s="11" t="s">
        <v>2969</v>
      </c>
      <c r="C48" s="11" t="s">
        <v>2870</v>
      </c>
      <c r="I48" s="11" t="s">
        <v>2871</v>
      </c>
      <c r="J48" s="11" t="s">
        <v>2872</v>
      </c>
      <c r="K48" s="11" t="s">
        <v>258</v>
      </c>
      <c r="L48" s="11" t="s">
        <v>272</v>
      </c>
      <c r="M48" s="11" t="s">
        <v>2873</v>
      </c>
      <c r="P48" s="11" t="s">
        <v>985</v>
      </c>
      <c r="Q48" s="11" t="s">
        <v>2020</v>
      </c>
      <c r="R48" s="11" t="s">
        <v>985</v>
      </c>
      <c r="S48" s="11" t="s">
        <v>2020</v>
      </c>
      <c r="T48" s="11" t="s">
        <v>766</v>
      </c>
      <c r="U48" s="11" t="n">
        <v>1</v>
      </c>
      <c r="X48" s="11" t="s">
        <v>2874</v>
      </c>
    </row>
    <row r="49" customFormat="false" ht="15" hidden="false" customHeight="false" outlineLevel="0" collapsed="false">
      <c r="A49" s="2" t="s">
        <v>2970</v>
      </c>
      <c r="B49" s="11" t="s">
        <v>2971</v>
      </c>
      <c r="C49" s="11" t="s">
        <v>2870</v>
      </c>
      <c r="I49" s="11" t="s">
        <v>2871</v>
      </c>
      <c r="J49" s="11" t="s">
        <v>2872</v>
      </c>
      <c r="K49" s="11" t="s">
        <v>258</v>
      </c>
      <c r="L49" s="11" t="s">
        <v>272</v>
      </c>
      <c r="M49" s="11" t="s">
        <v>2873</v>
      </c>
      <c r="P49" s="11" t="s">
        <v>985</v>
      </c>
      <c r="Q49" s="11" t="s">
        <v>2020</v>
      </c>
      <c r="R49" s="11" t="s">
        <v>985</v>
      </c>
      <c r="S49" s="11" t="s">
        <v>2020</v>
      </c>
      <c r="T49" s="11" t="s">
        <v>766</v>
      </c>
      <c r="U49" s="11" t="n">
        <v>1</v>
      </c>
      <c r="X49" s="11" t="s">
        <v>2874</v>
      </c>
    </row>
    <row r="50" customFormat="false" ht="15" hidden="false" customHeight="false" outlineLevel="0" collapsed="false">
      <c r="A50" s="2" t="s">
        <v>2972</v>
      </c>
      <c r="B50" s="11" t="s">
        <v>2973</v>
      </c>
      <c r="C50" s="11" t="s">
        <v>2870</v>
      </c>
      <c r="I50" s="11" t="s">
        <v>2871</v>
      </c>
      <c r="J50" s="11" t="s">
        <v>2872</v>
      </c>
      <c r="K50" s="11" t="s">
        <v>258</v>
      </c>
      <c r="L50" s="11" t="s">
        <v>272</v>
      </c>
      <c r="M50" s="11" t="s">
        <v>2873</v>
      </c>
      <c r="P50" s="11" t="s">
        <v>985</v>
      </c>
      <c r="Q50" s="11" t="s">
        <v>2020</v>
      </c>
      <c r="R50" s="11" t="s">
        <v>985</v>
      </c>
      <c r="S50" s="11" t="s">
        <v>2020</v>
      </c>
      <c r="T50" s="11" t="s">
        <v>766</v>
      </c>
      <c r="U50" s="11" t="n">
        <v>1</v>
      </c>
      <c r="X50" s="11" t="s">
        <v>2874</v>
      </c>
    </row>
    <row r="51" customFormat="false" ht="15" hidden="false" customHeight="false" outlineLevel="0" collapsed="false">
      <c r="A51" s="2" t="s">
        <v>2974</v>
      </c>
      <c r="B51" s="11" t="s">
        <v>2349</v>
      </c>
      <c r="C51" s="11" t="s">
        <v>2870</v>
      </c>
      <c r="E51" s="11" t="s">
        <v>2349</v>
      </c>
      <c r="I51" s="11" t="s">
        <v>2871</v>
      </c>
      <c r="J51" s="11" t="s">
        <v>2872</v>
      </c>
      <c r="K51" s="11" t="s">
        <v>258</v>
      </c>
      <c r="L51" s="11" t="s">
        <v>272</v>
      </c>
      <c r="M51" s="11" t="s">
        <v>2873</v>
      </c>
      <c r="P51" s="11" t="s">
        <v>985</v>
      </c>
      <c r="Q51" s="11" t="s">
        <v>2020</v>
      </c>
      <c r="R51" s="11" t="s">
        <v>985</v>
      </c>
      <c r="S51" s="11" t="s">
        <v>2020</v>
      </c>
      <c r="T51" s="11" t="s">
        <v>766</v>
      </c>
      <c r="U51" s="11" t="n">
        <v>1</v>
      </c>
      <c r="X51" s="11" t="s">
        <v>2874</v>
      </c>
    </row>
    <row r="52" customFormat="false" ht="15" hidden="false" customHeight="false" outlineLevel="0" collapsed="false">
      <c r="A52" s="2" t="s">
        <v>2975</v>
      </c>
      <c r="B52" s="11" t="s">
        <v>2356</v>
      </c>
      <c r="C52" s="11" t="s">
        <v>2870</v>
      </c>
      <c r="E52" s="11" t="s">
        <v>2356</v>
      </c>
      <c r="I52" s="11" t="s">
        <v>2871</v>
      </c>
      <c r="J52" s="11" t="s">
        <v>2872</v>
      </c>
      <c r="K52" s="11" t="s">
        <v>258</v>
      </c>
      <c r="L52" s="11" t="s">
        <v>272</v>
      </c>
      <c r="M52" s="11" t="s">
        <v>2873</v>
      </c>
      <c r="P52" s="11" t="s">
        <v>985</v>
      </c>
      <c r="Q52" s="11" t="s">
        <v>2020</v>
      </c>
      <c r="R52" s="11" t="s">
        <v>985</v>
      </c>
      <c r="S52" s="11" t="s">
        <v>2020</v>
      </c>
      <c r="T52" s="11" t="s">
        <v>766</v>
      </c>
      <c r="U52" s="11" t="n">
        <v>1</v>
      </c>
      <c r="X52" s="11" t="s">
        <v>2874</v>
      </c>
    </row>
    <row r="53" customFormat="false" ht="15" hidden="false" customHeight="false" outlineLevel="0" collapsed="false">
      <c r="A53" s="2" t="s">
        <v>2976</v>
      </c>
      <c r="B53" s="11" t="s">
        <v>2363</v>
      </c>
      <c r="C53" s="11" t="s">
        <v>2870</v>
      </c>
      <c r="E53" s="11" t="s">
        <v>2363</v>
      </c>
      <c r="I53" s="11" t="s">
        <v>2871</v>
      </c>
      <c r="J53" s="11" t="s">
        <v>2872</v>
      </c>
      <c r="K53" s="11" t="s">
        <v>258</v>
      </c>
      <c r="L53" s="11" t="s">
        <v>272</v>
      </c>
      <c r="M53" s="11" t="s">
        <v>2873</v>
      </c>
      <c r="P53" s="11" t="s">
        <v>985</v>
      </c>
      <c r="Q53" s="11" t="s">
        <v>2020</v>
      </c>
      <c r="R53" s="11" t="s">
        <v>985</v>
      </c>
      <c r="S53" s="11" t="s">
        <v>2020</v>
      </c>
      <c r="T53" s="11" t="s">
        <v>766</v>
      </c>
      <c r="U53" s="11" t="n">
        <v>1</v>
      </c>
      <c r="X53" s="11" t="s">
        <v>2874</v>
      </c>
    </row>
    <row r="54" customFormat="false" ht="15" hidden="false" customHeight="false" outlineLevel="0" collapsed="false">
      <c r="A54" s="2" t="s">
        <v>2977</v>
      </c>
      <c r="B54" s="11" t="s">
        <v>2370</v>
      </c>
      <c r="C54" s="11" t="s">
        <v>2870</v>
      </c>
      <c r="E54" s="11" t="s">
        <v>2370</v>
      </c>
      <c r="I54" s="11" t="s">
        <v>2871</v>
      </c>
      <c r="J54" s="11" t="s">
        <v>2872</v>
      </c>
      <c r="K54" s="11" t="s">
        <v>258</v>
      </c>
      <c r="L54" s="11" t="s">
        <v>272</v>
      </c>
      <c r="M54" s="11" t="s">
        <v>2873</v>
      </c>
      <c r="P54" s="11" t="s">
        <v>985</v>
      </c>
      <c r="Q54" s="11" t="s">
        <v>2020</v>
      </c>
      <c r="R54" s="11" t="s">
        <v>985</v>
      </c>
      <c r="S54" s="11" t="s">
        <v>2020</v>
      </c>
      <c r="T54" s="11" t="s">
        <v>766</v>
      </c>
      <c r="U54" s="11" t="n">
        <v>1</v>
      </c>
      <c r="X54" s="11" t="s">
        <v>2874</v>
      </c>
    </row>
    <row r="55" customFormat="false" ht="15" hidden="false" customHeight="false" outlineLevel="0" collapsed="false">
      <c r="A55" s="2" t="s">
        <v>2978</v>
      </c>
      <c r="B55" s="11" t="s">
        <v>2377</v>
      </c>
      <c r="C55" s="11" t="s">
        <v>2870</v>
      </c>
      <c r="E55" s="11" t="s">
        <v>2377</v>
      </c>
      <c r="I55" s="11" t="s">
        <v>2871</v>
      </c>
      <c r="J55" s="11" t="s">
        <v>2872</v>
      </c>
      <c r="K55" s="11" t="s">
        <v>258</v>
      </c>
      <c r="L55" s="11" t="s">
        <v>272</v>
      </c>
      <c r="M55" s="11" t="s">
        <v>2873</v>
      </c>
      <c r="P55" s="11" t="s">
        <v>985</v>
      </c>
      <c r="Q55" s="11" t="s">
        <v>2020</v>
      </c>
      <c r="R55" s="11" t="s">
        <v>985</v>
      </c>
      <c r="S55" s="11" t="s">
        <v>2020</v>
      </c>
      <c r="T55" s="11" t="s">
        <v>766</v>
      </c>
      <c r="U55" s="11" t="n">
        <v>1</v>
      </c>
      <c r="X55" s="11" t="s">
        <v>2874</v>
      </c>
    </row>
    <row r="56" customFormat="false" ht="15" hidden="false" customHeight="false" outlineLevel="0" collapsed="false">
      <c r="A56" s="2" t="s">
        <v>2979</v>
      </c>
      <c r="B56" s="11" t="s">
        <v>2384</v>
      </c>
      <c r="C56" s="11" t="s">
        <v>2870</v>
      </c>
      <c r="E56" s="11" t="s">
        <v>2384</v>
      </c>
      <c r="I56" s="11" t="s">
        <v>2871</v>
      </c>
      <c r="J56" s="11" t="s">
        <v>2872</v>
      </c>
      <c r="K56" s="11" t="s">
        <v>258</v>
      </c>
      <c r="L56" s="11" t="s">
        <v>272</v>
      </c>
      <c r="M56" s="11" t="s">
        <v>2873</v>
      </c>
      <c r="P56" s="11" t="s">
        <v>985</v>
      </c>
      <c r="Q56" s="11" t="s">
        <v>2020</v>
      </c>
      <c r="R56" s="11" t="s">
        <v>985</v>
      </c>
      <c r="S56" s="11" t="s">
        <v>2020</v>
      </c>
      <c r="T56" s="11" t="s">
        <v>766</v>
      </c>
      <c r="U56" s="11" t="n">
        <v>1</v>
      </c>
      <c r="X56" s="11" t="s">
        <v>2874</v>
      </c>
    </row>
    <row r="57" customFormat="false" ht="15" hidden="false" customHeight="false" outlineLevel="0" collapsed="false">
      <c r="A57" s="2" t="s">
        <v>2980</v>
      </c>
      <c r="B57" s="11" t="s">
        <v>2391</v>
      </c>
      <c r="C57" s="11" t="s">
        <v>2870</v>
      </c>
      <c r="E57" s="11" t="s">
        <v>2391</v>
      </c>
      <c r="I57" s="11" t="s">
        <v>2871</v>
      </c>
      <c r="J57" s="11" t="s">
        <v>2872</v>
      </c>
      <c r="K57" s="11" t="s">
        <v>258</v>
      </c>
      <c r="L57" s="11" t="s">
        <v>272</v>
      </c>
      <c r="M57" s="11" t="s">
        <v>2873</v>
      </c>
      <c r="P57" s="11" t="s">
        <v>985</v>
      </c>
      <c r="Q57" s="11" t="s">
        <v>2020</v>
      </c>
      <c r="R57" s="11" t="s">
        <v>985</v>
      </c>
      <c r="S57" s="11" t="s">
        <v>2020</v>
      </c>
      <c r="T57" s="11" t="s">
        <v>766</v>
      </c>
      <c r="U57" s="11" t="n">
        <v>1</v>
      </c>
      <c r="X57" s="11" t="s">
        <v>2874</v>
      </c>
    </row>
    <row r="58" customFormat="false" ht="15" hidden="false" customHeight="false" outlineLevel="0" collapsed="false">
      <c r="A58" s="2" t="s">
        <v>2981</v>
      </c>
      <c r="B58" s="11" t="s">
        <v>2398</v>
      </c>
      <c r="C58" s="11" t="s">
        <v>2870</v>
      </c>
      <c r="E58" s="11" t="s">
        <v>2398</v>
      </c>
      <c r="I58" s="11" t="s">
        <v>2871</v>
      </c>
      <c r="J58" s="11" t="s">
        <v>2872</v>
      </c>
      <c r="K58" s="11" t="s">
        <v>258</v>
      </c>
      <c r="L58" s="11" t="s">
        <v>272</v>
      </c>
      <c r="M58" s="11" t="s">
        <v>2873</v>
      </c>
      <c r="P58" s="11" t="s">
        <v>985</v>
      </c>
      <c r="Q58" s="11" t="s">
        <v>2020</v>
      </c>
      <c r="R58" s="11" t="s">
        <v>985</v>
      </c>
      <c r="S58" s="11" t="s">
        <v>2020</v>
      </c>
      <c r="T58" s="11" t="s">
        <v>766</v>
      </c>
      <c r="U58" s="11" t="n">
        <v>1</v>
      </c>
      <c r="X58" s="11" t="s">
        <v>2874</v>
      </c>
    </row>
    <row r="59" customFormat="false" ht="15" hidden="false" customHeight="false" outlineLevel="0" collapsed="false">
      <c r="A59" s="2" t="s">
        <v>2982</v>
      </c>
      <c r="B59" s="11" t="s">
        <v>2405</v>
      </c>
      <c r="C59" s="11" t="s">
        <v>2870</v>
      </c>
      <c r="E59" s="11" t="s">
        <v>2405</v>
      </c>
      <c r="I59" s="11" t="s">
        <v>2871</v>
      </c>
      <c r="J59" s="11" t="s">
        <v>2872</v>
      </c>
      <c r="K59" s="11" t="s">
        <v>258</v>
      </c>
      <c r="L59" s="11" t="s">
        <v>272</v>
      </c>
      <c r="M59" s="11" t="s">
        <v>2873</v>
      </c>
      <c r="P59" s="11" t="s">
        <v>985</v>
      </c>
      <c r="Q59" s="11" t="s">
        <v>2020</v>
      </c>
      <c r="R59" s="11" t="s">
        <v>985</v>
      </c>
      <c r="S59" s="11" t="s">
        <v>2020</v>
      </c>
      <c r="T59" s="11" t="s">
        <v>766</v>
      </c>
      <c r="U59" s="11" t="n">
        <v>1</v>
      </c>
      <c r="X59" s="11" t="s">
        <v>2874</v>
      </c>
    </row>
    <row r="60" customFormat="false" ht="15" hidden="false" customHeight="false" outlineLevel="0" collapsed="false">
      <c r="A60" s="2" t="s">
        <v>2983</v>
      </c>
      <c r="B60" s="11" t="s">
        <v>2412</v>
      </c>
      <c r="C60" s="11" t="s">
        <v>2897</v>
      </c>
      <c r="E60" s="11" t="s">
        <v>2412</v>
      </c>
      <c r="I60" s="11" t="s">
        <v>2871</v>
      </c>
      <c r="J60" s="11" t="s">
        <v>2872</v>
      </c>
      <c r="K60" s="11" t="s">
        <v>258</v>
      </c>
      <c r="L60" s="11" t="s">
        <v>272</v>
      </c>
      <c r="M60" s="11" t="s">
        <v>2873</v>
      </c>
      <c r="P60" s="11" t="s">
        <v>985</v>
      </c>
      <c r="Q60" s="11" t="s">
        <v>2020</v>
      </c>
      <c r="R60" s="11" t="s">
        <v>985</v>
      </c>
      <c r="S60" s="11" t="s">
        <v>2020</v>
      </c>
      <c r="T60" s="11" t="s">
        <v>766</v>
      </c>
      <c r="U60" s="11" t="n">
        <v>1</v>
      </c>
      <c r="X60" s="11" t="s">
        <v>2874</v>
      </c>
    </row>
    <row r="61" customFormat="false" ht="15" hidden="false" customHeight="false" outlineLevel="0" collapsed="false">
      <c r="A61" s="2" t="s">
        <v>2984</v>
      </c>
      <c r="B61" s="11" t="s">
        <v>2419</v>
      </c>
      <c r="C61" s="11" t="s">
        <v>2870</v>
      </c>
      <c r="E61" s="11" t="s">
        <v>2419</v>
      </c>
      <c r="I61" s="11" t="s">
        <v>2871</v>
      </c>
      <c r="J61" s="11" t="s">
        <v>2872</v>
      </c>
      <c r="K61" s="11" t="s">
        <v>258</v>
      </c>
      <c r="L61" s="11" t="s">
        <v>272</v>
      </c>
      <c r="M61" s="11" t="s">
        <v>2873</v>
      </c>
      <c r="P61" s="11" t="s">
        <v>985</v>
      </c>
      <c r="Q61" s="11" t="s">
        <v>2020</v>
      </c>
      <c r="R61" s="11" t="s">
        <v>985</v>
      </c>
      <c r="S61" s="11" t="s">
        <v>2020</v>
      </c>
      <c r="T61" s="11" t="s">
        <v>766</v>
      </c>
      <c r="U61" s="11" t="n">
        <v>1</v>
      </c>
      <c r="X61" s="11" t="s">
        <v>2874</v>
      </c>
    </row>
    <row r="62" customFormat="false" ht="15" hidden="false" customHeight="false" outlineLevel="0" collapsed="false">
      <c r="A62" s="2" t="s">
        <v>2985</v>
      </c>
      <c r="B62" s="11" t="s">
        <v>2426</v>
      </c>
      <c r="C62" s="11" t="s">
        <v>2897</v>
      </c>
      <c r="E62" s="11" t="s">
        <v>2426</v>
      </c>
      <c r="I62" s="11" t="s">
        <v>2871</v>
      </c>
      <c r="J62" s="11" t="s">
        <v>2872</v>
      </c>
      <c r="K62" s="11" t="s">
        <v>258</v>
      </c>
      <c r="L62" s="11" t="s">
        <v>272</v>
      </c>
      <c r="M62" s="11" t="s">
        <v>2873</v>
      </c>
      <c r="P62" s="11" t="s">
        <v>985</v>
      </c>
      <c r="Q62" s="11" t="s">
        <v>2020</v>
      </c>
      <c r="R62" s="11" t="s">
        <v>985</v>
      </c>
      <c r="S62" s="11" t="s">
        <v>2020</v>
      </c>
      <c r="T62" s="11" t="s">
        <v>766</v>
      </c>
      <c r="U62" s="11" t="n">
        <v>1</v>
      </c>
      <c r="X62" s="11" t="s">
        <v>2874</v>
      </c>
    </row>
    <row r="63" customFormat="false" ht="15" hidden="false" customHeight="false" outlineLevel="0" collapsed="false">
      <c r="A63" s="2" t="s">
        <v>2986</v>
      </c>
      <c r="B63" s="11" t="s">
        <v>2433</v>
      </c>
      <c r="C63" s="11" t="s">
        <v>2870</v>
      </c>
      <c r="E63" s="11" t="s">
        <v>2433</v>
      </c>
      <c r="I63" s="11" t="s">
        <v>2871</v>
      </c>
      <c r="J63" s="11" t="s">
        <v>2872</v>
      </c>
      <c r="K63" s="11" t="s">
        <v>258</v>
      </c>
      <c r="L63" s="11" t="s">
        <v>272</v>
      </c>
      <c r="M63" s="11" t="s">
        <v>2873</v>
      </c>
      <c r="P63" s="11" t="s">
        <v>985</v>
      </c>
      <c r="Q63" s="11" t="s">
        <v>2020</v>
      </c>
      <c r="R63" s="11" t="s">
        <v>985</v>
      </c>
      <c r="S63" s="11" t="s">
        <v>2020</v>
      </c>
      <c r="T63" s="11" t="s">
        <v>766</v>
      </c>
      <c r="U63" s="11" t="n">
        <v>1</v>
      </c>
      <c r="X63" s="11" t="s">
        <v>2874</v>
      </c>
    </row>
    <row r="64" customFormat="false" ht="15" hidden="false" customHeight="false" outlineLevel="0" collapsed="false">
      <c r="A64" s="2" t="s">
        <v>2987</v>
      </c>
      <c r="B64" s="11" t="s">
        <v>2440</v>
      </c>
      <c r="C64" s="11" t="s">
        <v>2870</v>
      </c>
      <c r="E64" s="11" t="s">
        <v>2440</v>
      </c>
      <c r="I64" s="11" t="s">
        <v>2871</v>
      </c>
      <c r="J64" s="11" t="s">
        <v>2872</v>
      </c>
      <c r="K64" s="11" t="s">
        <v>258</v>
      </c>
      <c r="L64" s="11" t="s">
        <v>272</v>
      </c>
      <c r="M64" s="11" t="s">
        <v>2873</v>
      </c>
      <c r="P64" s="11" t="s">
        <v>985</v>
      </c>
      <c r="Q64" s="11" t="s">
        <v>2020</v>
      </c>
      <c r="R64" s="11" t="s">
        <v>985</v>
      </c>
      <c r="S64" s="11" t="s">
        <v>2020</v>
      </c>
      <c r="T64" s="11" t="s">
        <v>766</v>
      </c>
      <c r="U64" s="11" t="n">
        <v>1</v>
      </c>
      <c r="X64" s="11" t="s">
        <v>2874</v>
      </c>
    </row>
    <row r="65" customFormat="false" ht="15" hidden="false" customHeight="false" outlineLevel="0" collapsed="false">
      <c r="A65" s="2" t="s">
        <v>2988</v>
      </c>
      <c r="B65" s="11" t="s">
        <v>2447</v>
      </c>
      <c r="C65" s="11" t="s">
        <v>2870</v>
      </c>
      <c r="E65" s="11" t="s">
        <v>2447</v>
      </c>
      <c r="I65" s="11" t="s">
        <v>2871</v>
      </c>
      <c r="J65" s="11" t="s">
        <v>2872</v>
      </c>
      <c r="K65" s="11" t="s">
        <v>258</v>
      </c>
      <c r="L65" s="11" t="s">
        <v>272</v>
      </c>
      <c r="M65" s="11" t="s">
        <v>2873</v>
      </c>
      <c r="P65" s="11" t="s">
        <v>985</v>
      </c>
      <c r="Q65" s="11" t="s">
        <v>2020</v>
      </c>
      <c r="R65" s="11" t="s">
        <v>985</v>
      </c>
      <c r="S65" s="11" t="s">
        <v>2020</v>
      </c>
      <c r="T65" s="11" t="s">
        <v>766</v>
      </c>
      <c r="U65" s="11" t="n">
        <v>1</v>
      </c>
      <c r="X65" s="11" t="s">
        <v>2874</v>
      </c>
    </row>
    <row r="66" customFormat="false" ht="15" hidden="false" customHeight="false" outlineLevel="0" collapsed="false">
      <c r="A66" s="2" t="s">
        <v>2989</v>
      </c>
      <c r="B66" s="11" t="s">
        <v>2990</v>
      </c>
      <c r="C66" s="11" t="s">
        <v>2870</v>
      </c>
      <c r="I66" s="11" t="s">
        <v>2871</v>
      </c>
      <c r="J66" s="11" t="s">
        <v>2872</v>
      </c>
      <c r="K66" s="11" t="s">
        <v>258</v>
      </c>
      <c r="L66" s="11" t="s">
        <v>272</v>
      </c>
      <c r="M66" s="11" t="s">
        <v>2873</v>
      </c>
      <c r="P66" s="11" t="s">
        <v>985</v>
      </c>
      <c r="Q66" s="11" t="s">
        <v>2020</v>
      </c>
      <c r="R66" s="11" t="s">
        <v>985</v>
      </c>
      <c r="S66" s="11" t="s">
        <v>2020</v>
      </c>
      <c r="T66" s="11" t="s">
        <v>766</v>
      </c>
      <c r="U66" s="11" t="n">
        <v>1</v>
      </c>
      <c r="X66" s="11" t="s">
        <v>2874</v>
      </c>
    </row>
    <row r="67" customFormat="false" ht="15" hidden="false" customHeight="false" outlineLevel="0" collapsed="false">
      <c r="A67" s="2" t="s">
        <v>2991</v>
      </c>
      <c r="B67" s="11" t="s">
        <v>2992</v>
      </c>
      <c r="C67" s="11" t="s">
        <v>2870</v>
      </c>
      <c r="I67" s="11" t="s">
        <v>2871</v>
      </c>
      <c r="J67" s="11" t="s">
        <v>2872</v>
      </c>
      <c r="K67" s="11" t="s">
        <v>258</v>
      </c>
      <c r="L67" s="11" t="s">
        <v>272</v>
      </c>
      <c r="M67" s="11" t="s">
        <v>2873</v>
      </c>
      <c r="P67" s="11" t="s">
        <v>985</v>
      </c>
      <c r="Q67" s="11" t="s">
        <v>2020</v>
      </c>
      <c r="R67" s="11" t="s">
        <v>985</v>
      </c>
      <c r="S67" s="11" t="s">
        <v>2020</v>
      </c>
      <c r="T67" s="11" t="s">
        <v>766</v>
      </c>
      <c r="U67" s="11" t="n">
        <v>1</v>
      </c>
      <c r="X67" s="11" t="s">
        <v>2874</v>
      </c>
    </row>
    <row r="68" customFormat="false" ht="15" hidden="false" customHeight="false" outlineLevel="0" collapsed="false">
      <c r="A68" s="2" t="s">
        <v>2993</v>
      </c>
      <c r="B68" s="11" t="s">
        <v>2994</v>
      </c>
      <c r="C68" s="11" t="s">
        <v>2870</v>
      </c>
      <c r="I68" s="11" t="s">
        <v>2871</v>
      </c>
      <c r="J68" s="11" t="s">
        <v>2872</v>
      </c>
      <c r="K68" s="11" t="s">
        <v>258</v>
      </c>
      <c r="L68" s="11" t="s">
        <v>272</v>
      </c>
      <c r="M68" s="11" t="s">
        <v>2873</v>
      </c>
      <c r="P68" s="11" t="s">
        <v>985</v>
      </c>
      <c r="Q68" s="11" t="s">
        <v>2020</v>
      </c>
      <c r="R68" s="11" t="s">
        <v>985</v>
      </c>
      <c r="S68" s="11" t="s">
        <v>2020</v>
      </c>
      <c r="T68" s="11" t="s">
        <v>766</v>
      </c>
      <c r="U68" s="11" t="n">
        <v>1</v>
      </c>
      <c r="X68" s="11" t="s">
        <v>2874</v>
      </c>
    </row>
    <row r="69" customFormat="false" ht="15" hidden="false" customHeight="false" outlineLevel="0" collapsed="false">
      <c r="A69" s="2" t="s">
        <v>2995</v>
      </c>
      <c r="B69" s="11" t="s">
        <v>2996</v>
      </c>
      <c r="C69" s="11" t="s">
        <v>2870</v>
      </c>
      <c r="I69" s="11" t="s">
        <v>2871</v>
      </c>
      <c r="J69" s="11" t="s">
        <v>2872</v>
      </c>
      <c r="K69" s="11" t="s">
        <v>258</v>
      </c>
      <c r="L69" s="11" t="s">
        <v>272</v>
      </c>
      <c r="M69" s="11" t="s">
        <v>2873</v>
      </c>
      <c r="P69" s="11" t="s">
        <v>985</v>
      </c>
      <c r="Q69" s="11" t="s">
        <v>2020</v>
      </c>
      <c r="R69" s="11" t="s">
        <v>985</v>
      </c>
      <c r="S69" s="11" t="s">
        <v>2020</v>
      </c>
      <c r="T69" s="11" t="s">
        <v>766</v>
      </c>
      <c r="U69" s="11" t="n">
        <v>1</v>
      </c>
      <c r="X69" s="11" t="s">
        <v>2874</v>
      </c>
    </row>
    <row r="70" customFormat="false" ht="15" hidden="false" customHeight="false" outlineLevel="0" collapsed="false">
      <c r="A70" s="2" t="s">
        <v>2997</v>
      </c>
      <c r="B70" s="11" t="s">
        <v>2998</v>
      </c>
      <c r="C70" s="11" t="s">
        <v>2870</v>
      </c>
      <c r="I70" s="11" t="s">
        <v>2871</v>
      </c>
      <c r="J70" s="11" t="s">
        <v>2872</v>
      </c>
      <c r="K70" s="11" t="s">
        <v>258</v>
      </c>
      <c r="L70" s="11" t="s">
        <v>272</v>
      </c>
      <c r="M70" s="11" t="s">
        <v>2873</v>
      </c>
      <c r="P70" s="11" t="s">
        <v>985</v>
      </c>
      <c r="Q70" s="11" t="s">
        <v>2020</v>
      </c>
      <c r="R70" s="11" t="s">
        <v>985</v>
      </c>
      <c r="S70" s="11" t="s">
        <v>2020</v>
      </c>
      <c r="T70" s="11" t="s">
        <v>766</v>
      </c>
      <c r="U70" s="11" t="n">
        <v>1</v>
      </c>
      <c r="X70" s="11" t="s">
        <v>2874</v>
      </c>
    </row>
    <row r="71" customFormat="false" ht="15" hidden="false" customHeight="false" outlineLevel="0" collapsed="false">
      <c r="A71" s="2" t="s">
        <v>2999</v>
      </c>
      <c r="B71" s="11" t="s">
        <v>3000</v>
      </c>
      <c r="C71" s="11" t="s">
        <v>3001</v>
      </c>
      <c r="I71" s="11" t="s">
        <v>2871</v>
      </c>
      <c r="J71" s="11" t="s">
        <v>2872</v>
      </c>
      <c r="K71" s="11" t="s">
        <v>258</v>
      </c>
      <c r="L71" s="11" t="s">
        <v>258</v>
      </c>
      <c r="M71" s="11" t="s">
        <v>2873</v>
      </c>
      <c r="P71" s="11" t="s">
        <v>985</v>
      </c>
      <c r="Q71" s="11" t="s">
        <v>2020</v>
      </c>
      <c r="R71" s="11" t="s">
        <v>985</v>
      </c>
      <c r="S71" s="11" t="s">
        <v>2020</v>
      </c>
      <c r="T71" s="11" t="s">
        <v>766</v>
      </c>
      <c r="U71" s="11" t="n">
        <v>1</v>
      </c>
      <c r="X71" s="11" t="s">
        <v>2874</v>
      </c>
    </row>
    <row r="72" customFormat="false" ht="15" hidden="false" customHeight="false" outlineLevel="0" collapsed="false">
      <c r="A72" s="2" t="s">
        <v>3002</v>
      </c>
      <c r="B72" s="11" t="s">
        <v>3003</v>
      </c>
      <c r="C72" s="11" t="s">
        <v>2870</v>
      </c>
      <c r="I72" s="11" t="s">
        <v>2871</v>
      </c>
      <c r="J72" s="11" t="s">
        <v>2872</v>
      </c>
      <c r="K72" s="11" t="s">
        <v>258</v>
      </c>
      <c r="L72" s="11" t="s">
        <v>272</v>
      </c>
      <c r="M72" s="11" t="s">
        <v>2873</v>
      </c>
      <c r="P72" s="11" t="s">
        <v>985</v>
      </c>
      <c r="Q72" s="11" t="s">
        <v>2020</v>
      </c>
      <c r="R72" s="11" t="s">
        <v>985</v>
      </c>
      <c r="S72" s="11" t="s">
        <v>2020</v>
      </c>
      <c r="T72" s="11" t="s">
        <v>766</v>
      </c>
      <c r="U72" s="11" t="n">
        <v>1</v>
      </c>
      <c r="X72" s="11" t="s">
        <v>2874</v>
      </c>
    </row>
    <row r="73" customFormat="false" ht="15" hidden="false" customHeight="false" outlineLevel="0" collapsed="false">
      <c r="A73" s="2" t="s">
        <v>3004</v>
      </c>
      <c r="B73" s="11" t="s">
        <v>3005</v>
      </c>
      <c r="C73" s="11" t="s">
        <v>2870</v>
      </c>
      <c r="I73" s="11" t="s">
        <v>2871</v>
      </c>
      <c r="J73" s="11" t="s">
        <v>2872</v>
      </c>
      <c r="K73" s="11" t="s">
        <v>258</v>
      </c>
      <c r="L73" s="11" t="s">
        <v>272</v>
      </c>
      <c r="M73" s="11" t="s">
        <v>2873</v>
      </c>
      <c r="P73" s="11" t="s">
        <v>985</v>
      </c>
      <c r="Q73" s="11" t="s">
        <v>2020</v>
      </c>
      <c r="R73" s="11" t="s">
        <v>985</v>
      </c>
      <c r="S73" s="11" t="s">
        <v>2020</v>
      </c>
      <c r="T73" s="11" t="s">
        <v>766</v>
      </c>
      <c r="U73" s="11" t="n">
        <v>1</v>
      </c>
      <c r="X73" s="11" t="s">
        <v>2874</v>
      </c>
    </row>
    <row r="74" customFormat="false" ht="15" hidden="false" customHeight="false" outlineLevel="0" collapsed="false">
      <c r="A74" s="2" t="s">
        <v>3006</v>
      </c>
      <c r="B74" s="11" t="s">
        <v>3007</v>
      </c>
      <c r="C74" s="11" t="s">
        <v>3001</v>
      </c>
      <c r="I74" s="11" t="s">
        <v>2871</v>
      </c>
      <c r="J74" s="11" t="s">
        <v>2872</v>
      </c>
      <c r="K74" s="11" t="s">
        <v>258</v>
      </c>
      <c r="L74" s="11" t="s">
        <v>258</v>
      </c>
      <c r="M74" s="11" t="s">
        <v>2873</v>
      </c>
      <c r="P74" s="11" t="s">
        <v>985</v>
      </c>
      <c r="Q74" s="11" t="s">
        <v>2020</v>
      </c>
      <c r="R74" s="11" t="s">
        <v>985</v>
      </c>
      <c r="S74" s="11" t="s">
        <v>2020</v>
      </c>
      <c r="T74" s="11" t="s">
        <v>766</v>
      </c>
      <c r="U74" s="11" t="n">
        <v>1</v>
      </c>
      <c r="X74" s="11" t="s">
        <v>2874</v>
      </c>
    </row>
    <row r="75" customFormat="false" ht="15" hidden="false" customHeight="false" outlineLevel="0" collapsed="false">
      <c r="A75" s="2" t="s">
        <v>3008</v>
      </c>
      <c r="B75" s="11" t="s">
        <v>3009</v>
      </c>
      <c r="C75" s="11" t="s">
        <v>2897</v>
      </c>
      <c r="I75" s="11" t="s">
        <v>2871</v>
      </c>
      <c r="J75" s="11" t="s">
        <v>2872</v>
      </c>
      <c r="K75" s="11" t="s">
        <v>258</v>
      </c>
      <c r="L75" s="11" t="s">
        <v>272</v>
      </c>
      <c r="M75" s="11" t="s">
        <v>2873</v>
      </c>
      <c r="P75" s="11" t="s">
        <v>985</v>
      </c>
      <c r="Q75" s="11" t="s">
        <v>2020</v>
      </c>
      <c r="R75" s="11" t="s">
        <v>985</v>
      </c>
      <c r="S75" s="11" t="s">
        <v>2020</v>
      </c>
      <c r="T75" s="11" t="s">
        <v>766</v>
      </c>
      <c r="U75" s="11" t="n">
        <v>1</v>
      </c>
      <c r="X75" s="11" t="s">
        <v>2874</v>
      </c>
    </row>
    <row r="76" customFormat="false" ht="15" hidden="false" customHeight="false" outlineLevel="0" collapsed="false">
      <c r="A76" s="2" t="s">
        <v>3010</v>
      </c>
      <c r="B76" s="11" t="s">
        <v>3011</v>
      </c>
      <c r="C76" s="11" t="s">
        <v>2915</v>
      </c>
      <c r="I76" s="11" t="s">
        <v>2871</v>
      </c>
      <c r="J76" s="11" t="s">
        <v>2872</v>
      </c>
      <c r="K76" s="11" t="s">
        <v>258</v>
      </c>
      <c r="L76" s="11" t="s">
        <v>272</v>
      </c>
      <c r="M76" s="11" t="s">
        <v>2873</v>
      </c>
      <c r="P76" s="11" t="s">
        <v>985</v>
      </c>
      <c r="Q76" s="11" t="s">
        <v>2020</v>
      </c>
      <c r="R76" s="11" t="s">
        <v>985</v>
      </c>
      <c r="S76" s="11" t="s">
        <v>2020</v>
      </c>
      <c r="T76" s="11" t="s">
        <v>766</v>
      </c>
      <c r="U76" s="11" t="n">
        <v>1</v>
      </c>
      <c r="X76" s="11" t="s">
        <v>2874</v>
      </c>
    </row>
    <row r="77" customFormat="false" ht="15" hidden="false" customHeight="false" outlineLevel="0" collapsed="false">
      <c r="A77" s="2" t="s">
        <v>3012</v>
      </c>
      <c r="B77" s="11" t="s">
        <v>3013</v>
      </c>
      <c r="C77" s="11" t="s">
        <v>2870</v>
      </c>
      <c r="I77" s="11" t="s">
        <v>2871</v>
      </c>
      <c r="J77" s="11" t="s">
        <v>2872</v>
      </c>
      <c r="K77" s="11" t="s">
        <v>258</v>
      </c>
      <c r="L77" s="11" t="s">
        <v>272</v>
      </c>
      <c r="M77" s="11" t="s">
        <v>2873</v>
      </c>
      <c r="P77" s="11" t="s">
        <v>985</v>
      </c>
      <c r="Q77" s="11" t="s">
        <v>2020</v>
      </c>
      <c r="R77" s="11" t="s">
        <v>985</v>
      </c>
      <c r="S77" s="11" t="s">
        <v>2020</v>
      </c>
      <c r="T77" s="11" t="s">
        <v>766</v>
      </c>
      <c r="U77" s="11" t="n">
        <v>1</v>
      </c>
      <c r="X77" s="11" t="s">
        <v>2874</v>
      </c>
    </row>
  </sheetData>
  <autoFilter ref="A1:X77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C2:C1077" type="list">
      <formula1>brontype!$B$2:$B$2000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77" type="list">
      <formula1>organisatie!$B$2:$B$2000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77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77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T2:T1077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538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3014</v>
      </c>
      <c r="B2" s="11" t="s">
        <v>3001</v>
      </c>
      <c r="C2" s="11" t="s">
        <v>3015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3016</v>
      </c>
      <c r="B3" s="11" t="s">
        <v>3017</v>
      </c>
      <c r="C3" s="11" t="s">
        <v>3018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3019</v>
      </c>
      <c r="B4" s="11" t="s">
        <v>3020</v>
      </c>
      <c r="C4" s="11" t="s">
        <v>3021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3022</v>
      </c>
      <c r="B5" s="11" t="s">
        <v>2897</v>
      </c>
      <c r="C5" s="11" t="s">
        <v>2583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3023</v>
      </c>
      <c r="B6" s="11" t="s">
        <v>2870</v>
      </c>
      <c r="C6" s="11" t="s">
        <v>2601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3024</v>
      </c>
      <c r="B7" s="11" t="s">
        <v>3025</v>
      </c>
      <c r="C7" s="11" t="s">
        <v>2558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3026</v>
      </c>
      <c r="B8" s="11" t="s">
        <v>3027</v>
      </c>
      <c r="C8" s="11" t="s">
        <v>3028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3029</v>
      </c>
      <c r="B9" s="11" t="s">
        <v>3030</v>
      </c>
      <c r="C9" s="11" t="s">
        <v>3031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3032</v>
      </c>
      <c r="B10" s="11" t="s">
        <v>2904</v>
      </c>
      <c r="C10" s="11" t="s">
        <v>2591</v>
      </c>
      <c r="E10" s="11" t="n">
        <v>9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</row>
    <row r="11" customFormat="false" ht="15" hidden="false" customHeight="false" outlineLevel="0" collapsed="false">
      <c r="A11" s="2" t="s">
        <v>3033</v>
      </c>
      <c r="B11" s="11" t="s">
        <v>3034</v>
      </c>
      <c r="C11" s="11" t="s">
        <v>815</v>
      </c>
      <c r="E11" s="11" t="n">
        <v>10</v>
      </c>
      <c r="F11" s="11" t="s">
        <v>985</v>
      </c>
      <c r="G11" s="11" t="s">
        <v>986</v>
      </c>
      <c r="H11" s="11" t="s">
        <v>985</v>
      </c>
      <c r="I11" s="11" t="s">
        <v>986</v>
      </c>
      <c r="J11" s="11" t="s">
        <v>766</v>
      </c>
      <c r="K11" s="11" t="n">
        <v>1</v>
      </c>
    </row>
    <row r="12" customFormat="false" ht="15" hidden="false" customHeight="false" outlineLevel="0" collapsed="false">
      <c r="A12" s="2" t="s">
        <v>3035</v>
      </c>
      <c r="B12" s="11" t="s">
        <v>3036</v>
      </c>
      <c r="C12" s="11" t="s">
        <v>1966</v>
      </c>
      <c r="E12" s="11" t="n">
        <v>11</v>
      </c>
      <c r="F12" s="11" t="s">
        <v>985</v>
      </c>
      <c r="G12" s="11" t="s">
        <v>986</v>
      </c>
      <c r="H12" s="11" t="s">
        <v>985</v>
      </c>
      <c r="I12" s="11" t="s">
        <v>986</v>
      </c>
      <c r="J12" s="11" t="s">
        <v>766</v>
      </c>
      <c r="K12" s="11" t="n">
        <v>1</v>
      </c>
    </row>
    <row r="13" customFormat="false" ht="15" hidden="false" customHeight="false" outlineLevel="0" collapsed="false">
      <c r="A13" s="2" t="s">
        <v>3037</v>
      </c>
      <c r="B13" s="11" t="s">
        <v>3038</v>
      </c>
      <c r="C13" s="11" t="s">
        <v>3039</v>
      </c>
      <c r="E13" s="11" t="n">
        <v>12</v>
      </c>
      <c r="F13" s="11" t="s">
        <v>985</v>
      </c>
      <c r="G13" s="11" t="s">
        <v>986</v>
      </c>
      <c r="H13" s="11" t="s">
        <v>985</v>
      </c>
      <c r="I13" s="11" t="s">
        <v>986</v>
      </c>
      <c r="J13" s="11" t="s">
        <v>766</v>
      </c>
      <c r="K13" s="11" t="n">
        <v>1</v>
      </c>
    </row>
    <row r="14" customFormat="false" ht="15" hidden="false" customHeight="false" outlineLevel="0" collapsed="false">
      <c r="A14" s="2" t="s">
        <v>3040</v>
      </c>
      <c r="B14" s="11" t="s">
        <v>2915</v>
      </c>
      <c r="C14" s="11" t="s">
        <v>3041</v>
      </c>
      <c r="E14" s="11" t="n">
        <v>13</v>
      </c>
      <c r="F14" s="11" t="s">
        <v>985</v>
      </c>
      <c r="G14" s="11" t="s">
        <v>986</v>
      </c>
      <c r="H14" s="11" t="s">
        <v>985</v>
      </c>
      <c r="I14" s="11" t="s">
        <v>986</v>
      </c>
      <c r="J14" s="11" t="s">
        <v>766</v>
      </c>
      <c r="K14" s="11" t="n">
        <v>1</v>
      </c>
    </row>
    <row r="15" customFormat="false" ht="15" hidden="false" customHeight="false" outlineLevel="0" collapsed="false">
      <c r="A15" s="2" t="s">
        <v>3042</v>
      </c>
      <c r="B15" s="11" t="s">
        <v>3043</v>
      </c>
      <c r="C15" s="11" t="s">
        <v>97</v>
      </c>
      <c r="E15" s="11" t="n">
        <v>14</v>
      </c>
      <c r="F15" s="11" t="s">
        <v>985</v>
      </c>
      <c r="G15" s="11" t="s">
        <v>986</v>
      </c>
      <c r="H15" s="11" t="s">
        <v>985</v>
      </c>
      <c r="I15" s="11" t="s">
        <v>986</v>
      </c>
      <c r="J15" s="11" t="s">
        <v>766</v>
      </c>
      <c r="K15" s="11" t="n">
        <v>1</v>
      </c>
    </row>
  </sheetData>
  <autoFilter ref="A1:N15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550</v>
      </c>
      <c r="B1" s="13" t="s">
        <v>469</v>
      </c>
      <c r="C1" s="13" t="s">
        <v>537</v>
      </c>
      <c r="D1" s="13" t="s">
        <v>552</v>
      </c>
      <c r="E1" s="13" t="s">
        <v>554</v>
      </c>
      <c r="F1" s="14" t="s">
        <v>555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3044</v>
      </c>
      <c r="B2" s="11" t="s">
        <v>2008</v>
      </c>
      <c r="C2" s="11" t="s">
        <v>2869</v>
      </c>
      <c r="D2" s="11" t="s">
        <v>751</v>
      </c>
      <c r="E2" s="11" t="s">
        <v>258</v>
      </c>
      <c r="G2" s="11" t="s">
        <v>985</v>
      </c>
      <c r="H2" s="11" t="s">
        <v>2020</v>
      </c>
      <c r="I2" s="11" t="s">
        <v>985</v>
      </c>
      <c r="J2" s="11" t="s">
        <v>2020</v>
      </c>
      <c r="K2" s="11" t="s">
        <v>766</v>
      </c>
      <c r="L2" s="11" t="n">
        <v>1</v>
      </c>
      <c r="O2" s="11" t="s">
        <v>3045</v>
      </c>
    </row>
    <row r="3" customFormat="false" ht="15" hidden="false" customHeight="false" outlineLevel="0" collapsed="false">
      <c r="A3" s="2" t="s">
        <v>3046</v>
      </c>
      <c r="B3" s="11" t="s">
        <v>2023</v>
      </c>
      <c r="C3" s="11" t="s">
        <v>2876</v>
      </c>
      <c r="D3" s="11" t="s">
        <v>751</v>
      </c>
      <c r="E3" s="11" t="s">
        <v>258</v>
      </c>
      <c r="G3" s="11" t="s">
        <v>985</v>
      </c>
      <c r="H3" s="11" t="s">
        <v>2020</v>
      </c>
      <c r="I3" s="11" t="s">
        <v>985</v>
      </c>
      <c r="J3" s="11" t="s">
        <v>2020</v>
      </c>
      <c r="K3" s="11" t="s">
        <v>766</v>
      </c>
      <c r="L3" s="11" t="n">
        <v>1</v>
      </c>
      <c r="O3" s="11" t="s">
        <v>3045</v>
      </c>
    </row>
    <row r="4" customFormat="false" ht="15" hidden="false" customHeight="false" outlineLevel="0" collapsed="false">
      <c r="A4" s="2" t="s">
        <v>3047</v>
      </c>
      <c r="B4" s="11" t="s">
        <v>2030</v>
      </c>
      <c r="C4" s="11" t="s">
        <v>2878</v>
      </c>
      <c r="D4" s="11" t="s">
        <v>751</v>
      </c>
      <c r="E4" s="11" t="s">
        <v>258</v>
      </c>
      <c r="G4" s="11" t="s">
        <v>985</v>
      </c>
      <c r="H4" s="11" t="s">
        <v>2020</v>
      </c>
      <c r="I4" s="11" t="s">
        <v>985</v>
      </c>
      <c r="J4" s="11" t="s">
        <v>2020</v>
      </c>
      <c r="K4" s="11" t="s">
        <v>766</v>
      </c>
      <c r="L4" s="11" t="n">
        <v>1</v>
      </c>
      <c r="O4" s="11" t="s">
        <v>3045</v>
      </c>
    </row>
    <row r="5" customFormat="false" ht="15" hidden="false" customHeight="false" outlineLevel="0" collapsed="false">
      <c r="A5" s="2" t="s">
        <v>3048</v>
      </c>
      <c r="B5" s="11" t="s">
        <v>2036</v>
      </c>
      <c r="C5" s="11" t="s">
        <v>2880</v>
      </c>
      <c r="D5" s="11" t="s">
        <v>751</v>
      </c>
      <c r="E5" s="11" t="s">
        <v>258</v>
      </c>
      <c r="G5" s="11" t="s">
        <v>985</v>
      </c>
      <c r="H5" s="11" t="s">
        <v>2020</v>
      </c>
      <c r="I5" s="11" t="s">
        <v>985</v>
      </c>
      <c r="J5" s="11" t="s">
        <v>2020</v>
      </c>
      <c r="K5" s="11" t="s">
        <v>766</v>
      </c>
      <c r="L5" s="11" t="n">
        <v>1</v>
      </c>
      <c r="O5" s="11" t="s">
        <v>3045</v>
      </c>
    </row>
    <row r="6" customFormat="false" ht="15" hidden="false" customHeight="false" outlineLevel="0" collapsed="false">
      <c r="A6" s="2" t="s">
        <v>3049</v>
      </c>
      <c r="B6" s="11" t="s">
        <v>2045</v>
      </c>
      <c r="C6" s="11" t="s">
        <v>2882</v>
      </c>
      <c r="D6" s="11" t="s">
        <v>751</v>
      </c>
      <c r="E6" s="11" t="s">
        <v>258</v>
      </c>
      <c r="G6" s="11" t="s">
        <v>985</v>
      </c>
      <c r="H6" s="11" t="s">
        <v>2020</v>
      </c>
      <c r="I6" s="11" t="s">
        <v>985</v>
      </c>
      <c r="J6" s="11" t="s">
        <v>2020</v>
      </c>
      <c r="K6" s="11" t="s">
        <v>766</v>
      </c>
      <c r="L6" s="11" t="n">
        <v>1</v>
      </c>
      <c r="O6" s="11" t="s">
        <v>3045</v>
      </c>
    </row>
    <row r="7" customFormat="false" ht="15" hidden="false" customHeight="false" outlineLevel="0" collapsed="false">
      <c r="A7" s="2" t="s">
        <v>3050</v>
      </c>
      <c r="B7" s="11" t="s">
        <v>2051</v>
      </c>
      <c r="C7" s="11" t="s">
        <v>2884</v>
      </c>
      <c r="D7" s="11" t="s">
        <v>751</v>
      </c>
      <c r="E7" s="11" t="s">
        <v>258</v>
      </c>
      <c r="G7" s="11" t="s">
        <v>985</v>
      </c>
      <c r="H7" s="11" t="s">
        <v>2020</v>
      </c>
      <c r="I7" s="11" t="s">
        <v>985</v>
      </c>
      <c r="J7" s="11" t="s">
        <v>2020</v>
      </c>
      <c r="K7" s="11" t="s">
        <v>766</v>
      </c>
      <c r="L7" s="11" t="n">
        <v>1</v>
      </c>
      <c r="O7" s="11" t="s">
        <v>3045</v>
      </c>
    </row>
    <row r="8" customFormat="false" ht="15" hidden="false" customHeight="false" outlineLevel="0" collapsed="false">
      <c r="A8" s="2" t="s">
        <v>3051</v>
      </c>
      <c r="B8" s="11" t="s">
        <v>2060</v>
      </c>
      <c r="C8" s="11" t="s">
        <v>2886</v>
      </c>
      <c r="D8" s="11" t="s">
        <v>751</v>
      </c>
      <c r="E8" s="11" t="s">
        <v>258</v>
      </c>
      <c r="G8" s="11" t="s">
        <v>985</v>
      </c>
      <c r="H8" s="11" t="s">
        <v>2020</v>
      </c>
      <c r="I8" s="11" t="s">
        <v>985</v>
      </c>
      <c r="J8" s="11" t="s">
        <v>2020</v>
      </c>
      <c r="K8" s="11" t="s">
        <v>766</v>
      </c>
      <c r="L8" s="11" t="n">
        <v>1</v>
      </c>
      <c r="O8" s="11" t="s">
        <v>3045</v>
      </c>
    </row>
    <row r="9" customFormat="false" ht="15" hidden="false" customHeight="false" outlineLevel="0" collapsed="false">
      <c r="A9" s="2" t="s">
        <v>3052</v>
      </c>
      <c r="B9" s="11" t="s">
        <v>2065</v>
      </c>
      <c r="C9" s="11" t="s">
        <v>2888</v>
      </c>
      <c r="D9" s="11" t="s">
        <v>751</v>
      </c>
      <c r="E9" s="11" t="s">
        <v>258</v>
      </c>
      <c r="G9" s="11" t="s">
        <v>985</v>
      </c>
      <c r="H9" s="11" t="s">
        <v>2020</v>
      </c>
      <c r="I9" s="11" t="s">
        <v>985</v>
      </c>
      <c r="J9" s="11" t="s">
        <v>2020</v>
      </c>
      <c r="K9" s="11" t="s">
        <v>766</v>
      </c>
      <c r="L9" s="11" t="n">
        <v>1</v>
      </c>
      <c r="O9" s="11" t="s">
        <v>3045</v>
      </c>
    </row>
    <row r="10" customFormat="false" ht="15" hidden="false" customHeight="false" outlineLevel="0" collapsed="false">
      <c r="A10" s="2" t="s">
        <v>3053</v>
      </c>
      <c r="B10" s="11" t="s">
        <v>2075</v>
      </c>
      <c r="C10" s="11" t="s">
        <v>2890</v>
      </c>
      <c r="D10" s="11" t="s">
        <v>751</v>
      </c>
      <c r="E10" s="11" t="s">
        <v>258</v>
      </c>
      <c r="G10" s="11" t="s">
        <v>985</v>
      </c>
      <c r="H10" s="11" t="s">
        <v>2020</v>
      </c>
      <c r="I10" s="11" t="s">
        <v>985</v>
      </c>
      <c r="J10" s="11" t="s">
        <v>2020</v>
      </c>
      <c r="K10" s="11" t="s">
        <v>766</v>
      </c>
      <c r="L10" s="11" t="n">
        <v>1</v>
      </c>
      <c r="O10" s="11" t="s">
        <v>3045</v>
      </c>
    </row>
    <row r="11" customFormat="false" ht="15" hidden="false" customHeight="false" outlineLevel="0" collapsed="false">
      <c r="A11" s="2" t="s">
        <v>3054</v>
      </c>
      <c r="B11" s="11" t="s">
        <v>2084</v>
      </c>
      <c r="C11" s="11" t="s">
        <v>2892</v>
      </c>
      <c r="D11" s="11" t="s">
        <v>751</v>
      </c>
      <c r="E11" s="11" t="s">
        <v>258</v>
      </c>
      <c r="G11" s="11" t="s">
        <v>985</v>
      </c>
      <c r="H11" s="11" t="s">
        <v>2020</v>
      </c>
      <c r="I11" s="11" t="s">
        <v>985</v>
      </c>
      <c r="J11" s="11" t="s">
        <v>2020</v>
      </c>
      <c r="K11" s="11" t="s">
        <v>766</v>
      </c>
      <c r="L11" s="11" t="n">
        <v>1</v>
      </c>
      <c r="O11" s="11" t="s">
        <v>3045</v>
      </c>
    </row>
    <row r="12" customFormat="false" ht="15" hidden="false" customHeight="false" outlineLevel="0" collapsed="false">
      <c r="A12" s="2" t="s">
        <v>3055</v>
      </c>
      <c r="B12" s="11" t="s">
        <v>2089</v>
      </c>
      <c r="C12" s="11" t="s">
        <v>2892</v>
      </c>
      <c r="D12" s="11" t="s">
        <v>751</v>
      </c>
      <c r="E12" s="11" t="s">
        <v>258</v>
      </c>
      <c r="G12" s="11" t="s">
        <v>985</v>
      </c>
      <c r="H12" s="11" t="s">
        <v>2020</v>
      </c>
      <c r="I12" s="11" t="s">
        <v>985</v>
      </c>
      <c r="J12" s="11" t="s">
        <v>2020</v>
      </c>
      <c r="K12" s="11" t="s">
        <v>766</v>
      </c>
      <c r="L12" s="11" t="n">
        <v>1</v>
      </c>
      <c r="O12" s="11" t="s">
        <v>3045</v>
      </c>
    </row>
    <row r="13" customFormat="false" ht="15" hidden="false" customHeight="false" outlineLevel="0" collapsed="false">
      <c r="A13" s="2" t="s">
        <v>3056</v>
      </c>
      <c r="B13" s="11" t="s">
        <v>2099</v>
      </c>
      <c r="C13" s="11" t="s">
        <v>2894</v>
      </c>
      <c r="D13" s="11" t="s">
        <v>751</v>
      </c>
      <c r="E13" s="11" t="s">
        <v>258</v>
      </c>
      <c r="G13" s="11" t="s">
        <v>985</v>
      </c>
      <c r="H13" s="11" t="s">
        <v>2020</v>
      </c>
      <c r="I13" s="11" t="s">
        <v>985</v>
      </c>
      <c r="J13" s="11" t="s">
        <v>2020</v>
      </c>
      <c r="K13" s="11" t="s">
        <v>766</v>
      </c>
      <c r="L13" s="11" t="n">
        <v>1</v>
      </c>
      <c r="O13" s="11" t="s">
        <v>3045</v>
      </c>
    </row>
    <row r="14" customFormat="false" ht="15" hidden="false" customHeight="false" outlineLevel="0" collapsed="false">
      <c r="A14" s="2" t="s">
        <v>3057</v>
      </c>
      <c r="B14" s="11" t="s">
        <v>2107</v>
      </c>
      <c r="C14" s="11" t="s">
        <v>2896</v>
      </c>
      <c r="D14" s="11" t="s">
        <v>751</v>
      </c>
      <c r="E14" s="11" t="s">
        <v>258</v>
      </c>
      <c r="G14" s="11" t="s">
        <v>985</v>
      </c>
      <c r="H14" s="11" t="s">
        <v>2020</v>
      </c>
      <c r="I14" s="11" t="s">
        <v>985</v>
      </c>
      <c r="J14" s="11" t="s">
        <v>2020</v>
      </c>
      <c r="K14" s="11" t="s">
        <v>766</v>
      </c>
      <c r="L14" s="11" t="n">
        <v>1</v>
      </c>
      <c r="O14" s="11" t="s">
        <v>3045</v>
      </c>
    </row>
    <row r="15" customFormat="false" ht="15" hidden="false" customHeight="false" outlineLevel="0" collapsed="false">
      <c r="A15" s="2" t="s">
        <v>3058</v>
      </c>
      <c r="B15" s="11" t="s">
        <v>2117</v>
      </c>
      <c r="C15" s="11" t="s">
        <v>2899</v>
      </c>
      <c r="D15" s="11" t="s">
        <v>751</v>
      </c>
      <c r="E15" s="11" t="s">
        <v>258</v>
      </c>
      <c r="G15" s="11" t="s">
        <v>985</v>
      </c>
      <c r="H15" s="11" t="s">
        <v>2020</v>
      </c>
      <c r="I15" s="11" t="s">
        <v>985</v>
      </c>
      <c r="J15" s="11" t="s">
        <v>2020</v>
      </c>
      <c r="K15" s="11" t="s">
        <v>766</v>
      </c>
      <c r="L15" s="11" t="n">
        <v>1</v>
      </c>
      <c r="O15" s="11" t="s">
        <v>3045</v>
      </c>
    </row>
    <row r="16" customFormat="false" ht="15" hidden="false" customHeight="false" outlineLevel="0" collapsed="false">
      <c r="A16" s="2" t="s">
        <v>3059</v>
      </c>
      <c r="B16" s="11" t="s">
        <v>2122</v>
      </c>
      <c r="C16" s="11" t="s">
        <v>2901</v>
      </c>
      <c r="D16" s="11" t="s">
        <v>751</v>
      </c>
      <c r="E16" s="11" t="s">
        <v>258</v>
      </c>
      <c r="G16" s="11" t="s">
        <v>985</v>
      </c>
      <c r="H16" s="11" t="s">
        <v>2020</v>
      </c>
      <c r="I16" s="11" t="s">
        <v>985</v>
      </c>
      <c r="J16" s="11" t="s">
        <v>2020</v>
      </c>
      <c r="K16" s="11" t="s">
        <v>766</v>
      </c>
      <c r="L16" s="11" t="n">
        <v>1</v>
      </c>
      <c r="O16" s="11" t="s">
        <v>3045</v>
      </c>
    </row>
    <row r="17" customFormat="false" ht="15" hidden="false" customHeight="false" outlineLevel="0" collapsed="false">
      <c r="A17" s="2" t="s">
        <v>3060</v>
      </c>
      <c r="B17" s="11" t="s">
        <v>2127</v>
      </c>
      <c r="C17" s="11" t="s">
        <v>2903</v>
      </c>
      <c r="D17" s="11" t="s">
        <v>751</v>
      </c>
      <c r="E17" s="11" t="s">
        <v>258</v>
      </c>
      <c r="G17" s="11" t="s">
        <v>985</v>
      </c>
      <c r="H17" s="11" t="s">
        <v>2020</v>
      </c>
      <c r="I17" s="11" t="s">
        <v>985</v>
      </c>
      <c r="J17" s="11" t="s">
        <v>2020</v>
      </c>
      <c r="K17" s="11" t="s">
        <v>766</v>
      </c>
      <c r="L17" s="11" t="n">
        <v>1</v>
      </c>
      <c r="O17" s="11" t="s">
        <v>3045</v>
      </c>
    </row>
    <row r="18" customFormat="false" ht="15" hidden="false" customHeight="false" outlineLevel="0" collapsed="false">
      <c r="A18" s="2" t="s">
        <v>3061</v>
      </c>
      <c r="B18" s="11" t="s">
        <v>2133</v>
      </c>
      <c r="C18" s="11" t="s">
        <v>2906</v>
      </c>
      <c r="D18" s="11" t="s">
        <v>751</v>
      </c>
      <c r="E18" s="11" t="s">
        <v>258</v>
      </c>
      <c r="G18" s="11" t="s">
        <v>985</v>
      </c>
      <c r="H18" s="11" t="s">
        <v>2020</v>
      </c>
      <c r="I18" s="11" t="s">
        <v>985</v>
      </c>
      <c r="J18" s="11" t="s">
        <v>2020</v>
      </c>
      <c r="K18" s="11" t="s">
        <v>766</v>
      </c>
      <c r="L18" s="11" t="n">
        <v>1</v>
      </c>
      <c r="O18" s="11" t="s">
        <v>3045</v>
      </c>
    </row>
    <row r="19" customFormat="false" ht="15" hidden="false" customHeight="false" outlineLevel="0" collapsed="false">
      <c r="A19" s="2" t="s">
        <v>3062</v>
      </c>
      <c r="B19" s="11" t="s">
        <v>2141</v>
      </c>
      <c r="C19" s="11" t="s">
        <v>2908</v>
      </c>
      <c r="D19" s="11" t="s">
        <v>751</v>
      </c>
      <c r="E19" s="11" t="s">
        <v>258</v>
      </c>
      <c r="G19" s="11" t="s">
        <v>985</v>
      </c>
      <c r="H19" s="11" t="s">
        <v>2020</v>
      </c>
      <c r="I19" s="11" t="s">
        <v>985</v>
      </c>
      <c r="J19" s="11" t="s">
        <v>2020</v>
      </c>
      <c r="K19" s="11" t="s">
        <v>766</v>
      </c>
      <c r="L19" s="11" t="n">
        <v>1</v>
      </c>
      <c r="O19" s="11" t="s">
        <v>3045</v>
      </c>
    </row>
    <row r="20" customFormat="false" ht="15" hidden="false" customHeight="false" outlineLevel="0" collapsed="false">
      <c r="A20" s="2" t="s">
        <v>3063</v>
      </c>
      <c r="B20" s="11" t="s">
        <v>2147</v>
      </c>
      <c r="C20" s="11" t="s">
        <v>2910</v>
      </c>
      <c r="D20" s="11" t="s">
        <v>751</v>
      </c>
      <c r="E20" s="11" t="s">
        <v>258</v>
      </c>
      <c r="G20" s="11" t="s">
        <v>985</v>
      </c>
      <c r="H20" s="11" t="s">
        <v>2020</v>
      </c>
      <c r="I20" s="11" t="s">
        <v>985</v>
      </c>
      <c r="J20" s="11" t="s">
        <v>2020</v>
      </c>
      <c r="K20" s="11" t="s">
        <v>766</v>
      </c>
      <c r="L20" s="11" t="n">
        <v>1</v>
      </c>
      <c r="O20" s="11" t="s">
        <v>3045</v>
      </c>
    </row>
    <row r="21" customFormat="false" ht="15" hidden="false" customHeight="false" outlineLevel="0" collapsed="false">
      <c r="A21" s="2" t="s">
        <v>3064</v>
      </c>
      <c r="B21" s="11" t="s">
        <v>2152</v>
      </c>
      <c r="C21" s="11" t="s">
        <v>2912</v>
      </c>
      <c r="D21" s="11" t="s">
        <v>751</v>
      </c>
      <c r="E21" s="11" t="s">
        <v>258</v>
      </c>
      <c r="G21" s="11" t="s">
        <v>985</v>
      </c>
      <c r="H21" s="11" t="s">
        <v>2020</v>
      </c>
      <c r="I21" s="11" t="s">
        <v>985</v>
      </c>
      <c r="J21" s="11" t="s">
        <v>2020</v>
      </c>
      <c r="K21" s="11" t="s">
        <v>766</v>
      </c>
      <c r="L21" s="11" t="n">
        <v>1</v>
      </c>
      <c r="O21" s="11" t="s">
        <v>3045</v>
      </c>
    </row>
    <row r="22" customFormat="false" ht="15" hidden="false" customHeight="false" outlineLevel="0" collapsed="false">
      <c r="A22" s="2" t="s">
        <v>3065</v>
      </c>
      <c r="B22" s="11" t="s">
        <v>2158</v>
      </c>
      <c r="C22" s="11" t="s">
        <v>2914</v>
      </c>
      <c r="D22" s="11" t="s">
        <v>751</v>
      </c>
      <c r="E22" s="11" t="s">
        <v>258</v>
      </c>
      <c r="G22" s="11" t="s">
        <v>985</v>
      </c>
      <c r="H22" s="11" t="s">
        <v>2020</v>
      </c>
      <c r="I22" s="11" t="s">
        <v>985</v>
      </c>
      <c r="J22" s="11" t="s">
        <v>2020</v>
      </c>
      <c r="K22" s="11" t="s">
        <v>766</v>
      </c>
      <c r="L22" s="11" t="n">
        <v>1</v>
      </c>
      <c r="O22" s="11" t="s">
        <v>3045</v>
      </c>
    </row>
    <row r="23" customFormat="false" ht="15" hidden="false" customHeight="false" outlineLevel="0" collapsed="false">
      <c r="A23" s="2" t="s">
        <v>3066</v>
      </c>
      <c r="B23" s="11" t="s">
        <v>2166</v>
      </c>
      <c r="C23" s="11" t="s">
        <v>2917</v>
      </c>
      <c r="D23" s="11" t="s">
        <v>751</v>
      </c>
      <c r="E23" s="11" t="s">
        <v>258</v>
      </c>
      <c r="G23" s="11" t="s">
        <v>985</v>
      </c>
      <c r="H23" s="11" t="s">
        <v>2020</v>
      </c>
      <c r="I23" s="11" t="s">
        <v>985</v>
      </c>
      <c r="J23" s="11" t="s">
        <v>2020</v>
      </c>
      <c r="K23" s="11" t="s">
        <v>766</v>
      </c>
      <c r="L23" s="11" t="n">
        <v>1</v>
      </c>
      <c r="O23" s="11" t="s">
        <v>3045</v>
      </c>
    </row>
    <row r="24" customFormat="false" ht="15" hidden="false" customHeight="false" outlineLevel="0" collapsed="false">
      <c r="A24" s="2" t="s">
        <v>3067</v>
      </c>
      <c r="B24" s="11" t="s">
        <v>2171</v>
      </c>
      <c r="C24" s="11" t="s">
        <v>2919</v>
      </c>
      <c r="D24" s="11" t="s">
        <v>751</v>
      </c>
      <c r="E24" s="11" t="s">
        <v>258</v>
      </c>
      <c r="G24" s="11" t="s">
        <v>985</v>
      </c>
      <c r="H24" s="11" t="s">
        <v>2020</v>
      </c>
      <c r="I24" s="11" t="s">
        <v>985</v>
      </c>
      <c r="J24" s="11" t="s">
        <v>2020</v>
      </c>
      <c r="K24" s="11" t="s">
        <v>766</v>
      </c>
      <c r="L24" s="11" t="n">
        <v>1</v>
      </c>
      <c r="O24" s="11" t="s">
        <v>3045</v>
      </c>
    </row>
    <row r="25" customFormat="false" ht="15" hidden="false" customHeight="false" outlineLevel="0" collapsed="false">
      <c r="A25" s="2" t="s">
        <v>3068</v>
      </c>
      <c r="B25" s="11" t="s">
        <v>1841</v>
      </c>
      <c r="C25" s="11" t="s">
        <v>2921</v>
      </c>
      <c r="D25" s="11" t="s">
        <v>751</v>
      </c>
      <c r="E25" s="11" t="s">
        <v>258</v>
      </c>
      <c r="G25" s="11" t="s">
        <v>985</v>
      </c>
      <c r="H25" s="11" t="s">
        <v>2020</v>
      </c>
      <c r="I25" s="11" t="s">
        <v>985</v>
      </c>
      <c r="J25" s="11" t="s">
        <v>2020</v>
      </c>
      <c r="K25" s="11" t="s">
        <v>766</v>
      </c>
      <c r="L25" s="11" t="n">
        <v>1</v>
      </c>
      <c r="O25" s="11" t="s">
        <v>3045</v>
      </c>
    </row>
    <row r="26" customFormat="false" ht="15" hidden="false" customHeight="false" outlineLevel="0" collapsed="false">
      <c r="A26" s="2" t="s">
        <v>3069</v>
      </c>
      <c r="B26" s="11" t="s">
        <v>1832</v>
      </c>
      <c r="C26" s="11" t="s">
        <v>2923</v>
      </c>
      <c r="D26" s="11" t="s">
        <v>751</v>
      </c>
      <c r="E26" s="11" t="s">
        <v>258</v>
      </c>
      <c r="G26" s="11" t="s">
        <v>985</v>
      </c>
      <c r="H26" s="11" t="s">
        <v>2020</v>
      </c>
      <c r="I26" s="11" t="s">
        <v>985</v>
      </c>
      <c r="J26" s="11" t="s">
        <v>2020</v>
      </c>
      <c r="K26" s="11" t="s">
        <v>766</v>
      </c>
      <c r="L26" s="11" t="n">
        <v>1</v>
      </c>
      <c r="O26" s="11" t="s">
        <v>3045</v>
      </c>
    </row>
    <row r="27" customFormat="false" ht="15" hidden="false" customHeight="false" outlineLevel="0" collapsed="false">
      <c r="A27" s="2" t="s">
        <v>3070</v>
      </c>
      <c r="B27" s="11" t="s">
        <v>2193</v>
      </c>
      <c r="C27" s="11" t="s">
        <v>2925</v>
      </c>
      <c r="D27" s="11" t="s">
        <v>751</v>
      </c>
      <c r="E27" s="11" t="s">
        <v>258</v>
      </c>
      <c r="G27" s="11" t="s">
        <v>985</v>
      </c>
      <c r="H27" s="11" t="s">
        <v>2020</v>
      </c>
      <c r="I27" s="11" t="s">
        <v>985</v>
      </c>
      <c r="J27" s="11" t="s">
        <v>2020</v>
      </c>
      <c r="K27" s="11" t="s">
        <v>766</v>
      </c>
      <c r="L27" s="11" t="n">
        <v>1</v>
      </c>
      <c r="O27" s="11" t="s">
        <v>3045</v>
      </c>
    </row>
    <row r="28" customFormat="false" ht="15" hidden="false" customHeight="false" outlineLevel="0" collapsed="false">
      <c r="A28" s="2" t="s">
        <v>3071</v>
      </c>
      <c r="B28" s="11" t="s">
        <v>2201</v>
      </c>
      <c r="C28" s="11" t="s">
        <v>2927</v>
      </c>
      <c r="D28" s="11" t="s">
        <v>751</v>
      </c>
      <c r="E28" s="11" t="s">
        <v>258</v>
      </c>
      <c r="G28" s="11" t="s">
        <v>985</v>
      </c>
      <c r="H28" s="11" t="s">
        <v>2020</v>
      </c>
      <c r="I28" s="11" t="s">
        <v>985</v>
      </c>
      <c r="J28" s="11" t="s">
        <v>2020</v>
      </c>
      <c r="K28" s="11" t="s">
        <v>766</v>
      </c>
      <c r="L28" s="11" t="n">
        <v>1</v>
      </c>
      <c r="O28" s="11" t="s">
        <v>3045</v>
      </c>
    </row>
    <row r="29" customFormat="false" ht="15" hidden="false" customHeight="false" outlineLevel="0" collapsed="false">
      <c r="A29" s="2" t="s">
        <v>3072</v>
      </c>
      <c r="B29" s="11" t="s">
        <v>2207</v>
      </c>
      <c r="C29" s="11" t="s">
        <v>2929</v>
      </c>
      <c r="D29" s="11" t="s">
        <v>751</v>
      </c>
      <c r="E29" s="11" t="s">
        <v>258</v>
      </c>
      <c r="G29" s="11" t="s">
        <v>985</v>
      </c>
      <c r="H29" s="11" t="s">
        <v>2020</v>
      </c>
      <c r="I29" s="11" t="s">
        <v>985</v>
      </c>
      <c r="J29" s="11" t="s">
        <v>2020</v>
      </c>
      <c r="K29" s="11" t="s">
        <v>766</v>
      </c>
      <c r="L29" s="11" t="n">
        <v>1</v>
      </c>
      <c r="O29" s="11" t="s">
        <v>3045</v>
      </c>
    </row>
    <row r="30" customFormat="false" ht="15" hidden="false" customHeight="false" outlineLevel="0" collapsed="false">
      <c r="A30" s="2" t="s">
        <v>3073</v>
      </c>
      <c r="B30" s="11" t="s">
        <v>1882</v>
      </c>
      <c r="C30" s="11" t="s">
        <v>2931</v>
      </c>
      <c r="D30" s="11" t="s">
        <v>751</v>
      </c>
      <c r="E30" s="11" t="s">
        <v>258</v>
      </c>
      <c r="G30" s="11" t="s">
        <v>985</v>
      </c>
      <c r="H30" s="11" t="s">
        <v>2020</v>
      </c>
      <c r="I30" s="11" t="s">
        <v>985</v>
      </c>
      <c r="J30" s="11" t="s">
        <v>2020</v>
      </c>
      <c r="K30" s="11" t="s">
        <v>766</v>
      </c>
      <c r="L30" s="11" t="n">
        <v>1</v>
      </c>
      <c r="O30" s="11" t="s">
        <v>3045</v>
      </c>
    </row>
    <row r="31" customFormat="false" ht="15" hidden="false" customHeight="false" outlineLevel="0" collapsed="false">
      <c r="A31" s="2" t="s">
        <v>3074</v>
      </c>
      <c r="B31" s="11" t="s">
        <v>2221</v>
      </c>
      <c r="C31" s="11" t="s">
        <v>2933</v>
      </c>
      <c r="D31" s="11" t="s">
        <v>751</v>
      </c>
      <c r="E31" s="11" t="s">
        <v>258</v>
      </c>
      <c r="G31" s="11" t="s">
        <v>985</v>
      </c>
      <c r="H31" s="11" t="s">
        <v>2020</v>
      </c>
      <c r="I31" s="11" t="s">
        <v>985</v>
      </c>
      <c r="J31" s="11" t="s">
        <v>2020</v>
      </c>
      <c r="K31" s="11" t="s">
        <v>766</v>
      </c>
      <c r="L31" s="11" t="n">
        <v>1</v>
      </c>
      <c r="O31" s="11" t="s">
        <v>3045</v>
      </c>
    </row>
    <row r="32" customFormat="false" ht="15" hidden="false" customHeight="false" outlineLevel="0" collapsed="false">
      <c r="A32" s="2" t="s">
        <v>3075</v>
      </c>
      <c r="B32" s="11" t="s">
        <v>2230</v>
      </c>
      <c r="C32" s="11" t="s">
        <v>2935</v>
      </c>
      <c r="D32" s="11" t="s">
        <v>751</v>
      </c>
      <c r="E32" s="11" t="s">
        <v>258</v>
      </c>
      <c r="G32" s="11" t="s">
        <v>985</v>
      </c>
      <c r="H32" s="11" t="s">
        <v>2020</v>
      </c>
      <c r="I32" s="11" t="s">
        <v>985</v>
      </c>
      <c r="J32" s="11" t="s">
        <v>2020</v>
      </c>
      <c r="K32" s="11" t="s">
        <v>766</v>
      </c>
      <c r="L32" s="11" t="n">
        <v>1</v>
      </c>
      <c r="O32" s="11" t="s">
        <v>3045</v>
      </c>
    </row>
    <row r="33" customFormat="false" ht="15" hidden="false" customHeight="false" outlineLevel="0" collapsed="false">
      <c r="A33" s="2" t="s">
        <v>3076</v>
      </c>
      <c r="B33" s="11" t="s">
        <v>2236</v>
      </c>
      <c r="C33" s="11" t="s">
        <v>2937</v>
      </c>
      <c r="D33" s="11" t="s">
        <v>751</v>
      </c>
      <c r="E33" s="11" t="s">
        <v>258</v>
      </c>
      <c r="G33" s="11" t="s">
        <v>985</v>
      </c>
      <c r="H33" s="11" t="s">
        <v>2020</v>
      </c>
      <c r="I33" s="11" t="s">
        <v>985</v>
      </c>
      <c r="J33" s="11" t="s">
        <v>2020</v>
      </c>
      <c r="K33" s="11" t="s">
        <v>766</v>
      </c>
      <c r="L33" s="11" t="n">
        <v>1</v>
      </c>
      <c r="O33" s="11" t="s">
        <v>3045</v>
      </c>
    </row>
    <row r="34" customFormat="false" ht="15" hidden="false" customHeight="false" outlineLevel="0" collapsed="false">
      <c r="A34" s="2" t="s">
        <v>3077</v>
      </c>
      <c r="B34" s="11" t="s">
        <v>2242</v>
      </c>
      <c r="C34" s="11" t="s">
        <v>2939</v>
      </c>
      <c r="D34" s="11" t="s">
        <v>751</v>
      </c>
      <c r="E34" s="11" t="s">
        <v>258</v>
      </c>
      <c r="G34" s="11" t="s">
        <v>985</v>
      </c>
      <c r="H34" s="11" t="s">
        <v>2020</v>
      </c>
      <c r="I34" s="11" t="s">
        <v>985</v>
      </c>
      <c r="J34" s="11" t="s">
        <v>2020</v>
      </c>
      <c r="K34" s="11" t="s">
        <v>766</v>
      </c>
      <c r="L34" s="11" t="n">
        <v>1</v>
      </c>
      <c r="O34" s="11" t="s">
        <v>3045</v>
      </c>
    </row>
    <row r="35" customFormat="false" ht="15" hidden="false" customHeight="false" outlineLevel="0" collapsed="false">
      <c r="A35" s="2" t="s">
        <v>3078</v>
      </c>
      <c r="B35" s="11" t="s">
        <v>2248</v>
      </c>
      <c r="C35" s="11" t="s">
        <v>2941</v>
      </c>
      <c r="D35" s="11" t="s">
        <v>751</v>
      </c>
      <c r="E35" s="11" t="s">
        <v>258</v>
      </c>
      <c r="G35" s="11" t="s">
        <v>985</v>
      </c>
      <c r="H35" s="11" t="s">
        <v>2020</v>
      </c>
      <c r="I35" s="11" t="s">
        <v>985</v>
      </c>
      <c r="J35" s="11" t="s">
        <v>2020</v>
      </c>
      <c r="K35" s="11" t="s">
        <v>766</v>
      </c>
      <c r="L35" s="11" t="n">
        <v>1</v>
      </c>
      <c r="O35" s="11" t="s">
        <v>3045</v>
      </c>
    </row>
    <row r="36" customFormat="false" ht="15" hidden="false" customHeight="false" outlineLevel="0" collapsed="false">
      <c r="A36" s="2" t="s">
        <v>3079</v>
      </c>
      <c r="B36" s="11" t="s">
        <v>2254</v>
      </c>
      <c r="C36" s="11" t="s">
        <v>2943</v>
      </c>
      <c r="D36" s="11" t="s">
        <v>751</v>
      </c>
      <c r="E36" s="11" t="s">
        <v>258</v>
      </c>
      <c r="G36" s="11" t="s">
        <v>985</v>
      </c>
      <c r="H36" s="11" t="s">
        <v>2020</v>
      </c>
      <c r="I36" s="11" t="s">
        <v>985</v>
      </c>
      <c r="J36" s="11" t="s">
        <v>2020</v>
      </c>
      <c r="K36" s="11" t="s">
        <v>766</v>
      </c>
      <c r="L36" s="11" t="n">
        <v>1</v>
      </c>
      <c r="O36" s="11" t="s">
        <v>3045</v>
      </c>
    </row>
    <row r="37" customFormat="false" ht="15" hidden="false" customHeight="false" outlineLevel="0" collapsed="false">
      <c r="A37" s="2" t="s">
        <v>3080</v>
      </c>
      <c r="B37" s="11" t="s">
        <v>2260</v>
      </c>
      <c r="C37" s="11" t="s">
        <v>2945</v>
      </c>
      <c r="D37" s="11" t="s">
        <v>751</v>
      </c>
      <c r="E37" s="11" t="s">
        <v>258</v>
      </c>
      <c r="G37" s="11" t="s">
        <v>985</v>
      </c>
      <c r="H37" s="11" t="s">
        <v>2020</v>
      </c>
      <c r="I37" s="11" t="s">
        <v>985</v>
      </c>
      <c r="J37" s="11" t="s">
        <v>2020</v>
      </c>
      <c r="K37" s="11" t="s">
        <v>766</v>
      </c>
      <c r="L37" s="11" t="n">
        <v>1</v>
      </c>
      <c r="O37" s="11" t="s">
        <v>3045</v>
      </c>
    </row>
    <row r="38" customFormat="false" ht="15" hidden="false" customHeight="false" outlineLevel="0" collapsed="false">
      <c r="A38" s="2" t="s">
        <v>3081</v>
      </c>
      <c r="B38" s="11" t="s">
        <v>2265</v>
      </c>
      <c r="C38" s="11" t="s">
        <v>2947</v>
      </c>
      <c r="D38" s="11" t="s">
        <v>751</v>
      </c>
      <c r="E38" s="11" t="s">
        <v>258</v>
      </c>
      <c r="G38" s="11" t="s">
        <v>985</v>
      </c>
      <c r="H38" s="11" t="s">
        <v>2020</v>
      </c>
      <c r="I38" s="11" t="s">
        <v>985</v>
      </c>
      <c r="J38" s="11" t="s">
        <v>2020</v>
      </c>
      <c r="K38" s="11" t="s">
        <v>766</v>
      </c>
      <c r="L38" s="11" t="n">
        <v>1</v>
      </c>
      <c r="O38" s="11" t="s">
        <v>3045</v>
      </c>
    </row>
    <row r="39" customFormat="false" ht="15" hidden="false" customHeight="false" outlineLevel="0" collapsed="false">
      <c r="A39" s="2" t="s">
        <v>3082</v>
      </c>
      <c r="B39" s="11" t="s">
        <v>2271</v>
      </c>
      <c r="C39" s="11" t="s">
        <v>2949</v>
      </c>
      <c r="D39" s="11" t="s">
        <v>751</v>
      </c>
      <c r="E39" s="11" t="s">
        <v>258</v>
      </c>
      <c r="G39" s="11" t="s">
        <v>985</v>
      </c>
      <c r="H39" s="11" t="s">
        <v>2020</v>
      </c>
      <c r="I39" s="11" t="s">
        <v>985</v>
      </c>
      <c r="J39" s="11" t="s">
        <v>2020</v>
      </c>
      <c r="K39" s="11" t="s">
        <v>766</v>
      </c>
      <c r="L39" s="11" t="n">
        <v>1</v>
      </c>
      <c r="O39" s="11" t="s">
        <v>3045</v>
      </c>
    </row>
    <row r="40" customFormat="false" ht="15" hidden="false" customHeight="false" outlineLevel="0" collapsed="false">
      <c r="A40" s="2" t="s">
        <v>3083</v>
      </c>
      <c r="B40" s="11" t="s">
        <v>2277</v>
      </c>
      <c r="C40" s="11" t="s">
        <v>2951</v>
      </c>
      <c r="D40" s="11" t="s">
        <v>751</v>
      </c>
      <c r="E40" s="11" t="s">
        <v>258</v>
      </c>
      <c r="G40" s="11" t="s">
        <v>985</v>
      </c>
      <c r="H40" s="11" t="s">
        <v>2020</v>
      </c>
      <c r="I40" s="11" t="s">
        <v>985</v>
      </c>
      <c r="J40" s="11" t="s">
        <v>2020</v>
      </c>
      <c r="K40" s="11" t="s">
        <v>766</v>
      </c>
      <c r="L40" s="11" t="n">
        <v>1</v>
      </c>
      <c r="O40" s="11" t="s">
        <v>3045</v>
      </c>
    </row>
    <row r="41" customFormat="false" ht="15" hidden="false" customHeight="false" outlineLevel="0" collapsed="false">
      <c r="A41" s="2" t="s">
        <v>3084</v>
      </c>
      <c r="B41" s="11" t="s">
        <v>1845</v>
      </c>
      <c r="C41" s="11" t="s">
        <v>2953</v>
      </c>
      <c r="D41" s="11" t="s">
        <v>751</v>
      </c>
      <c r="E41" s="11" t="s">
        <v>258</v>
      </c>
      <c r="G41" s="11" t="s">
        <v>985</v>
      </c>
      <c r="H41" s="11" t="s">
        <v>2020</v>
      </c>
      <c r="I41" s="11" t="s">
        <v>985</v>
      </c>
      <c r="J41" s="11" t="s">
        <v>2020</v>
      </c>
      <c r="K41" s="11" t="s">
        <v>766</v>
      </c>
      <c r="L41" s="11" t="n">
        <v>1</v>
      </c>
      <c r="O41" s="11" t="s">
        <v>3045</v>
      </c>
    </row>
    <row r="42" customFormat="false" ht="15" hidden="false" customHeight="false" outlineLevel="0" collapsed="false">
      <c r="A42" s="2" t="s">
        <v>3085</v>
      </c>
      <c r="B42" s="11" t="s">
        <v>2287</v>
      </c>
      <c r="C42" s="11" t="s">
        <v>2955</v>
      </c>
      <c r="D42" s="11" t="s">
        <v>751</v>
      </c>
      <c r="E42" s="11" t="s">
        <v>258</v>
      </c>
      <c r="G42" s="11" t="s">
        <v>985</v>
      </c>
      <c r="H42" s="11" t="s">
        <v>2020</v>
      </c>
      <c r="I42" s="11" t="s">
        <v>985</v>
      </c>
      <c r="J42" s="11" t="s">
        <v>2020</v>
      </c>
      <c r="K42" s="11" t="s">
        <v>766</v>
      </c>
      <c r="L42" s="11" t="n">
        <v>1</v>
      </c>
      <c r="O42" s="11" t="s">
        <v>3045</v>
      </c>
    </row>
    <row r="43" customFormat="false" ht="15" hidden="false" customHeight="false" outlineLevel="0" collapsed="false">
      <c r="A43" s="2" t="s">
        <v>3086</v>
      </c>
      <c r="B43" s="11" t="s">
        <v>2294</v>
      </c>
      <c r="C43" s="11" t="s">
        <v>2957</v>
      </c>
      <c r="D43" s="11" t="s">
        <v>751</v>
      </c>
      <c r="E43" s="11" t="s">
        <v>258</v>
      </c>
      <c r="G43" s="11" t="s">
        <v>985</v>
      </c>
      <c r="H43" s="11" t="s">
        <v>2020</v>
      </c>
      <c r="I43" s="11" t="s">
        <v>985</v>
      </c>
      <c r="J43" s="11" t="s">
        <v>2020</v>
      </c>
      <c r="K43" s="11" t="s">
        <v>766</v>
      </c>
      <c r="L43" s="11" t="n">
        <v>1</v>
      </c>
      <c r="O43" s="11" t="s">
        <v>3045</v>
      </c>
    </row>
    <row r="44" customFormat="false" ht="15" hidden="false" customHeight="false" outlineLevel="0" collapsed="false">
      <c r="A44" s="2" t="s">
        <v>3087</v>
      </c>
      <c r="B44" s="11" t="s">
        <v>2299</v>
      </c>
      <c r="C44" s="11" t="s">
        <v>2959</v>
      </c>
      <c r="D44" s="11" t="s">
        <v>751</v>
      </c>
      <c r="E44" s="11" t="s">
        <v>258</v>
      </c>
      <c r="G44" s="11" t="s">
        <v>985</v>
      </c>
      <c r="H44" s="11" t="s">
        <v>2020</v>
      </c>
      <c r="I44" s="11" t="s">
        <v>985</v>
      </c>
      <c r="J44" s="11" t="s">
        <v>2020</v>
      </c>
      <c r="K44" s="11" t="s">
        <v>766</v>
      </c>
      <c r="L44" s="11" t="n">
        <v>1</v>
      </c>
      <c r="O44" s="11" t="s">
        <v>3045</v>
      </c>
    </row>
    <row r="45" customFormat="false" ht="15" hidden="false" customHeight="false" outlineLevel="0" collapsed="false">
      <c r="A45" s="2" t="s">
        <v>3088</v>
      </c>
      <c r="B45" s="11" t="s">
        <v>2305</v>
      </c>
      <c r="C45" s="11" t="s">
        <v>2961</v>
      </c>
      <c r="D45" s="11" t="s">
        <v>751</v>
      </c>
      <c r="E45" s="11" t="s">
        <v>258</v>
      </c>
      <c r="G45" s="11" t="s">
        <v>985</v>
      </c>
      <c r="H45" s="11" t="s">
        <v>2020</v>
      </c>
      <c r="I45" s="11" t="s">
        <v>985</v>
      </c>
      <c r="J45" s="11" t="s">
        <v>2020</v>
      </c>
      <c r="K45" s="11" t="s">
        <v>766</v>
      </c>
      <c r="L45" s="11" t="n">
        <v>1</v>
      </c>
      <c r="O45" s="11" t="s">
        <v>3045</v>
      </c>
    </row>
    <row r="46" customFormat="false" ht="15" hidden="false" customHeight="false" outlineLevel="0" collapsed="false">
      <c r="A46" s="2" t="s">
        <v>3089</v>
      </c>
      <c r="B46" s="11" t="s">
        <v>2311</v>
      </c>
      <c r="C46" s="11" t="s">
        <v>2963</v>
      </c>
      <c r="D46" s="11" t="s">
        <v>751</v>
      </c>
      <c r="E46" s="11" t="s">
        <v>258</v>
      </c>
      <c r="G46" s="11" t="s">
        <v>985</v>
      </c>
      <c r="H46" s="11" t="s">
        <v>2020</v>
      </c>
      <c r="I46" s="11" t="s">
        <v>985</v>
      </c>
      <c r="J46" s="11" t="s">
        <v>2020</v>
      </c>
      <c r="K46" s="11" t="s">
        <v>766</v>
      </c>
      <c r="L46" s="11" t="n">
        <v>1</v>
      </c>
      <c r="O46" s="11" t="s">
        <v>3045</v>
      </c>
    </row>
    <row r="47" customFormat="false" ht="15" hidden="false" customHeight="false" outlineLevel="0" collapsed="false">
      <c r="A47" s="2" t="s">
        <v>3090</v>
      </c>
      <c r="B47" s="11" t="s">
        <v>2317</v>
      </c>
      <c r="C47" s="11" t="s">
        <v>2965</v>
      </c>
      <c r="D47" s="11" t="s">
        <v>751</v>
      </c>
      <c r="E47" s="11" t="s">
        <v>258</v>
      </c>
      <c r="G47" s="11" t="s">
        <v>985</v>
      </c>
      <c r="H47" s="11" t="s">
        <v>2020</v>
      </c>
      <c r="I47" s="11" t="s">
        <v>985</v>
      </c>
      <c r="J47" s="11" t="s">
        <v>2020</v>
      </c>
      <c r="K47" s="11" t="s">
        <v>766</v>
      </c>
      <c r="L47" s="11" t="n">
        <v>1</v>
      </c>
      <c r="O47" s="11" t="s">
        <v>3045</v>
      </c>
    </row>
    <row r="48" customFormat="false" ht="15" hidden="false" customHeight="false" outlineLevel="0" collapsed="false">
      <c r="A48" s="2" t="s">
        <v>3091</v>
      </c>
      <c r="B48" s="11" t="s">
        <v>2322</v>
      </c>
      <c r="C48" s="11" t="s">
        <v>2967</v>
      </c>
      <c r="D48" s="11" t="s">
        <v>751</v>
      </c>
      <c r="E48" s="11" t="s">
        <v>258</v>
      </c>
      <c r="G48" s="11" t="s">
        <v>985</v>
      </c>
      <c r="H48" s="11" t="s">
        <v>2020</v>
      </c>
      <c r="I48" s="11" t="s">
        <v>985</v>
      </c>
      <c r="J48" s="11" t="s">
        <v>2020</v>
      </c>
      <c r="K48" s="11" t="s">
        <v>766</v>
      </c>
      <c r="L48" s="11" t="n">
        <v>1</v>
      </c>
      <c r="O48" s="11" t="s">
        <v>3045</v>
      </c>
    </row>
    <row r="49" customFormat="false" ht="15" hidden="false" customHeight="false" outlineLevel="0" collapsed="false">
      <c r="A49" s="2" t="s">
        <v>3092</v>
      </c>
      <c r="B49" s="11" t="s">
        <v>2329</v>
      </c>
      <c r="C49" s="11" t="s">
        <v>2969</v>
      </c>
      <c r="D49" s="11" t="s">
        <v>751</v>
      </c>
      <c r="E49" s="11" t="s">
        <v>258</v>
      </c>
      <c r="G49" s="11" t="s">
        <v>985</v>
      </c>
      <c r="H49" s="11" t="s">
        <v>2020</v>
      </c>
      <c r="I49" s="11" t="s">
        <v>985</v>
      </c>
      <c r="J49" s="11" t="s">
        <v>2020</v>
      </c>
      <c r="K49" s="11" t="s">
        <v>766</v>
      </c>
      <c r="L49" s="11" t="n">
        <v>1</v>
      </c>
      <c r="O49" s="11" t="s">
        <v>3045</v>
      </c>
    </row>
    <row r="50" customFormat="false" ht="15" hidden="false" customHeight="false" outlineLevel="0" collapsed="false">
      <c r="A50" s="2" t="s">
        <v>3093</v>
      </c>
      <c r="B50" s="11" t="s">
        <v>2335</v>
      </c>
      <c r="C50" s="11" t="s">
        <v>2971</v>
      </c>
      <c r="D50" s="11" t="s">
        <v>751</v>
      </c>
      <c r="E50" s="11" t="s">
        <v>258</v>
      </c>
      <c r="G50" s="11" t="s">
        <v>985</v>
      </c>
      <c r="H50" s="11" t="s">
        <v>2020</v>
      </c>
      <c r="I50" s="11" t="s">
        <v>985</v>
      </c>
      <c r="J50" s="11" t="s">
        <v>2020</v>
      </c>
      <c r="K50" s="11" t="s">
        <v>766</v>
      </c>
      <c r="L50" s="11" t="n">
        <v>1</v>
      </c>
      <c r="O50" s="11" t="s">
        <v>3045</v>
      </c>
    </row>
    <row r="51" customFormat="false" ht="15" hidden="false" customHeight="false" outlineLevel="0" collapsed="false">
      <c r="A51" s="2" t="s">
        <v>3094</v>
      </c>
      <c r="B51" s="11" t="s">
        <v>2340</v>
      </c>
      <c r="C51" s="11" t="s">
        <v>2973</v>
      </c>
      <c r="D51" s="11" t="s">
        <v>751</v>
      </c>
      <c r="E51" s="11" t="s">
        <v>258</v>
      </c>
      <c r="G51" s="11" t="s">
        <v>985</v>
      </c>
      <c r="H51" s="11" t="s">
        <v>2020</v>
      </c>
      <c r="I51" s="11" t="s">
        <v>985</v>
      </c>
      <c r="J51" s="11" t="s">
        <v>2020</v>
      </c>
      <c r="K51" s="11" t="s">
        <v>766</v>
      </c>
      <c r="L51" s="11" t="n">
        <v>1</v>
      </c>
      <c r="O51" s="11" t="s">
        <v>3045</v>
      </c>
    </row>
    <row r="52" customFormat="false" ht="15" hidden="false" customHeight="false" outlineLevel="0" collapsed="false">
      <c r="A52" s="2" t="s">
        <v>3095</v>
      </c>
      <c r="B52" s="11" t="s">
        <v>2345</v>
      </c>
      <c r="C52" s="11" t="s">
        <v>2349</v>
      </c>
      <c r="D52" s="11" t="s">
        <v>751</v>
      </c>
      <c r="E52" s="11" t="s">
        <v>258</v>
      </c>
      <c r="G52" s="11" t="s">
        <v>985</v>
      </c>
      <c r="H52" s="11" t="s">
        <v>2020</v>
      </c>
      <c r="I52" s="11" t="s">
        <v>985</v>
      </c>
      <c r="J52" s="11" t="s">
        <v>2020</v>
      </c>
      <c r="K52" s="11" t="s">
        <v>766</v>
      </c>
      <c r="L52" s="11" t="n">
        <v>1</v>
      </c>
      <c r="O52" s="11" t="s">
        <v>3045</v>
      </c>
    </row>
    <row r="53" customFormat="false" ht="15" hidden="false" customHeight="false" outlineLevel="0" collapsed="false">
      <c r="A53" s="2" t="s">
        <v>3096</v>
      </c>
      <c r="B53" s="11" t="s">
        <v>2352</v>
      </c>
      <c r="C53" s="11" t="s">
        <v>2356</v>
      </c>
      <c r="D53" s="11" t="s">
        <v>751</v>
      </c>
      <c r="E53" s="11" t="s">
        <v>258</v>
      </c>
      <c r="G53" s="11" t="s">
        <v>985</v>
      </c>
      <c r="H53" s="11" t="s">
        <v>2020</v>
      </c>
      <c r="I53" s="11" t="s">
        <v>985</v>
      </c>
      <c r="J53" s="11" t="s">
        <v>2020</v>
      </c>
      <c r="K53" s="11" t="s">
        <v>766</v>
      </c>
      <c r="L53" s="11" t="n">
        <v>1</v>
      </c>
      <c r="O53" s="11" t="s">
        <v>3045</v>
      </c>
    </row>
    <row r="54" customFormat="false" ht="15" hidden="false" customHeight="false" outlineLevel="0" collapsed="false">
      <c r="A54" s="2" t="s">
        <v>3097</v>
      </c>
      <c r="B54" s="11" t="s">
        <v>2359</v>
      </c>
      <c r="C54" s="11" t="s">
        <v>2363</v>
      </c>
      <c r="D54" s="11" t="s">
        <v>751</v>
      </c>
      <c r="E54" s="11" t="s">
        <v>258</v>
      </c>
      <c r="G54" s="11" t="s">
        <v>985</v>
      </c>
      <c r="H54" s="11" t="s">
        <v>2020</v>
      </c>
      <c r="I54" s="11" t="s">
        <v>985</v>
      </c>
      <c r="J54" s="11" t="s">
        <v>2020</v>
      </c>
      <c r="K54" s="11" t="s">
        <v>766</v>
      </c>
      <c r="L54" s="11" t="n">
        <v>1</v>
      </c>
      <c r="O54" s="11" t="s">
        <v>3045</v>
      </c>
    </row>
    <row r="55" customFormat="false" ht="15" hidden="false" customHeight="false" outlineLevel="0" collapsed="false">
      <c r="A55" s="2" t="s">
        <v>3098</v>
      </c>
      <c r="B55" s="11" t="s">
        <v>2366</v>
      </c>
      <c r="C55" s="11" t="s">
        <v>2370</v>
      </c>
      <c r="D55" s="11" t="s">
        <v>751</v>
      </c>
      <c r="E55" s="11" t="s">
        <v>258</v>
      </c>
      <c r="G55" s="11" t="s">
        <v>985</v>
      </c>
      <c r="H55" s="11" t="s">
        <v>2020</v>
      </c>
      <c r="I55" s="11" t="s">
        <v>985</v>
      </c>
      <c r="J55" s="11" t="s">
        <v>2020</v>
      </c>
      <c r="K55" s="11" t="s">
        <v>766</v>
      </c>
      <c r="L55" s="11" t="n">
        <v>1</v>
      </c>
      <c r="O55" s="11" t="s">
        <v>3045</v>
      </c>
    </row>
    <row r="56" customFormat="false" ht="15" hidden="false" customHeight="false" outlineLevel="0" collapsed="false">
      <c r="A56" s="2" t="s">
        <v>3099</v>
      </c>
      <c r="B56" s="11" t="s">
        <v>2373</v>
      </c>
      <c r="C56" s="11" t="s">
        <v>2377</v>
      </c>
      <c r="D56" s="11" t="s">
        <v>751</v>
      </c>
      <c r="E56" s="11" t="s">
        <v>258</v>
      </c>
      <c r="G56" s="11" t="s">
        <v>985</v>
      </c>
      <c r="H56" s="11" t="s">
        <v>2020</v>
      </c>
      <c r="I56" s="11" t="s">
        <v>985</v>
      </c>
      <c r="J56" s="11" t="s">
        <v>2020</v>
      </c>
      <c r="K56" s="11" t="s">
        <v>766</v>
      </c>
      <c r="L56" s="11" t="n">
        <v>1</v>
      </c>
      <c r="O56" s="11" t="s">
        <v>3045</v>
      </c>
    </row>
    <row r="57" customFormat="false" ht="15" hidden="false" customHeight="false" outlineLevel="0" collapsed="false">
      <c r="A57" s="2" t="s">
        <v>3100</v>
      </c>
      <c r="B57" s="11" t="s">
        <v>2380</v>
      </c>
      <c r="C57" s="11" t="s">
        <v>2384</v>
      </c>
      <c r="D57" s="11" t="s">
        <v>751</v>
      </c>
      <c r="E57" s="11" t="s">
        <v>258</v>
      </c>
      <c r="G57" s="11" t="s">
        <v>985</v>
      </c>
      <c r="H57" s="11" t="s">
        <v>2020</v>
      </c>
      <c r="I57" s="11" t="s">
        <v>985</v>
      </c>
      <c r="J57" s="11" t="s">
        <v>2020</v>
      </c>
      <c r="K57" s="11" t="s">
        <v>766</v>
      </c>
      <c r="L57" s="11" t="n">
        <v>1</v>
      </c>
      <c r="O57" s="11" t="s">
        <v>3045</v>
      </c>
    </row>
    <row r="58" customFormat="false" ht="15" hidden="false" customHeight="false" outlineLevel="0" collapsed="false">
      <c r="A58" s="2" t="s">
        <v>3101</v>
      </c>
      <c r="B58" s="11" t="s">
        <v>2387</v>
      </c>
      <c r="C58" s="11" t="s">
        <v>2391</v>
      </c>
      <c r="D58" s="11" t="s">
        <v>751</v>
      </c>
      <c r="E58" s="11" t="s">
        <v>258</v>
      </c>
      <c r="G58" s="11" t="s">
        <v>985</v>
      </c>
      <c r="H58" s="11" t="s">
        <v>2020</v>
      </c>
      <c r="I58" s="11" t="s">
        <v>985</v>
      </c>
      <c r="J58" s="11" t="s">
        <v>2020</v>
      </c>
      <c r="K58" s="11" t="s">
        <v>766</v>
      </c>
      <c r="L58" s="11" t="n">
        <v>1</v>
      </c>
      <c r="O58" s="11" t="s">
        <v>3045</v>
      </c>
    </row>
    <row r="59" customFormat="false" ht="15" hidden="false" customHeight="false" outlineLevel="0" collapsed="false">
      <c r="A59" s="2" t="s">
        <v>3102</v>
      </c>
      <c r="B59" s="11" t="s">
        <v>2394</v>
      </c>
      <c r="C59" s="11" t="s">
        <v>2398</v>
      </c>
      <c r="D59" s="11" t="s">
        <v>751</v>
      </c>
      <c r="E59" s="11" t="s">
        <v>258</v>
      </c>
      <c r="G59" s="11" t="s">
        <v>985</v>
      </c>
      <c r="H59" s="11" t="s">
        <v>2020</v>
      </c>
      <c r="I59" s="11" t="s">
        <v>985</v>
      </c>
      <c r="J59" s="11" t="s">
        <v>2020</v>
      </c>
      <c r="K59" s="11" t="s">
        <v>766</v>
      </c>
      <c r="L59" s="11" t="n">
        <v>1</v>
      </c>
      <c r="O59" s="11" t="s">
        <v>3045</v>
      </c>
    </row>
    <row r="60" customFormat="false" ht="15" hidden="false" customHeight="false" outlineLevel="0" collapsed="false">
      <c r="A60" s="2" t="s">
        <v>3103</v>
      </c>
      <c r="B60" s="11" t="s">
        <v>2401</v>
      </c>
      <c r="C60" s="11" t="s">
        <v>2405</v>
      </c>
      <c r="D60" s="11" t="s">
        <v>751</v>
      </c>
      <c r="E60" s="11" t="s">
        <v>258</v>
      </c>
      <c r="G60" s="11" t="s">
        <v>985</v>
      </c>
      <c r="H60" s="11" t="s">
        <v>2020</v>
      </c>
      <c r="I60" s="11" t="s">
        <v>985</v>
      </c>
      <c r="J60" s="11" t="s">
        <v>2020</v>
      </c>
      <c r="K60" s="11" t="s">
        <v>766</v>
      </c>
      <c r="L60" s="11" t="n">
        <v>1</v>
      </c>
      <c r="O60" s="11" t="s">
        <v>3045</v>
      </c>
    </row>
    <row r="61" customFormat="false" ht="15" hidden="false" customHeight="false" outlineLevel="0" collapsed="false">
      <c r="A61" s="2" t="s">
        <v>3104</v>
      </c>
      <c r="B61" s="11" t="s">
        <v>2408</v>
      </c>
      <c r="C61" s="11" t="s">
        <v>2412</v>
      </c>
      <c r="D61" s="11" t="s">
        <v>751</v>
      </c>
      <c r="E61" s="11" t="s">
        <v>258</v>
      </c>
      <c r="G61" s="11" t="s">
        <v>985</v>
      </c>
      <c r="H61" s="11" t="s">
        <v>2020</v>
      </c>
      <c r="I61" s="11" t="s">
        <v>985</v>
      </c>
      <c r="J61" s="11" t="s">
        <v>2020</v>
      </c>
      <c r="K61" s="11" t="s">
        <v>766</v>
      </c>
      <c r="L61" s="11" t="n">
        <v>1</v>
      </c>
      <c r="O61" s="11" t="s">
        <v>3045</v>
      </c>
    </row>
    <row r="62" customFormat="false" ht="15" hidden="false" customHeight="false" outlineLevel="0" collapsed="false">
      <c r="A62" s="2" t="s">
        <v>3105</v>
      </c>
      <c r="B62" s="11" t="s">
        <v>2415</v>
      </c>
      <c r="C62" s="11" t="s">
        <v>2419</v>
      </c>
      <c r="D62" s="11" t="s">
        <v>751</v>
      </c>
      <c r="E62" s="11" t="s">
        <v>258</v>
      </c>
      <c r="G62" s="11" t="s">
        <v>985</v>
      </c>
      <c r="H62" s="11" t="s">
        <v>2020</v>
      </c>
      <c r="I62" s="11" t="s">
        <v>985</v>
      </c>
      <c r="J62" s="11" t="s">
        <v>2020</v>
      </c>
      <c r="K62" s="11" t="s">
        <v>766</v>
      </c>
      <c r="L62" s="11" t="n">
        <v>1</v>
      </c>
      <c r="O62" s="11" t="s">
        <v>3045</v>
      </c>
    </row>
    <row r="63" customFormat="false" ht="15" hidden="false" customHeight="false" outlineLevel="0" collapsed="false">
      <c r="A63" s="2" t="s">
        <v>3106</v>
      </c>
      <c r="B63" s="11" t="s">
        <v>2422</v>
      </c>
      <c r="C63" s="11" t="s">
        <v>2426</v>
      </c>
      <c r="D63" s="11" t="s">
        <v>751</v>
      </c>
      <c r="E63" s="11" t="s">
        <v>258</v>
      </c>
      <c r="G63" s="11" t="s">
        <v>985</v>
      </c>
      <c r="H63" s="11" t="s">
        <v>2020</v>
      </c>
      <c r="I63" s="11" t="s">
        <v>985</v>
      </c>
      <c r="J63" s="11" t="s">
        <v>2020</v>
      </c>
      <c r="K63" s="11" t="s">
        <v>766</v>
      </c>
      <c r="L63" s="11" t="n">
        <v>1</v>
      </c>
      <c r="O63" s="11" t="s">
        <v>3045</v>
      </c>
    </row>
    <row r="64" customFormat="false" ht="15" hidden="false" customHeight="false" outlineLevel="0" collapsed="false">
      <c r="A64" s="2" t="s">
        <v>3107</v>
      </c>
      <c r="B64" s="11" t="s">
        <v>2429</v>
      </c>
      <c r="C64" s="11" t="s">
        <v>2433</v>
      </c>
      <c r="D64" s="11" t="s">
        <v>751</v>
      </c>
      <c r="E64" s="11" t="s">
        <v>258</v>
      </c>
      <c r="G64" s="11" t="s">
        <v>985</v>
      </c>
      <c r="H64" s="11" t="s">
        <v>2020</v>
      </c>
      <c r="I64" s="11" t="s">
        <v>985</v>
      </c>
      <c r="J64" s="11" t="s">
        <v>2020</v>
      </c>
      <c r="K64" s="11" t="s">
        <v>766</v>
      </c>
      <c r="L64" s="11" t="n">
        <v>1</v>
      </c>
      <c r="O64" s="11" t="s">
        <v>3045</v>
      </c>
    </row>
    <row r="65" customFormat="false" ht="15" hidden="false" customHeight="false" outlineLevel="0" collapsed="false">
      <c r="A65" s="2" t="s">
        <v>3108</v>
      </c>
      <c r="B65" s="11" t="s">
        <v>2436</v>
      </c>
      <c r="C65" s="11" t="s">
        <v>2440</v>
      </c>
      <c r="D65" s="11" t="s">
        <v>751</v>
      </c>
      <c r="E65" s="11" t="s">
        <v>258</v>
      </c>
      <c r="G65" s="11" t="s">
        <v>985</v>
      </c>
      <c r="H65" s="11" t="s">
        <v>2020</v>
      </c>
      <c r="I65" s="11" t="s">
        <v>985</v>
      </c>
      <c r="J65" s="11" t="s">
        <v>2020</v>
      </c>
      <c r="K65" s="11" t="s">
        <v>766</v>
      </c>
      <c r="L65" s="11" t="n">
        <v>1</v>
      </c>
      <c r="O65" s="11" t="s">
        <v>3045</v>
      </c>
    </row>
    <row r="66" customFormat="false" ht="15" hidden="false" customHeight="false" outlineLevel="0" collapsed="false">
      <c r="A66" s="2" t="s">
        <v>3109</v>
      </c>
      <c r="B66" s="11" t="s">
        <v>2443</v>
      </c>
      <c r="C66" s="11" t="s">
        <v>2447</v>
      </c>
      <c r="D66" s="11" t="s">
        <v>751</v>
      </c>
      <c r="E66" s="11" t="s">
        <v>258</v>
      </c>
      <c r="G66" s="11" t="s">
        <v>985</v>
      </c>
      <c r="H66" s="11" t="s">
        <v>2020</v>
      </c>
      <c r="I66" s="11" t="s">
        <v>985</v>
      </c>
      <c r="J66" s="11" t="s">
        <v>2020</v>
      </c>
      <c r="K66" s="11" t="s">
        <v>766</v>
      </c>
      <c r="L66" s="11" t="n">
        <v>1</v>
      </c>
      <c r="O66" s="11" t="s">
        <v>3045</v>
      </c>
    </row>
    <row r="67" customFormat="false" ht="15" hidden="false" customHeight="false" outlineLevel="0" collapsed="false">
      <c r="A67" s="2" t="s">
        <v>3110</v>
      </c>
      <c r="B67" s="11" t="s">
        <v>2450</v>
      </c>
      <c r="C67" s="11" t="s">
        <v>2990</v>
      </c>
      <c r="D67" s="11" t="s">
        <v>751</v>
      </c>
      <c r="E67" s="11" t="s">
        <v>258</v>
      </c>
      <c r="G67" s="11" t="s">
        <v>985</v>
      </c>
      <c r="H67" s="11" t="s">
        <v>2020</v>
      </c>
      <c r="I67" s="11" t="s">
        <v>985</v>
      </c>
      <c r="J67" s="11" t="s">
        <v>2020</v>
      </c>
      <c r="K67" s="11" t="s">
        <v>766</v>
      </c>
      <c r="L67" s="11" t="n">
        <v>1</v>
      </c>
      <c r="O67" s="11" t="s">
        <v>3045</v>
      </c>
    </row>
    <row r="68" customFormat="false" ht="15" hidden="false" customHeight="false" outlineLevel="0" collapsed="false">
      <c r="A68" s="2" t="s">
        <v>3111</v>
      </c>
      <c r="B68" s="11" t="s">
        <v>2456</v>
      </c>
      <c r="C68" s="11" t="s">
        <v>2992</v>
      </c>
      <c r="D68" s="11" t="s">
        <v>751</v>
      </c>
      <c r="E68" s="11" t="s">
        <v>258</v>
      </c>
      <c r="G68" s="11" t="s">
        <v>985</v>
      </c>
      <c r="H68" s="11" t="s">
        <v>2020</v>
      </c>
      <c r="I68" s="11" t="s">
        <v>985</v>
      </c>
      <c r="J68" s="11" t="s">
        <v>2020</v>
      </c>
      <c r="K68" s="11" t="s">
        <v>766</v>
      </c>
      <c r="L68" s="11" t="n">
        <v>1</v>
      </c>
      <c r="O68" s="11" t="s">
        <v>3045</v>
      </c>
    </row>
    <row r="69" customFormat="false" ht="15" hidden="false" customHeight="false" outlineLevel="0" collapsed="false">
      <c r="A69" s="2" t="s">
        <v>3112</v>
      </c>
      <c r="B69" s="11" t="s">
        <v>2462</v>
      </c>
      <c r="C69" s="11" t="s">
        <v>2994</v>
      </c>
      <c r="D69" s="11" t="s">
        <v>751</v>
      </c>
      <c r="E69" s="11" t="s">
        <v>258</v>
      </c>
      <c r="G69" s="11" t="s">
        <v>985</v>
      </c>
      <c r="H69" s="11" t="s">
        <v>2020</v>
      </c>
      <c r="I69" s="11" t="s">
        <v>985</v>
      </c>
      <c r="J69" s="11" t="s">
        <v>2020</v>
      </c>
      <c r="K69" s="11" t="s">
        <v>766</v>
      </c>
      <c r="L69" s="11" t="n">
        <v>1</v>
      </c>
      <c r="O69" s="11" t="s">
        <v>3045</v>
      </c>
    </row>
    <row r="70" customFormat="false" ht="15" hidden="false" customHeight="false" outlineLevel="0" collapsed="false">
      <c r="A70" s="2" t="s">
        <v>3113</v>
      </c>
      <c r="B70" s="11" t="s">
        <v>2467</v>
      </c>
      <c r="C70" s="11" t="s">
        <v>2996</v>
      </c>
      <c r="D70" s="11" t="s">
        <v>751</v>
      </c>
      <c r="E70" s="11" t="s">
        <v>258</v>
      </c>
      <c r="G70" s="11" t="s">
        <v>985</v>
      </c>
      <c r="H70" s="11" t="s">
        <v>2020</v>
      </c>
      <c r="I70" s="11" t="s">
        <v>985</v>
      </c>
      <c r="J70" s="11" t="s">
        <v>2020</v>
      </c>
      <c r="K70" s="11" t="s">
        <v>766</v>
      </c>
      <c r="L70" s="11" t="n">
        <v>1</v>
      </c>
      <c r="O70" s="11" t="s">
        <v>3045</v>
      </c>
    </row>
    <row r="71" customFormat="false" ht="15" hidden="false" customHeight="false" outlineLevel="0" collapsed="false">
      <c r="A71" s="2" t="s">
        <v>3114</v>
      </c>
      <c r="B71" s="11" t="s">
        <v>2473</v>
      </c>
      <c r="C71" s="11" t="s">
        <v>2998</v>
      </c>
      <c r="D71" s="11" t="s">
        <v>751</v>
      </c>
      <c r="E71" s="11" t="s">
        <v>258</v>
      </c>
      <c r="G71" s="11" t="s">
        <v>985</v>
      </c>
      <c r="H71" s="11" t="s">
        <v>2020</v>
      </c>
      <c r="I71" s="11" t="s">
        <v>985</v>
      </c>
      <c r="J71" s="11" t="s">
        <v>2020</v>
      </c>
      <c r="K71" s="11" t="s">
        <v>766</v>
      </c>
      <c r="L71" s="11" t="n">
        <v>1</v>
      </c>
      <c r="O71" s="11" t="s">
        <v>3045</v>
      </c>
    </row>
    <row r="72" customFormat="false" ht="15" hidden="false" customHeight="false" outlineLevel="0" collapsed="false">
      <c r="A72" s="2" t="s">
        <v>3115</v>
      </c>
      <c r="B72" s="11" t="s">
        <v>2479</v>
      </c>
      <c r="C72" s="11" t="s">
        <v>3000</v>
      </c>
      <c r="D72" s="11" t="s">
        <v>751</v>
      </c>
      <c r="E72" s="11" t="s">
        <v>258</v>
      </c>
      <c r="G72" s="11" t="s">
        <v>985</v>
      </c>
      <c r="H72" s="11" t="s">
        <v>2020</v>
      </c>
      <c r="I72" s="11" t="s">
        <v>985</v>
      </c>
      <c r="J72" s="11" t="s">
        <v>2020</v>
      </c>
      <c r="K72" s="11" t="s">
        <v>766</v>
      </c>
      <c r="L72" s="11" t="n">
        <v>1</v>
      </c>
      <c r="O72" s="11" t="s">
        <v>3045</v>
      </c>
    </row>
    <row r="73" customFormat="false" ht="15" hidden="false" customHeight="false" outlineLevel="0" collapsed="false">
      <c r="A73" s="2" t="s">
        <v>3116</v>
      </c>
      <c r="B73" s="11" t="s">
        <v>2485</v>
      </c>
      <c r="C73" s="11" t="s">
        <v>3003</v>
      </c>
      <c r="D73" s="11" t="s">
        <v>751</v>
      </c>
      <c r="E73" s="11" t="s">
        <v>258</v>
      </c>
      <c r="G73" s="11" t="s">
        <v>985</v>
      </c>
      <c r="H73" s="11" t="s">
        <v>2020</v>
      </c>
      <c r="I73" s="11" t="s">
        <v>985</v>
      </c>
      <c r="J73" s="11" t="s">
        <v>2020</v>
      </c>
      <c r="K73" s="11" t="s">
        <v>766</v>
      </c>
      <c r="L73" s="11" t="n">
        <v>1</v>
      </c>
      <c r="O73" s="11" t="s">
        <v>3045</v>
      </c>
    </row>
    <row r="74" customFormat="false" ht="15" hidden="false" customHeight="false" outlineLevel="0" collapsed="false">
      <c r="A74" s="2" t="s">
        <v>3117</v>
      </c>
      <c r="B74" s="11" t="s">
        <v>2491</v>
      </c>
      <c r="C74" s="11" t="s">
        <v>3005</v>
      </c>
      <c r="D74" s="11" t="s">
        <v>751</v>
      </c>
      <c r="E74" s="11" t="s">
        <v>258</v>
      </c>
      <c r="G74" s="11" t="s">
        <v>985</v>
      </c>
      <c r="H74" s="11" t="s">
        <v>2020</v>
      </c>
      <c r="I74" s="11" t="s">
        <v>985</v>
      </c>
      <c r="J74" s="11" t="s">
        <v>2020</v>
      </c>
      <c r="K74" s="11" t="s">
        <v>766</v>
      </c>
      <c r="L74" s="11" t="n">
        <v>1</v>
      </c>
      <c r="O74" s="11" t="s">
        <v>3045</v>
      </c>
    </row>
    <row r="75" customFormat="false" ht="15" hidden="false" customHeight="false" outlineLevel="0" collapsed="false">
      <c r="A75" s="2" t="s">
        <v>3118</v>
      </c>
      <c r="B75" s="11" t="s">
        <v>2497</v>
      </c>
      <c r="C75" s="11" t="s">
        <v>3007</v>
      </c>
      <c r="D75" s="11" t="s">
        <v>751</v>
      </c>
      <c r="E75" s="11" t="s">
        <v>258</v>
      </c>
      <c r="G75" s="11" t="s">
        <v>985</v>
      </c>
      <c r="H75" s="11" t="s">
        <v>2020</v>
      </c>
      <c r="I75" s="11" t="s">
        <v>985</v>
      </c>
      <c r="J75" s="11" t="s">
        <v>2020</v>
      </c>
      <c r="K75" s="11" t="s">
        <v>766</v>
      </c>
      <c r="L75" s="11" t="n">
        <v>1</v>
      </c>
      <c r="O75" s="11" t="s">
        <v>3045</v>
      </c>
    </row>
    <row r="76" customFormat="false" ht="15" hidden="false" customHeight="false" outlineLevel="0" collapsed="false">
      <c r="A76" s="2" t="s">
        <v>3119</v>
      </c>
      <c r="B76" s="11" t="s">
        <v>2503</v>
      </c>
      <c r="C76" s="11" t="s">
        <v>3009</v>
      </c>
      <c r="D76" s="11" t="s">
        <v>751</v>
      </c>
      <c r="E76" s="11" t="s">
        <v>258</v>
      </c>
      <c r="G76" s="11" t="s">
        <v>985</v>
      </c>
      <c r="H76" s="11" t="s">
        <v>2020</v>
      </c>
      <c r="I76" s="11" t="s">
        <v>985</v>
      </c>
      <c r="J76" s="11" t="s">
        <v>2020</v>
      </c>
      <c r="K76" s="11" t="s">
        <v>766</v>
      </c>
      <c r="L76" s="11" t="n">
        <v>1</v>
      </c>
      <c r="O76" s="11" t="s">
        <v>3045</v>
      </c>
    </row>
    <row r="77" customFormat="false" ht="15" hidden="false" customHeight="false" outlineLevel="0" collapsed="false">
      <c r="A77" s="2" t="s">
        <v>3120</v>
      </c>
      <c r="B77" s="11" t="s">
        <v>2508</v>
      </c>
      <c r="C77" s="11" t="s">
        <v>3011</v>
      </c>
      <c r="D77" s="11" t="s">
        <v>751</v>
      </c>
      <c r="E77" s="11" t="s">
        <v>258</v>
      </c>
      <c r="G77" s="11" t="s">
        <v>985</v>
      </c>
      <c r="H77" s="11" t="s">
        <v>2020</v>
      </c>
      <c r="I77" s="11" t="s">
        <v>985</v>
      </c>
      <c r="J77" s="11" t="s">
        <v>2020</v>
      </c>
      <c r="K77" s="11" t="s">
        <v>766</v>
      </c>
      <c r="L77" s="11" t="n">
        <v>1</v>
      </c>
      <c r="O77" s="11" t="s">
        <v>3045</v>
      </c>
    </row>
    <row r="78" customFormat="false" ht="15" hidden="false" customHeight="false" outlineLevel="0" collapsed="false">
      <c r="A78" s="2" t="s">
        <v>3121</v>
      </c>
      <c r="B78" s="11" t="s">
        <v>2514</v>
      </c>
      <c r="C78" s="11" t="s">
        <v>3013</v>
      </c>
      <c r="D78" s="11" t="s">
        <v>751</v>
      </c>
      <c r="E78" s="11" t="s">
        <v>258</v>
      </c>
      <c r="G78" s="11" t="s">
        <v>985</v>
      </c>
      <c r="H78" s="11" t="s">
        <v>2020</v>
      </c>
      <c r="I78" s="11" t="s">
        <v>985</v>
      </c>
      <c r="J78" s="11" t="s">
        <v>2020</v>
      </c>
      <c r="K78" s="11" t="s">
        <v>766</v>
      </c>
      <c r="L78" s="11" t="n">
        <v>1</v>
      </c>
      <c r="O78" s="11" t="s">
        <v>3045</v>
      </c>
    </row>
  </sheetData>
  <autoFilter ref="A1:O78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78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78" type="list">
      <formula1>bron!$B$2:$B$2000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78" type="list">
      <formula1>Keuzelijsten!$M$5:$M$60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78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7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P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40"/>
    <col collapsed="false" customWidth="true" hidden="false" outlineLevel="0" max="11" min="7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556</v>
      </c>
      <c r="B1" s="13" t="s">
        <v>469</v>
      </c>
      <c r="C1" s="13" t="s">
        <v>386</v>
      </c>
      <c r="D1" s="13" t="s">
        <v>557</v>
      </c>
      <c r="E1" s="14" t="s">
        <v>558</v>
      </c>
      <c r="F1" s="14" t="s">
        <v>410</v>
      </c>
      <c r="G1" s="13" t="s">
        <v>554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3122</v>
      </c>
      <c r="B2" s="11" t="s">
        <v>2008</v>
      </c>
      <c r="C2" s="11" t="s">
        <v>1354</v>
      </c>
      <c r="D2" s="11" t="s">
        <v>750</v>
      </c>
      <c r="E2" s="11" t="s">
        <v>752</v>
      </c>
      <c r="G2" s="11" t="s">
        <v>258</v>
      </c>
      <c r="H2" s="11" t="s">
        <v>1144</v>
      </c>
      <c r="I2" s="11" t="s">
        <v>1145</v>
      </c>
      <c r="J2" s="11" t="s">
        <v>1144</v>
      </c>
      <c r="K2" s="11" t="s">
        <v>1145</v>
      </c>
      <c r="L2" s="11" t="s">
        <v>766</v>
      </c>
      <c r="M2" s="11" t="n">
        <v>1</v>
      </c>
      <c r="P2" s="11" t="s">
        <v>3123</v>
      </c>
    </row>
    <row r="3" customFormat="false" ht="15" hidden="false" customHeight="false" outlineLevel="0" collapsed="false">
      <c r="A3" s="2" t="s">
        <v>3124</v>
      </c>
      <c r="B3" s="11" t="s">
        <v>2008</v>
      </c>
      <c r="C3" s="11" t="s">
        <v>1364</v>
      </c>
      <c r="D3" s="11" t="s">
        <v>776</v>
      </c>
      <c r="E3" s="11" t="s">
        <v>752</v>
      </c>
      <c r="G3" s="11" t="s">
        <v>272</v>
      </c>
      <c r="H3" s="11" t="s">
        <v>1144</v>
      </c>
      <c r="I3" s="11" t="s">
        <v>1145</v>
      </c>
      <c r="J3" s="11" t="s">
        <v>1144</v>
      </c>
      <c r="K3" s="11" t="s">
        <v>1145</v>
      </c>
      <c r="L3" s="11" t="s">
        <v>766</v>
      </c>
      <c r="M3" s="11" t="n">
        <v>1</v>
      </c>
      <c r="P3" s="11" t="s">
        <v>3123</v>
      </c>
    </row>
    <row r="4" customFormat="false" ht="15" hidden="false" customHeight="false" outlineLevel="0" collapsed="false">
      <c r="A4" s="2" t="s">
        <v>3125</v>
      </c>
      <c r="B4" s="11" t="s">
        <v>2008</v>
      </c>
      <c r="C4" s="11" t="s">
        <v>1395</v>
      </c>
      <c r="D4" s="11" t="s">
        <v>776</v>
      </c>
      <c r="E4" s="11" t="s">
        <v>779</v>
      </c>
      <c r="G4" s="11" t="s">
        <v>272</v>
      </c>
      <c r="H4" s="11" t="s">
        <v>1144</v>
      </c>
      <c r="I4" s="11" t="s">
        <v>1145</v>
      </c>
      <c r="J4" s="11" t="s">
        <v>1144</v>
      </c>
      <c r="K4" s="11" t="s">
        <v>1145</v>
      </c>
      <c r="L4" s="11" t="s">
        <v>766</v>
      </c>
      <c r="M4" s="11" t="n">
        <v>1</v>
      </c>
      <c r="P4" s="11" t="s">
        <v>3123</v>
      </c>
    </row>
    <row r="5" customFormat="false" ht="15" hidden="false" customHeight="false" outlineLevel="0" collapsed="false">
      <c r="A5" s="2" t="s">
        <v>3126</v>
      </c>
      <c r="B5" s="11" t="s">
        <v>2023</v>
      </c>
      <c r="C5" s="11" t="s">
        <v>1354</v>
      </c>
      <c r="D5" s="11" t="s">
        <v>750</v>
      </c>
      <c r="E5" s="11" t="s">
        <v>752</v>
      </c>
      <c r="G5" s="11" t="s">
        <v>258</v>
      </c>
      <c r="H5" s="11" t="s">
        <v>1144</v>
      </c>
      <c r="I5" s="11" t="s">
        <v>1145</v>
      </c>
      <c r="J5" s="11" t="s">
        <v>1144</v>
      </c>
      <c r="K5" s="11" t="s">
        <v>1145</v>
      </c>
      <c r="L5" s="11" t="s">
        <v>766</v>
      </c>
      <c r="M5" s="11" t="n">
        <v>1</v>
      </c>
      <c r="P5" s="11" t="s">
        <v>3123</v>
      </c>
    </row>
    <row r="6" customFormat="false" ht="15" hidden="false" customHeight="false" outlineLevel="0" collapsed="false">
      <c r="A6" s="2" t="s">
        <v>3127</v>
      </c>
      <c r="B6" s="11" t="s">
        <v>2023</v>
      </c>
      <c r="C6" s="11" t="s">
        <v>1364</v>
      </c>
      <c r="D6" s="11" t="s">
        <v>776</v>
      </c>
      <c r="E6" s="11" t="s">
        <v>752</v>
      </c>
      <c r="G6" s="11" t="s">
        <v>272</v>
      </c>
      <c r="H6" s="11" t="s">
        <v>1144</v>
      </c>
      <c r="I6" s="11" t="s">
        <v>1145</v>
      </c>
      <c r="J6" s="11" t="s">
        <v>1144</v>
      </c>
      <c r="K6" s="11" t="s">
        <v>1145</v>
      </c>
      <c r="L6" s="11" t="s">
        <v>766</v>
      </c>
      <c r="M6" s="11" t="n">
        <v>1</v>
      </c>
      <c r="P6" s="11" t="s">
        <v>3123</v>
      </c>
    </row>
    <row r="7" customFormat="false" ht="15" hidden="false" customHeight="false" outlineLevel="0" collapsed="false">
      <c r="A7" s="2" t="s">
        <v>3128</v>
      </c>
      <c r="B7" s="11" t="s">
        <v>2030</v>
      </c>
      <c r="C7" s="11" t="s">
        <v>1354</v>
      </c>
      <c r="D7" s="11" t="s">
        <v>750</v>
      </c>
      <c r="E7" s="11" t="s">
        <v>752</v>
      </c>
      <c r="G7" s="11" t="s">
        <v>258</v>
      </c>
      <c r="H7" s="11" t="s">
        <v>1144</v>
      </c>
      <c r="I7" s="11" t="s">
        <v>1145</v>
      </c>
      <c r="J7" s="11" t="s">
        <v>1144</v>
      </c>
      <c r="K7" s="11" t="s">
        <v>1145</v>
      </c>
      <c r="L7" s="11" t="s">
        <v>766</v>
      </c>
      <c r="M7" s="11" t="n">
        <v>1</v>
      </c>
      <c r="P7" s="11" t="s">
        <v>3123</v>
      </c>
    </row>
    <row r="8" customFormat="false" ht="15" hidden="false" customHeight="false" outlineLevel="0" collapsed="false">
      <c r="A8" s="2" t="s">
        <v>3129</v>
      </c>
      <c r="B8" s="11" t="s">
        <v>2030</v>
      </c>
      <c r="C8" s="11" t="s">
        <v>1364</v>
      </c>
      <c r="D8" s="11" t="s">
        <v>776</v>
      </c>
      <c r="E8" s="11" t="s">
        <v>752</v>
      </c>
      <c r="G8" s="11" t="s">
        <v>272</v>
      </c>
      <c r="H8" s="11" t="s">
        <v>1144</v>
      </c>
      <c r="I8" s="11" t="s">
        <v>1145</v>
      </c>
      <c r="J8" s="11" t="s">
        <v>1144</v>
      </c>
      <c r="K8" s="11" t="s">
        <v>1145</v>
      </c>
      <c r="L8" s="11" t="s">
        <v>766</v>
      </c>
      <c r="M8" s="11" t="n">
        <v>1</v>
      </c>
      <c r="P8" s="11" t="s">
        <v>3123</v>
      </c>
    </row>
    <row r="9" customFormat="false" ht="15" hidden="false" customHeight="false" outlineLevel="0" collapsed="false">
      <c r="A9" s="2" t="s">
        <v>3130</v>
      </c>
      <c r="B9" s="11" t="s">
        <v>2036</v>
      </c>
      <c r="C9" s="11" t="s">
        <v>1395</v>
      </c>
      <c r="D9" s="11" t="s">
        <v>750</v>
      </c>
      <c r="E9" s="11" t="s">
        <v>779</v>
      </c>
      <c r="G9" s="11" t="s">
        <v>258</v>
      </c>
      <c r="H9" s="11" t="s">
        <v>1144</v>
      </c>
      <c r="I9" s="11" t="s">
        <v>1145</v>
      </c>
      <c r="J9" s="11" t="s">
        <v>1144</v>
      </c>
      <c r="K9" s="11" t="s">
        <v>1145</v>
      </c>
      <c r="L9" s="11" t="s">
        <v>766</v>
      </c>
      <c r="M9" s="11" t="n">
        <v>1</v>
      </c>
      <c r="P9" s="11" t="s">
        <v>3123</v>
      </c>
    </row>
    <row r="10" customFormat="false" ht="15" hidden="false" customHeight="false" outlineLevel="0" collapsed="false">
      <c r="A10" s="2" t="s">
        <v>3131</v>
      </c>
      <c r="B10" s="11" t="s">
        <v>2036</v>
      </c>
      <c r="C10" s="11" t="s">
        <v>1401</v>
      </c>
      <c r="D10" s="11" t="s">
        <v>776</v>
      </c>
      <c r="E10" s="11" t="s">
        <v>779</v>
      </c>
      <c r="G10" s="11" t="s">
        <v>272</v>
      </c>
      <c r="H10" s="11" t="s">
        <v>1144</v>
      </c>
      <c r="I10" s="11" t="s">
        <v>1145</v>
      </c>
      <c r="J10" s="11" t="s">
        <v>1144</v>
      </c>
      <c r="K10" s="11" t="s">
        <v>1145</v>
      </c>
      <c r="L10" s="11" t="s">
        <v>766</v>
      </c>
      <c r="M10" s="11" t="n">
        <v>1</v>
      </c>
      <c r="P10" s="11" t="s">
        <v>3123</v>
      </c>
    </row>
    <row r="11" customFormat="false" ht="15" hidden="false" customHeight="false" outlineLevel="0" collapsed="false">
      <c r="A11" s="2" t="s">
        <v>3132</v>
      </c>
      <c r="B11" s="11" t="s">
        <v>2045</v>
      </c>
      <c r="C11" s="11" t="s">
        <v>1354</v>
      </c>
      <c r="D11" s="11" t="s">
        <v>750</v>
      </c>
      <c r="E11" s="11" t="s">
        <v>752</v>
      </c>
      <c r="G11" s="11" t="s">
        <v>258</v>
      </c>
      <c r="H11" s="11" t="s">
        <v>1144</v>
      </c>
      <c r="I11" s="11" t="s">
        <v>1145</v>
      </c>
      <c r="J11" s="11" t="s">
        <v>1144</v>
      </c>
      <c r="K11" s="11" t="s">
        <v>1145</v>
      </c>
      <c r="L11" s="11" t="s">
        <v>766</v>
      </c>
      <c r="M11" s="11" t="n">
        <v>1</v>
      </c>
      <c r="P11" s="11" t="s">
        <v>3123</v>
      </c>
    </row>
    <row r="12" customFormat="false" ht="15" hidden="false" customHeight="false" outlineLevel="0" collapsed="false">
      <c r="A12" s="2" t="s">
        <v>3133</v>
      </c>
      <c r="B12" s="11" t="s">
        <v>2051</v>
      </c>
      <c r="C12" s="11" t="s">
        <v>1395</v>
      </c>
      <c r="D12" s="11" t="s">
        <v>750</v>
      </c>
      <c r="E12" s="11" t="s">
        <v>779</v>
      </c>
      <c r="G12" s="11" t="s">
        <v>258</v>
      </c>
      <c r="H12" s="11" t="s">
        <v>1144</v>
      </c>
      <c r="I12" s="11" t="s">
        <v>1145</v>
      </c>
      <c r="J12" s="11" t="s">
        <v>1144</v>
      </c>
      <c r="K12" s="11" t="s">
        <v>1145</v>
      </c>
      <c r="L12" s="11" t="s">
        <v>766</v>
      </c>
      <c r="M12" s="11" t="n">
        <v>1</v>
      </c>
      <c r="P12" s="11" t="s">
        <v>3123</v>
      </c>
    </row>
    <row r="13" customFormat="false" ht="15" hidden="false" customHeight="false" outlineLevel="0" collapsed="false">
      <c r="A13" s="2" t="s">
        <v>3134</v>
      </c>
      <c r="B13" s="11" t="s">
        <v>2051</v>
      </c>
      <c r="C13" s="11" t="s">
        <v>1401</v>
      </c>
      <c r="D13" s="11" t="s">
        <v>776</v>
      </c>
      <c r="E13" s="11" t="s">
        <v>779</v>
      </c>
      <c r="G13" s="11" t="s">
        <v>272</v>
      </c>
      <c r="H13" s="11" t="s">
        <v>1144</v>
      </c>
      <c r="I13" s="11" t="s">
        <v>1145</v>
      </c>
      <c r="J13" s="11" t="s">
        <v>1144</v>
      </c>
      <c r="K13" s="11" t="s">
        <v>1145</v>
      </c>
      <c r="L13" s="11" t="s">
        <v>766</v>
      </c>
      <c r="M13" s="11" t="n">
        <v>1</v>
      </c>
      <c r="P13" s="11" t="s">
        <v>3123</v>
      </c>
    </row>
    <row r="14" customFormat="false" ht="15" hidden="false" customHeight="false" outlineLevel="0" collapsed="false">
      <c r="A14" s="2" t="s">
        <v>3135</v>
      </c>
      <c r="B14" s="11" t="s">
        <v>2060</v>
      </c>
      <c r="C14" s="11" t="s">
        <v>1354</v>
      </c>
      <c r="D14" s="11" t="s">
        <v>750</v>
      </c>
      <c r="E14" s="11" t="s">
        <v>752</v>
      </c>
      <c r="G14" s="11" t="s">
        <v>258</v>
      </c>
      <c r="H14" s="11" t="s">
        <v>1144</v>
      </c>
      <c r="I14" s="11" t="s">
        <v>1145</v>
      </c>
      <c r="J14" s="11" t="s">
        <v>1144</v>
      </c>
      <c r="K14" s="11" t="s">
        <v>1145</v>
      </c>
      <c r="L14" s="11" t="s">
        <v>766</v>
      </c>
      <c r="M14" s="11" t="n">
        <v>1</v>
      </c>
      <c r="P14" s="11" t="s">
        <v>3123</v>
      </c>
    </row>
    <row r="15" customFormat="false" ht="15" hidden="false" customHeight="false" outlineLevel="0" collapsed="false">
      <c r="A15" s="2" t="s">
        <v>3136</v>
      </c>
      <c r="B15" s="11" t="s">
        <v>2060</v>
      </c>
      <c r="C15" s="11" t="s">
        <v>1364</v>
      </c>
      <c r="D15" s="11" t="s">
        <v>776</v>
      </c>
      <c r="E15" s="11" t="s">
        <v>752</v>
      </c>
      <c r="G15" s="11" t="s">
        <v>272</v>
      </c>
      <c r="H15" s="11" t="s">
        <v>1144</v>
      </c>
      <c r="I15" s="11" t="s">
        <v>1145</v>
      </c>
      <c r="J15" s="11" t="s">
        <v>1144</v>
      </c>
      <c r="K15" s="11" t="s">
        <v>1145</v>
      </c>
      <c r="L15" s="11" t="s">
        <v>766</v>
      </c>
      <c r="M15" s="11" t="n">
        <v>1</v>
      </c>
      <c r="P15" s="11" t="s">
        <v>3123</v>
      </c>
    </row>
    <row r="16" customFormat="false" ht="15" hidden="false" customHeight="false" outlineLevel="0" collapsed="false">
      <c r="A16" s="2" t="s">
        <v>3137</v>
      </c>
      <c r="B16" s="11" t="s">
        <v>2065</v>
      </c>
      <c r="C16" s="11" t="s">
        <v>1354</v>
      </c>
      <c r="D16" s="11" t="s">
        <v>750</v>
      </c>
      <c r="E16" s="11" t="s">
        <v>752</v>
      </c>
      <c r="G16" s="11" t="s">
        <v>258</v>
      </c>
      <c r="H16" s="11" t="s">
        <v>1144</v>
      </c>
      <c r="I16" s="11" t="s">
        <v>1145</v>
      </c>
      <c r="J16" s="11" t="s">
        <v>1144</v>
      </c>
      <c r="K16" s="11" t="s">
        <v>1145</v>
      </c>
      <c r="L16" s="11" t="s">
        <v>766</v>
      </c>
      <c r="M16" s="11" t="n">
        <v>1</v>
      </c>
      <c r="P16" s="11" t="s">
        <v>3123</v>
      </c>
    </row>
    <row r="17" customFormat="false" ht="15" hidden="false" customHeight="false" outlineLevel="0" collapsed="false">
      <c r="A17" s="2" t="s">
        <v>3138</v>
      </c>
      <c r="B17" s="11" t="s">
        <v>2065</v>
      </c>
      <c r="C17" s="11" t="s">
        <v>1379</v>
      </c>
      <c r="D17" s="11" t="s">
        <v>776</v>
      </c>
      <c r="E17" s="11" t="s">
        <v>779</v>
      </c>
      <c r="G17" s="11" t="s">
        <v>272</v>
      </c>
      <c r="H17" s="11" t="s">
        <v>1144</v>
      </c>
      <c r="I17" s="11" t="s">
        <v>1145</v>
      </c>
      <c r="J17" s="11" t="s">
        <v>1144</v>
      </c>
      <c r="K17" s="11" t="s">
        <v>1145</v>
      </c>
      <c r="L17" s="11" t="s">
        <v>766</v>
      </c>
      <c r="M17" s="11" t="n">
        <v>1</v>
      </c>
      <c r="P17" s="11" t="s">
        <v>3123</v>
      </c>
    </row>
    <row r="18" customFormat="false" ht="15" hidden="false" customHeight="false" outlineLevel="0" collapsed="false">
      <c r="A18" s="2" t="s">
        <v>3139</v>
      </c>
      <c r="B18" s="11" t="s">
        <v>2065</v>
      </c>
      <c r="C18" s="11" t="s">
        <v>1364</v>
      </c>
      <c r="D18" s="11" t="s">
        <v>776</v>
      </c>
      <c r="E18" s="11" t="s">
        <v>752</v>
      </c>
      <c r="G18" s="11" t="s">
        <v>272</v>
      </c>
      <c r="H18" s="11" t="s">
        <v>1144</v>
      </c>
      <c r="I18" s="11" t="s">
        <v>1145</v>
      </c>
      <c r="J18" s="11" t="s">
        <v>1144</v>
      </c>
      <c r="K18" s="11" t="s">
        <v>1145</v>
      </c>
      <c r="L18" s="11" t="s">
        <v>766</v>
      </c>
      <c r="M18" s="11" t="n">
        <v>1</v>
      </c>
      <c r="P18" s="11" t="s">
        <v>3123</v>
      </c>
    </row>
    <row r="19" customFormat="false" ht="15" hidden="false" customHeight="false" outlineLevel="0" collapsed="false">
      <c r="A19" s="2" t="s">
        <v>3140</v>
      </c>
      <c r="B19" s="11" t="s">
        <v>2075</v>
      </c>
      <c r="C19" s="11" t="s">
        <v>1395</v>
      </c>
      <c r="D19" s="11" t="s">
        <v>750</v>
      </c>
      <c r="E19" s="11" t="s">
        <v>779</v>
      </c>
      <c r="G19" s="11" t="s">
        <v>258</v>
      </c>
      <c r="H19" s="11" t="s">
        <v>1144</v>
      </c>
      <c r="I19" s="11" t="s">
        <v>1145</v>
      </c>
      <c r="J19" s="11" t="s">
        <v>1144</v>
      </c>
      <c r="K19" s="11" t="s">
        <v>1145</v>
      </c>
      <c r="L19" s="11" t="s">
        <v>766</v>
      </c>
      <c r="M19" s="11" t="n">
        <v>1</v>
      </c>
      <c r="P19" s="11" t="s">
        <v>3123</v>
      </c>
    </row>
    <row r="20" customFormat="false" ht="15" hidden="false" customHeight="false" outlineLevel="0" collapsed="false">
      <c r="A20" s="2" t="s">
        <v>3141</v>
      </c>
      <c r="B20" s="11" t="s">
        <v>2075</v>
      </c>
      <c r="C20" s="11" t="s">
        <v>1401</v>
      </c>
      <c r="D20" s="11" t="s">
        <v>776</v>
      </c>
      <c r="E20" s="11" t="s">
        <v>779</v>
      </c>
      <c r="G20" s="11" t="s">
        <v>272</v>
      </c>
      <c r="H20" s="11" t="s">
        <v>1144</v>
      </c>
      <c r="I20" s="11" t="s">
        <v>1145</v>
      </c>
      <c r="J20" s="11" t="s">
        <v>1144</v>
      </c>
      <c r="K20" s="11" t="s">
        <v>1145</v>
      </c>
      <c r="L20" s="11" t="s">
        <v>766</v>
      </c>
      <c r="M20" s="11" t="n">
        <v>1</v>
      </c>
      <c r="P20" s="11" t="s">
        <v>3123</v>
      </c>
    </row>
    <row r="21" customFormat="false" ht="15" hidden="false" customHeight="false" outlineLevel="0" collapsed="false">
      <c r="A21" s="2" t="s">
        <v>3142</v>
      </c>
      <c r="B21" s="11" t="s">
        <v>2084</v>
      </c>
      <c r="C21" s="11" t="s">
        <v>1354</v>
      </c>
      <c r="D21" s="11" t="s">
        <v>750</v>
      </c>
      <c r="E21" s="11" t="s">
        <v>752</v>
      </c>
      <c r="G21" s="11" t="s">
        <v>258</v>
      </c>
      <c r="H21" s="11" t="s">
        <v>1144</v>
      </c>
      <c r="I21" s="11" t="s">
        <v>1145</v>
      </c>
      <c r="J21" s="11" t="s">
        <v>1144</v>
      </c>
      <c r="K21" s="11" t="s">
        <v>1145</v>
      </c>
      <c r="L21" s="11" t="s">
        <v>766</v>
      </c>
      <c r="M21" s="11" t="n">
        <v>1</v>
      </c>
      <c r="P21" s="11" t="s">
        <v>3123</v>
      </c>
    </row>
    <row r="22" customFormat="false" ht="15" hidden="false" customHeight="false" outlineLevel="0" collapsed="false">
      <c r="A22" s="2" t="s">
        <v>3143</v>
      </c>
      <c r="B22" s="11" t="s">
        <v>2089</v>
      </c>
      <c r="C22" s="11" t="s">
        <v>1354</v>
      </c>
      <c r="D22" s="11" t="s">
        <v>750</v>
      </c>
      <c r="E22" s="11" t="s">
        <v>752</v>
      </c>
      <c r="G22" s="11" t="s">
        <v>258</v>
      </c>
      <c r="H22" s="11" t="s">
        <v>1144</v>
      </c>
      <c r="I22" s="11" t="s">
        <v>1145</v>
      </c>
      <c r="J22" s="11" t="s">
        <v>1144</v>
      </c>
      <c r="K22" s="11" t="s">
        <v>1145</v>
      </c>
      <c r="L22" s="11" t="s">
        <v>766</v>
      </c>
      <c r="M22" s="11" t="n">
        <v>1</v>
      </c>
      <c r="P22" s="11" t="s">
        <v>3123</v>
      </c>
    </row>
    <row r="23" customFormat="false" ht="15" hidden="false" customHeight="false" outlineLevel="0" collapsed="false">
      <c r="A23" s="2" t="s">
        <v>3144</v>
      </c>
      <c r="B23" s="11" t="s">
        <v>2089</v>
      </c>
      <c r="C23" s="11" t="s">
        <v>1364</v>
      </c>
      <c r="D23" s="11" t="s">
        <v>776</v>
      </c>
      <c r="E23" s="11" t="s">
        <v>752</v>
      </c>
      <c r="G23" s="11" t="s">
        <v>272</v>
      </c>
      <c r="H23" s="11" t="s">
        <v>1144</v>
      </c>
      <c r="I23" s="11" t="s">
        <v>1145</v>
      </c>
      <c r="J23" s="11" t="s">
        <v>1144</v>
      </c>
      <c r="K23" s="11" t="s">
        <v>1145</v>
      </c>
      <c r="L23" s="11" t="s">
        <v>766</v>
      </c>
      <c r="M23" s="11" t="n">
        <v>1</v>
      </c>
      <c r="P23" s="11" t="s">
        <v>3123</v>
      </c>
    </row>
    <row r="24" customFormat="false" ht="15" hidden="false" customHeight="false" outlineLevel="0" collapsed="false">
      <c r="A24" s="2" t="s">
        <v>3145</v>
      </c>
      <c r="B24" s="11" t="s">
        <v>2099</v>
      </c>
      <c r="C24" s="11" t="s">
        <v>1354</v>
      </c>
      <c r="D24" s="11" t="s">
        <v>750</v>
      </c>
      <c r="E24" s="11" t="s">
        <v>752</v>
      </c>
      <c r="G24" s="11" t="s">
        <v>258</v>
      </c>
      <c r="H24" s="11" t="s">
        <v>1144</v>
      </c>
      <c r="I24" s="11" t="s">
        <v>1145</v>
      </c>
      <c r="J24" s="11" t="s">
        <v>1144</v>
      </c>
      <c r="K24" s="11" t="s">
        <v>1145</v>
      </c>
      <c r="L24" s="11" t="s">
        <v>766</v>
      </c>
      <c r="M24" s="11" t="n">
        <v>1</v>
      </c>
      <c r="P24" s="11" t="s">
        <v>3123</v>
      </c>
    </row>
    <row r="25" customFormat="false" ht="15" hidden="false" customHeight="false" outlineLevel="0" collapsed="false">
      <c r="A25" s="2" t="s">
        <v>3146</v>
      </c>
      <c r="B25" s="11" t="s">
        <v>2107</v>
      </c>
      <c r="C25" s="11" t="s">
        <v>1354</v>
      </c>
      <c r="D25" s="11" t="s">
        <v>750</v>
      </c>
      <c r="E25" s="11" t="s">
        <v>752</v>
      </c>
      <c r="G25" s="11" t="s">
        <v>258</v>
      </c>
      <c r="H25" s="11" t="s">
        <v>1144</v>
      </c>
      <c r="I25" s="11" t="s">
        <v>1145</v>
      </c>
      <c r="J25" s="11" t="s">
        <v>1144</v>
      </c>
      <c r="K25" s="11" t="s">
        <v>1145</v>
      </c>
      <c r="L25" s="11" t="s">
        <v>766</v>
      </c>
      <c r="M25" s="11" t="n">
        <v>1</v>
      </c>
      <c r="P25" s="11" t="s">
        <v>3123</v>
      </c>
    </row>
    <row r="26" customFormat="false" ht="15" hidden="false" customHeight="false" outlineLevel="0" collapsed="false">
      <c r="A26" s="2" t="s">
        <v>3147</v>
      </c>
      <c r="B26" s="11" t="s">
        <v>2107</v>
      </c>
      <c r="C26" s="11" t="s">
        <v>1364</v>
      </c>
      <c r="D26" s="11" t="s">
        <v>776</v>
      </c>
      <c r="E26" s="11" t="s">
        <v>752</v>
      </c>
      <c r="G26" s="11" t="s">
        <v>272</v>
      </c>
      <c r="H26" s="11" t="s">
        <v>1144</v>
      </c>
      <c r="I26" s="11" t="s">
        <v>1145</v>
      </c>
      <c r="J26" s="11" t="s">
        <v>1144</v>
      </c>
      <c r="K26" s="11" t="s">
        <v>1145</v>
      </c>
      <c r="L26" s="11" t="s">
        <v>766</v>
      </c>
      <c r="M26" s="11" t="n">
        <v>1</v>
      </c>
      <c r="P26" s="11" t="s">
        <v>3123</v>
      </c>
    </row>
    <row r="27" customFormat="false" ht="15" hidden="false" customHeight="false" outlineLevel="0" collapsed="false">
      <c r="A27" s="2" t="s">
        <v>3148</v>
      </c>
      <c r="B27" s="11" t="s">
        <v>2107</v>
      </c>
      <c r="C27" s="11" t="s">
        <v>1406</v>
      </c>
      <c r="D27" s="11" t="s">
        <v>776</v>
      </c>
      <c r="E27" s="11" t="s">
        <v>752</v>
      </c>
      <c r="G27" s="11" t="s">
        <v>272</v>
      </c>
      <c r="H27" s="11" t="s">
        <v>1144</v>
      </c>
      <c r="I27" s="11" t="s">
        <v>1145</v>
      </c>
      <c r="J27" s="11" t="s">
        <v>1144</v>
      </c>
      <c r="K27" s="11" t="s">
        <v>1145</v>
      </c>
      <c r="L27" s="11" t="s">
        <v>766</v>
      </c>
      <c r="M27" s="11" t="n">
        <v>1</v>
      </c>
      <c r="P27" s="11" t="s">
        <v>3123</v>
      </c>
    </row>
    <row r="28" customFormat="false" ht="15" hidden="false" customHeight="false" outlineLevel="0" collapsed="false">
      <c r="A28" s="2" t="s">
        <v>3149</v>
      </c>
      <c r="B28" s="11" t="s">
        <v>2107</v>
      </c>
      <c r="C28" s="11" t="s">
        <v>1395</v>
      </c>
      <c r="D28" s="11" t="s">
        <v>776</v>
      </c>
      <c r="E28" s="11" t="s">
        <v>779</v>
      </c>
      <c r="G28" s="11" t="s">
        <v>272</v>
      </c>
      <c r="H28" s="11" t="s">
        <v>1144</v>
      </c>
      <c r="I28" s="11" t="s">
        <v>1145</v>
      </c>
      <c r="J28" s="11" t="s">
        <v>1144</v>
      </c>
      <c r="K28" s="11" t="s">
        <v>1145</v>
      </c>
      <c r="L28" s="11" t="s">
        <v>766</v>
      </c>
      <c r="M28" s="11" t="n">
        <v>1</v>
      </c>
      <c r="P28" s="11" t="s">
        <v>3123</v>
      </c>
    </row>
    <row r="29" customFormat="false" ht="15" hidden="false" customHeight="false" outlineLevel="0" collapsed="false">
      <c r="A29" s="2" t="s">
        <v>3150</v>
      </c>
      <c r="B29" s="11" t="s">
        <v>2117</v>
      </c>
      <c r="C29" s="11" t="s">
        <v>1354</v>
      </c>
      <c r="D29" s="11" t="s">
        <v>750</v>
      </c>
      <c r="E29" s="11" t="s">
        <v>752</v>
      </c>
      <c r="G29" s="11" t="s">
        <v>258</v>
      </c>
      <c r="H29" s="11" t="s">
        <v>1144</v>
      </c>
      <c r="I29" s="11" t="s">
        <v>1145</v>
      </c>
      <c r="J29" s="11" t="s">
        <v>1144</v>
      </c>
      <c r="K29" s="11" t="s">
        <v>1145</v>
      </c>
      <c r="L29" s="11" t="s">
        <v>766</v>
      </c>
      <c r="M29" s="11" t="n">
        <v>1</v>
      </c>
      <c r="P29" s="11" t="s">
        <v>3123</v>
      </c>
    </row>
    <row r="30" customFormat="false" ht="15" hidden="false" customHeight="false" outlineLevel="0" collapsed="false">
      <c r="A30" s="2" t="s">
        <v>3151</v>
      </c>
      <c r="B30" s="11" t="s">
        <v>2117</v>
      </c>
      <c r="C30" s="11" t="s">
        <v>1364</v>
      </c>
      <c r="D30" s="11" t="s">
        <v>776</v>
      </c>
      <c r="E30" s="11" t="s">
        <v>752</v>
      </c>
      <c r="G30" s="11" t="s">
        <v>272</v>
      </c>
      <c r="H30" s="11" t="s">
        <v>1144</v>
      </c>
      <c r="I30" s="11" t="s">
        <v>1145</v>
      </c>
      <c r="J30" s="11" t="s">
        <v>1144</v>
      </c>
      <c r="K30" s="11" t="s">
        <v>1145</v>
      </c>
      <c r="L30" s="11" t="s">
        <v>766</v>
      </c>
      <c r="M30" s="11" t="n">
        <v>1</v>
      </c>
      <c r="P30" s="11" t="s">
        <v>3123</v>
      </c>
    </row>
    <row r="31" customFormat="false" ht="15" hidden="false" customHeight="false" outlineLevel="0" collapsed="false">
      <c r="A31" s="2" t="s">
        <v>3152</v>
      </c>
      <c r="B31" s="11" t="s">
        <v>2122</v>
      </c>
      <c r="C31" s="11" t="s">
        <v>1395</v>
      </c>
      <c r="D31" s="11" t="s">
        <v>750</v>
      </c>
      <c r="E31" s="11" t="s">
        <v>779</v>
      </c>
      <c r="G31" s="11" t="s">
        <v>258</v>
      </c>
      <c r="H31" s="11" t="s">
        <v>1144</v>
      </c>
      <c r="I31" s="11" t="s">
        <v>1145</v>
      </c>
      <c r="J31" s="11" t="s">
        <v>1144</v>
      </c>
      <c r="K31" s="11" t="s">
        <v>1145</v>
      </c>
      <c r="L31" s="11" t="s">
        <v>766</v>
      </c>
      <c r="M31" s="11" t="n">
        <v>1</v>
      </c>
      <c r="P31" s="11" t="s">
        <v>3123</v>
      </c>
    </row>
    <row r="32" customFormat="false" ht="15" hidden="false" customHeight="false" outlineLevel="0" collapsed="false">
      <c r="A32" s="2" t="s">
        <v>3153</v>
      </c>
      <c r="B32" s="11" t="s">
        <v>2122</v>
      </c>
      <c r="C32" s="11" t="s">
        <v>1401</v>
      </c>
      <c r="D32" s="11" t="s">
        <v>776</v>
      </c>
      <c r="E32" s="11" t="s">
        <v>779</v>
      </c>
      <c r="G32" s="11" t="s">
        <v>272</v>
      </c>
      <c r="H32" s="11" t="s">
        <v>1144</v>
      </c>
      <c r="I32" s="11" t="s">
        <v>1145</v>
      </c>
      <c r="J32" s="11" t="s">
        <v>1144</v>
      </c>
      <c r="K32" s="11" t="s">
        <v>1145</v>
      </c>
      <c r="L32" s="11" t="s">
        <v>766</v>
      </c>
      <c r="M32" s="11" t="n">
        <v>1</v>
      </c>
      <c r="P32" s="11" t="s">
        <v>3123</v>
      </c>
    </row>
    <row r="33" customFormat="false" ht="15" hidden="false" customHeight="false" outlineLevel="0" collapsed="false">
      <c r="A33" s="2" t="s">
        <v>3154</v>
      </c>
      <c r="B33" s="11" t="s">
        <v>2127</v>
      </c>
      <c r="C33" s="11" t="s">
        <v>1354</v>
      </c>
      <c r="D33" s="11" t="s">
        <v>750</v>
      </c>
      <c r="E33" s="11" t="s">
        <v>752</v>
      </c>
      <c r="G33" s="11" t="s">
        <v>258</v>
      </c>
      <c r="H33" s="11" t="s">
        <v>1144</v>
      </c>
      <c r="I33" s="11" t="s">
        <v>1145</v>
      </c>
      <c r="J33" s="11" t="s">
        <v>1144</v>
      </c>
      <c r="K33" s="11" t="s">
        <v>1145</v>
      </c>
      <c r="L33" s="11" t="s">
        <v>766</v>
      </c>
      <c r="M33" s="11" t="n">
        <v>1</v>
      </c>
      <c r="P33" s="11" t="s">
        <v>3123</v>
      </c>
    </row>
    <row r="34" customFormat="false" ht="15" hidden="false" customHeight="false" outlineLevel="0" collapsed="false">
      <c r="A34" s="2" t="s">
        <v>3155</v>
      </c>
      <c r="B34" s="11" t="s">
        <v>2127</v>
      </c>
      <c r="C34" s="11" t="s">
        <v>1364</v>
      </c>
      <c r="D34" s="11" t="s">
        <v>776</v>
      </c>
      <c r="E34" s="11" t="s">
        <v>752</v>
      </c>
      <c r="G34" s="11" t="s">
        <v>272</v>
      </c>
      <c r="H34" s="11" t="s">
        <v>1144</v>
      </c>
      <c r="I34" s="11" t="s">
        <v>1145</v>
      </c>
      <c r="J34" s="11" t="s">
        <v>1144</v>
      </c>
      <c r="K34" s="11" t="s">
        <v>1145</v>
      </c>
      <c r="L34" s="11" t="s">
        <v>766</v>
      </c>
      <c r="M34" s="11" t="n">
        <v>1</v>
      </c>
      <c r="P34" s="11" t="s">
        <v>3123</v>
      </c>
    </row>
    <row r="35" customFormat="false" ht="15" hidden="false" customHeight="false" outlineLevel="0" collapsed="false">
      <c r="A35" s="2" t="s">
        <v>3156</v>
      </c>
      <c r="B35" s="11" t="s">
        <v>2127</v>
      </c>
      <c r="C35" s="11" t="s">
        <v>1406</v>
      </c>
      <c r="D35" s="11" t="s">
        <v>776</v>
      </c>
      <c r="E35" s="11" t="s">
        <v>752</v>
      </c>
      <c r="G35" s="11" t="s">
        <v>272</v>
      </c>
      <c r="H35" s="11" t="s">
        <v>1144</v>
      </c>
      <c r="I35" s="11" t="s">
        <v>1145</v>
      </c>
      <c r="J35" s="11" t="s">
        <v>1144</v>
      </c>
      <c r="K35" s="11" t="s">
        <v>1145</v>
      </c>
      <c r="L35" s="11" t="s">
        <v>766</v>
      </c>
      <c r="M35" s="11" t="n">
        <v>1</v>
      </c>
      <c r="P35" s="11" t="s">
        <v>3123</v>
      </c>
    </row>
    <row r="36" customFormat="false" ht="15" hidden="false" customHeight="false" outlineLevel="0" collapsed="false">
      <c r="A36" s="2" t="s">
        <v>3157</v>
      </c>
      <c r="B36" s="11" t="s">
        <v>2133</v>
      </c>
      <c r="C36" s="11" t="s">
        <v>1395</v>
      </c>
      <c r="D36" s="11" t="s">
        <v>750</v>
      </c>
      <c r="E36" s="11" t="s">
        <v>779</v>
      </c>
      <c r="G36" s="11" t="s">
        <v>258</v>
      </c>
      <c r="H36" s="11" t="s">
        <v>1144</v>
      </c>
      <c r="I36" s="11" t="s">
        <v>1145</v>
      </c>
      <c r="J36" s="11" t="s">
        <v>1144</v>
      </c>
      <c r="K36" s="11" t="s">
        <v>1145</v>
      </c>
      <c r="L36" s="11" t="s">
        <v>766</v>
      </c>
      <c r="M36" s="11" t="n">
        <v>1</v>
      </c>
      <c r="P36" s="11" t="s">
        <v>3123</v>
      </c>
    </row>
    <row r="37" customFormat="false" ht="15" hidden="false" customHeight="false" outlineLevel="0" collapsed="false">
      <c r="A37" s="2" t="s">
        <v>3158</v>
      </c>
      <c r="B37" s="11" t="s">
        <v>2133</v>
      </c>
      <c r="C37" s="11" t="s">
        <v>1401</v>
      </c>
      <c r="D37" s="11" t="s">
        <v>776</v>
      </c>
      <c r="E37" s="11" t="s">
        <v>779</v>
      </c>
      <c r="G37" s="11" t="s">
        <v>272</v>
      </c>
      <c r="H37" s="11" t="s">
        <v>1144</v>
      </c>
      <c r="I37" s="11" t="s">
        <v>1145</v>
      </c>
      <c r="J37" s="11" t="s">
        <v>1144</v>
      </c>
      <c r="K37" s="11" t="s">
        <v>1145</v>
      </c>
      <c r="L37" s="11" t="s">
        <v>766</v>
      </c>
      <c r="M37" s="11" t="n">
        <v>1</v>
      </c>
      <c r="P37" s="11" t="s">
        <v>3123</v>
      </c>
    </row>
    <row r="38" customFormat="false" ht="15" hidden="false" customHeight="false" outlineLevel="0" collapsed="false">
      <c r="A38" s="2" t="s">
        <v>3159</v>
      </c>
      <c r="B38" s="11" t="s">
        <v>2141</v>
      </c>
      <c r="C38" s="11" t="s">
        <v>1395</v>
      </c>
      <c r="D38" s="11" t="s">
        <v>750</v>
      </c>
      <c r="E38" s="11" t="s">
        <v>779</v>
      </c>
      <c r="G38" s="11" t="s">
        <v>258</v>
      </c>
      <c r="H38" s="11" t="s">
        <v>1144</v>
      </c>
      <c r="I38" s="11" t="s">
        <v>1145</v>
      </c>
      <c r="J38" s="11" t="s">
        <v>1144</v>
      </c>
      <c r="K38" s="11" t="s">
        <v>1145</v>
      </c>
      <c r="L38" s="11" t="s">
        <v>766</v>
      </c>
      <c r="M38" s="11" t="n">
        <v>1</v>
      </c>
      <c r="P38" s="11" t="s">
        <v>3123</v>
      </c>
    </row>
    <row r="39" customFormat="false" ht="15" hidden="false" customHeight="false" outlineLevel="0" collapsed="false">
      <c r="A39" s="2" t="s">
        <v>3160</v>
      </c>
      <c r="B39" s="11" t="s">
        <v>2141</v>
      </c>
      <c r="C39" s="11" t="s">
        <v>1401</v>
      </c>
      <c r="D39" s="11" t="s">
        <v>776</v>
      </c>
      <c r="E39" s="11" t="s">
        <v>779</v>
      </c>
      <c r="G39" s="11" t="s">
        <v>272</v>
      </c>
      <c r="H39" s="11" t="s">
        <v>1144</v>
      </c>
      <c r="I39" s="11" t="s">
        <v>1145</v>
      </c>
      <c r="J39" s="11" t="s">
        <v>1144</v>
      </c>
      <c r="K39" s="11" t="s">
        <v>1145</v>
      </c>
      <c r="L39" s="11" t="s">
        <v>766</v>
      </c>
      <c r="M39" s="11" t="n">
        <v>1</v>
      </c>
      <c r="P39" s="11" t="s">
        <v>3123</v>
      </c>
    </row>
    <row r="40" customFormat="false" ht="15" hidden="false" customHeight="false" outlineLevel="0" collapsed="false">
      <c r="A40" s="2" t="s">
        <v>3161</v>
      </c>
      <c r="B40" s="11" t="s">
        <v>2141</v>
      </c>
      <c r="C40" s="11" t="s">
        <v>1433</v>
      </c>
      <c r="D40" s="11" t="s">
        <v>776</v>
      </c>
      <c r="E40" s="11" t="s">
        <v>804</v>
      </c>
      <c r="G40" s="11" t="s">
        <v>272</v>
      </c>
      <c r="H40" s="11" t="s">
        <v>1144</v>
      </c>
      <c r="I40" s="11" t="s">
        <v>1145</v>
      </c>
      <c r="J40" s="11" t="s">
        <v>1144</v>
      </c>
      <c r="K40" s="11" t="s">
        <v>1145</v>
      </c>
      <c r="L40" s="11" t="s">
        <v>766</v>
      </c>
      <c r="M40" s="11" t="n">
        <v>1</v>
      </c>
      <c r="P40" s="11" t="s">
        <v>3123</v>
      </c>
    </row>
    <row r="41" customFormat="false" ht="15" hidden="false" customHeight="false" outlineLevel="0" collapsed="false">
      <c r="A41" s="2" t="s">
        <v>3162</v>
      </c>
      <c r="B41" s="11" t="s">
        <v>2147</v>
      </c>
      <c r="C41" s="11" t="s">
        <v>1395</v>
      </c>
      <c r="D41" s="11" t="s">
        <v>750</v>
      </c>
      <c r="E41" s="11" t="s">
        <v>779</v>
      </c>
      <c r="G41" s="11" t="s">
        <v>258</v>
      </c>
      <c r="H41" s="11" t="s">
        <v>1144</v>
      </c>
      <c r="I41" s="11" t="s">
        <v>1145</v>
      </c>
      <c r="J41" s="11" t="s">
        <v>1144</v>
      </c>
      <c r="K41" s="11" t="s">
        <v>1145</v>
      </c>
      <c r="L41" s="11" t="s">
        <v>766</v>
      </c>
      <c r="M41" s="11" t="n">
        <v>1</v>
      </c>
      <c r="P41" s="11" t="s">
        <v>3123</v>
      </c>
    </row>
    <row r="42" customFormat="false" ht="15" hidden="false" customHeight="false" outlineLevel="0" collapsed="false">
      <c r="A42" s="2" t="s">
        <v>3163</v>
      </c>
      <c r="B42" s="11" t="s">
        <v>2147</v>
      </c>
      <c r="C42" s="11" t="s">
        <v>1401</v>
      </c>
      <c r="D42" s="11" t="s">
        <v>776</v>
      </c>
      <c r="E42" s="11" t="s">
        <v>779</v>
      </c>
      <c r="G42" s="11" t="s">
        <v>272</v>
      </c>
      <c r="H42" s="11" t="s">
        <v>1144</v>
      </c>
      <c r="I42" s="11" t="s">
        <v>1145</v>
      </c>
      <c r="J42" s="11" t="s">
        <v>1144</v>
      </c>
      <c r="K42" s="11" t="s">
        <v>1145</v>
      </c>
      <c r="L42" s="11" t="s">
        <v>766</v>
      </c>
      <c r="M42" s="11" t="n">
        <v>1</v>
      </c>
      <c r="P42" s="11" t="s">
        <v>3123</v>
      </c>
    </row>
    <row r="43" customFormat="false" ht="15" hidden="false" customHeight="false" outlineLevel="0" collapsed="false">
      <c r="A43" s="2" t="s">
        <v>3164</v>
      </c>
      <c r="B43" s="11" t="s">
        <v>2152</v>
      </c>
      <c r="C43" s="11" t="s">
        <v>1395</v>
      </c>
      <c r="D43" s="11" t="s">
        <v>750</v>
      </c>
      <c r="E43" s="11" t="s">
        <v>779</v>
      </c>
      <c r="G43" s="11" t="s">
        <v>258</v>
      </c>
      <c r="H43" s="11" t="s">
        <v>1144</v>
      </c>
      <c r="I43" s="11" t="s">
        <v>1145</v>
      </c>
      <c r="J43" s="11" t="s">
        <v>1144</v>
      </c>
      <c r="K43" s="11" t="s">
        <v>1145</v>
      </c>
      <c r="L43" s="11" t="s">
        <v>766</v>
      </c>
      <c r="M43" s="11" t="n">
        <v>1</v>
      </c>
      <c r="P43" s="11" t="s">
        <v>3123</v>
      </c>
    </row>
    <row r="44" customFormat="false" ht="15" hidden="false" customHeight="false" outlineLevel="0" collapsed="false">
      <c r="A44" s="2" t="s">
        <v>3165</v>
      </c>
      <c r="B44" s="11" t="s">
        <v>2152</v>
      </c>
      <c r="C44" s="11" t="s">
        <v>1401</v>
      </c>
      <c r="D44" s="11" t="s">
        <v>776</v>
      </c>
      <c r="E44" s="11" t="s">
        <v>779</v>
      </c>
      <c r="G44" s="11" t="s">
        <v>272</v>
      </c>
      <c r="H44" s="11" t="s">
        <v>1144</v>
      </c>
      <c r="I44" s="11" t="s">
        <v>1145</v>
      </c>
      <c r="J44" s="11" t="s">
        <v>1144</v>
      </c>
      <c r="K44" s="11" t="s">
        <v>1145</v>
      </c>
      <c r="L44" s="11" t="s">
        <v>766</v>
      </c>
      <c r="M44" s="11" t="n">
        <v>1</v>
      </c>
      <c r="P44" s="11" t="s">
        <v>3123</v>
      </c>
    </row>
    <row r="45" customFormat="false" ht="15" hidden="false" customHeight="false" outlineLevel="0" collapsed="false">
      <c r="A45" s="2" t="s">
        <v>3166</v>
      </c>
      <c r="B45" s="11" t="s">
        <v>2152</v>
      </c>
      <c r="C45" s="11" t="s">
        <v>1433</v>
      </c>
      <c r="D45" s="11" t="s">
        <v>776</v>
      </c>
      <c r="E45" s="11" t="s">
        <v>804</v>
      </c>
      <c r="G45" s="11" t="s">
        <v>272</v>
      </c>
      <c r="H45" s="11" t="s">
        <v>1144</v>
      </c>
      <c r="I45" s="11" t="s">
        <v>1145</v>
      </c>
      <c r="J45" s="11" t="s">
        <v>1144</v>
      </c>
      <c r="K45" s="11" t="s">
        <v>1145</v>
      </c>
      <c r="L45" s="11" t="s">
        <v>766</v>
      </c>
      <c r="M45" s="11" t="n">
        <v>1</v>
      </c>
      <c r="P45" s="11" t="s">
        <v>3123</v>
      </c>
    </row>
    <row r="46" customFormat="false" ht="15" hidden="false" customHeight="false" outlineLevel="0" collapsed="false">
      <c r="A46" s="2" t="s">
        <v>3167</v>
      </c>
      <c r="B46" s="11" t="s">
        <v>2158</v>
      </c>
      <c r="C46" s="11" t="s">
        <v>1354</v>
      </c>
      <c r="D46" s="11" t="s">
        <v>750</v>
      </c>
      <c r="E46" s="11" t="s">
        <v>752</v>
      </c>
      <c r="G46" s="11" t="s">
        <v>258</v>
      </c>
      <c r="H46" s="11" t="s">
        <v>1144</v>
      </c>
      <c r="I46" s="11" t="s">
        <v>1145</v>
      </c>
      <c r="J46" s="11" t="s">
        <v>1144</v>
      </c>
      <c r="K46" s="11" t="s">
        <v>1145</v>
      </c>
      <c r="L46" s="11" t="s">
        <v>766</v>
      </c>
      <c r="M46" s="11" t="n">
        <v>1</v>
      </c>
      <c r="P46" s="11" t="s">
        <v>3123</v>
      </c>
    </row>
    <row r="47" customFormat="false" ht="15" hidden="false" customHeight="false" outlineLevel="0" collapsed="false">
      <c r="A47" s="2" t="s">
        <v>3168</v>
      </c>
      <c r="B47" s="11" t="s">
        <v>2158</v>
      </c>
      <c r="C47" s="11" t="s">
        <v>1364</v>
      </c>
      <c r="D47" s="11" t="s">
        <v>776</v>
      </c>
      <c r="E47" s="11" t="s">
        <v>752</v>
      </c>
      <c r="G47" s="11" t="s">
        <v>272</v>
      </c>
      <c r="H47" s="11" t="s">
        <v>1144</v>
      </c>
      <c r="I47" s="11" t="s">
        <v>1145</v>
      </c>
      <c r="J47" s="11" t="s">
        <v>1144</v>
      </c>
      <c r="K47" s="11" t="s">
        <v>1145</v>
      </c>
      <c r="L47" s="11" t="s">
        <v>766</v>
      </c>
      <c r="M47" s="11" t="n">
        <v>1</v>
      </c>
      <c r="P47" s="11" t="s">
        <v>3123</v>
      </c>
    </row>
    <row r="48" customFormat="false" ht="15" hidden="false" customHeight="false" outlineLevel="0" collapsed="false">
      <c r="A48" s="2" t="s">
        <v>3169</v>
      </c>
      <c r="B48" s="11" t="s">
        <v>2158</v>
      </c>
      <c r="C48" s="11" t="s">
        <v>1379</v>
      </c>
      <c r="D48" s="11" t="s">
        <v>776</v>
      </c>
      <c r="E48" s="11" t="s">
        <v>779</v>
      </c>
      <c r="G48" s="11" t="s">
        <v>272</v>
      </c>
      <c r="H48" s="11" t="s">
        <v>1144</v>
      </c>
      <c r="I48" s="11" t="s">
        <v>1145</v>
      </c>
      <c r="J48" s="11" t="s">
        <v>1144</v>
      </c>
      <c r="K48" s="11" t="s">
        <v>1145</v>
      </c>
      <c r="L48" s="11" t="s">
        <v>766</v>
      </c>
      <c r="M48" s="11" t="n">
        <v>1</v>
      </c>
      <c r="P48" s="11" t="s">
        <v>3123</v>
      </c>
    </row>
    <row r="49" customFormat="false" ht="15" hidden="false" customHeight="false" outlineLevel="0" collapsed="false">
      <c r="A49" s="2" t="s">
        <v>3170</v>
      </c>
      <c r="B49" s="11" t="s">
        <v>2158</v>
      </c>
      <c r="C49" s="11" t="s">
        <v>1395</v>
      </c>
      <c r="D49" s="11" t="s">
        <v>776</v>
      </c>
      <c r="E49" s="11" t="s">
        <v>779</v>
      </c>
      <c r="G49" s="11" t="s">
        <v>272</v>
      </c>
      <c r="H49" s="11" t="s">
        <v>1144</v>
      </c>
      <c r="I49" s="11" t="s">
        <v>1145</v>
      </c>
      <c r="J49" s="11" t="s">
        <v>1144</v>
      </c>
      <c r="K49" s="11" t="s">
        <v>1145</v>
      </c>
      <c r="L49" s="11" t="s">
        <v>766</v>
      </c>
      <c r="M49" s="11" t="n">
        <v>1</v>
      </c>
      <c r="P49" s="11" t="s">
        <v>3123</v>
      </c>
    </row>
    <row r="50" customFormat="false" ht="15" hidden="false" customHeight="false" outlineLevel="0" collapsed="false">
      <c r="A50" s="2" t="s">
        <v>3171</v>
      </c>
      <c r="B50" s="11" t="s">
        <v>2166</v>
      </c>
      <c r="C50" s="11" t="s">
        <v>1354</v>
      </c>
      <c r="D50" s="11" t="s">
        <v>750</v>
      </c>
      <c r="E50" s="11" t="s">
        <v>752</v>
      </c>
      <c r="G50" s="11" t="s">
        <v>258</v>
      </c>
      <c r="H50" s="11" t="s">
        <v>1144</v>
      </c>
      <c r="I50" s="11" t="s">
        <v>1145</v>
      </c>
      <c r="J50" s="11" t="s">
        <v>1144</v>
      </c>
      <c r="K50" s="11" t="s">
        <v>1145</v>
      </c>
      <c r="L50" s="11" t="s">
        <v>766</v>
      </c>
      <c r="M50" s="11" t="n">
        <v>1</v>
      </c>
      <c r="P50" s="11" t="s">
        <v>3123</v>
      </c>
    </row>
    <row r="51" customFormat="false" ht="15" hidden="false" customHeight="false" outlineLevel="0" collapsed="false">
      <c r="A51" s="2" t="s">
        <v>3172</v>
      </c>
      <c r="B51" s="11" t="s">
        <v>2166</v>
      </c>
      <c r="C51" s="11" t="s">
        <v>1364</v>
      </c>
      <c r="D51" s="11" t="s">
        <v>776</v>
      </c>
      <c r="E51" s="11" t="s">
        <v>752</v>
      </c>
      <c r="G51" s="11" t="s">
        <v>272</v>
      </c>
      <c r="H51" s="11" t="s">
        <v>1144</v>
      </c>
      <c r="I51" s="11" t="s">
        <v>1145</v>
      </c>
      <c r="J51" s="11" t="s">
        <v>1144</v>
      </c>
      <c r="K51" s="11" t="s">
        <v>1145</v>
      </c>
      <c r="L51" s="11" t="s">
        <v>766</v>
      </c>
      <c r="M51" s="11" t="n">
        <v>1</v>
      </c>
      <c r="P51" s="11" t="s">
        <v>3123</v>
      </c>
    </row>
    <row r="52" customFormat="false" ht="15" hidden="false" customHeight="false" outlineLevel="0" collapsed="false">
      <c r="A52" s="2" t="s">
        <v>3173</v>
      </c>
      <c r="B52" s="11" t="s">
        <v>2166</v>
      </c>
      <c r="C52" s="11" t="s">
        <v>1379</v>
      </c>
      <c r="D52" s="11" t="s">
        <v>776</v>
      </c>
      <c r="E52" s="11" t="s">
        <v>779</v>
      </c>
      <c r="G52" s="11" t="s">
        <v>272</v>
      </c>
      <c r="H52" s="11" t="s">
        <v>1144</v>
      </c>
      <c r="I52" s="11" t="s">
        <v>1145</v>
      </c>
      <c r="J52" s="11" t="s">
        <v>1144</v>
      </c>
      <c r="K52" s="11" t="s">
        <v>1145</v>
      </c>
      <c r="L52" s="11" t="s">
        <v>766</v>
      </c>
      <c r="M52" s="11" t="n">
        <v>1</v>
      </c>
      <c r="P52" s="11" t="s">
        <v>3123</v>
      </c>
    </row>
    <row r="53" customFormat="false" ht="15" hidden="false" customHeight="false" outlineLevel="0" collapsed="false">
      <c r="A53" s="2" t="s">
        <v>3174</v>
      </c>
      <c r="B53" s="11" t="s">
        <v>2171</v>
      </c>
      <c r="C53" s="11" t="s">
        <v>1428</v>
      </c>
      <c r="D53" s="11" t="s">
        <v>750</v>
      </c>
      <c r="E53" s="11" t="s">
        <v>804</v>
      </c>
      <c r="G53" s="11" t="s">
        <v>258</v>
      </c>
      <c r="H53" s="11" t="s">
        <v>1144</v>
      </c>
      <c r="I53" s="11" t="s">
        <v>1145</v>
      </c>
      <c r="J53" s="11" t="s">
        <v>1144</v>
      </c>
      <c r="K53" s="11" t="s">
        <v>1145</v>
      </c>
      <c r="L53" s="11" t="s">
        <v>766</v>
      </c>
      <c r="M53" s="11" t="n">
        <v>1</v>
      </c>
      <c r="P53" s="11" t="s">
        <v>3123</v>
      </c>
    </row>
    <row r="54" customFormat="false" ht="15" hidden="false" customHeight="false" outlineLevel="0" collapsed="false">
      <c r="A54" s="2" t="s">
        <v>3175</v>
      </c>
      <c r="B54" s="11" t="s">
        <v>2171</v>
      </c>
      <c r="C54" s="11" t="s">
        <v>1395</v>
      </c>
      <c r="D54" s="11" t="s">
        <v>776</v>
      </c>
      <c r="E54" s="11" t="s">
        <v>779</v>
      </c>
      <c r="G54" s="11" t="s">
        <v>272</v>
      </c>
      <c r="H54" s="11" t="s">
        <v>1144</v>
      </c>
      <c r="I54" s="11" t="s">
        <v>1145</v>
      </c>
      <c r="J54" s="11" t="s">
        <v>1144</v>
      </c>
      <c r="K54" s="11" t="s">
        <v>1145</v>
      </c>
      <c r="L54" s="11" t="s">
        <v>766</v>
      </c>
      <c r="M54" s="11" t="n">
        <v>1</v>
      </c>
      <c r="P54" s="11" t="s">
        <v>3123</v>
      </c>
    </row>
    <row r="55" customFormat="false" ht="15" hidden="false" customHeight="false" outlineLevel="0" collapsed="false">
      <c r="A55" s="2" t="s">
        <v>3176</v>
      </c>
      <c r="B55" s="11" t="s">
        <v>2171</v>
      </c>
      <c r="C55" s="11" t="s">
        <v>1433</v>
      </c>
      <c r="D55" s="11" t="s">
        <v>776</v>
      </c>
      <c r="E55" s="11" t="s">
        <v>804</v>
      </c>
      <c r="G55" s="11" t="s">
        <v>272</v>
      </c>
      <c r="H55" s="11" t="s">
        <v>1144</v>
      </c>
      <c r="I55" s="11" t="s">
        <v>1145</v>
      </c>
      <c r="J55" s="11" t="s">
        <v>1144</v>
      </c>
      <c r="K55" s="11" t="s">
        <v>1145</v>
      </c>
      <c r="L55" s="11" t="s">
        <v>766</v>
      </c>
      <c r="M55" s="11" t="n">
        <v>1</v>
      </c>
      <c r="P55" s="11" t="s">
        <v>3123</v>
      </c>
    </row>
    <row r="56" customFormat="false" ht="15" hidden="false" customHeight="false" outlineLevel="0" collapsed="false">
      <c r="A56" s="2" t="s">
        <v>3177</v>
      </c>
      <c r="B56" s="11" t="s">
        <v>1841</v>
      </c>
      <c r="C56" s="11" t="s">
        <v>1428</v>
      </c>
      <c r="D56" s="11" t="s">
        <v>750</v>
      </c>
      <c r="E56" s="11" t="s">
        <v>804</v>
      </c>
      <c r="G56" s="11" t="s">
        <v>258</v>
      </c>
      <c r="H56" s="11" t="s">
        <v>1144</v>
      </c>
      <c r="I56" s="11" t="s">
        <v>1145</v>
      </c>
      <c r="J56" s="11" t="s">
        <v>1144</v>
      </c>
      <c r="K56" s="11" t="s">
        <v>1145</v>
      </c>
      <c r="L56" s="11" t="s">
        <v>766</v>
      </c>
      <c r="M56" s="11" t="n">
        <v>1</v>
      </c>
      <c r="P56" s="11" t="s">
        <v>3123</v>
      </c>
    </row>
    <row r="57" customFormat="false" ht="15" hidden="false" customHeight="false" outlineLevel="0" collapsed="false">
      <c r="A57" s="2" t="s">
        <v>3178</v>
      </c>
      <c r="B57" s="11" t="s">
        <v>1841</v>
      </c>
      <c r="C57" s="11" t="s">
        <v>1433</v>
      </c>
      <c r="D57" s="11" t="s">
        <v>776</v>
      </c>
      <c r="E57" s="11" t="s">
        <v>804</v>
      </c>
      <c r="G57" s="11" t="s">
        <v>272</v>
      </c>
      <c r="H57" s="11" t="s">
        <v>1144</v>
      </c>
      <c r="I57" s="11" t="s">
        <v>1145</v>
      </c>
      <c r="J57" s="11" t="s">
        <v>1144</v>
      </c>
      <c r="K57" s="11" t="s">
        <v>1145</v>
      </c>
      <c r="L57" s="11" t="s">
        <v>766</v>
      </c>
      <c r="M57" s="11" t="n">
        <v>1</v>
      </c>
      <c r="P57" s="11" t="s">
        <v>3123</v>
      </c>
    </row>
    <row r="58" customFormat="false" ht="15" hidden="false" customHeight="false" outlineLevel="0" collapsed="false">
      <c r="A58" s="2" t="s">
        <v>3179</v>
      </c>
      <c r="B58" s="11" t="s">
        <v>1832</v>
      </c>
      <c r="C58" s="11" t="s">
        <v>1395</v>
      </c>
      <c r="D58" s="11" t="s">
        <v>750</v>
      </c>
      <c r="E58" s="11" t="s">
        <v>779</v>
      </c>
      <c r="G58" s="11" t="s">
        <v>258</v>
      </c>
      <c r="H58" s="11" t="s">
        <v>1144</v>
      </c>
      <c r="I58" s="11" t="s">
        <v>1145</v>
      </c>
      <c r="J58" s="11" t="s">
        <v>1144</v>
      </c>
      <c r="K58" s="11" t="s">
        <v>1145</v>
      </c>
      <c r="L58" s="11" t="s">
        <v>766</v>
      </c>
      <c r="M58" s="11" t="n">
        <v>1</v>
      </c>
      <c r="P58" s="11" t="s">
        <v>3123</v>
      </c>
    </row>
    <row r="59" customFormat="false" ht="15" hidden="false" customHeight="false" outlineLevel="0" collapsed="false">
      <c r="A59" s="2" t="s">
        <v>3180</v>
      </c>
      <c r="B59" s="11" t="s">
        <v>1832</v>
      </c>
      <c r="C59" s="11" t="s">
        <v>1401</v>
      </c>
      <c r="D59" s="11" t="s">
        <v>776</v>
      </c>
      <c r="E59" s="11" t="s">
        <v>779</v>
      </c>
      <c r="G59" s="11" t="s">
        <v>272</v>
      </c>
      <c r="H59" s="11" t="s">
        <v>1144</v>
      </c>
      <c r="I59" s="11" t="s">
        <v>1145</v>
      </c>
      <c r="J59" s="11" t="s">
        <v>1144</v>
      </c>
      <c r="K59" s="11" t="s">
        <v>1145</v>
      </c>
      <c r="L59" s="11" t="s">
        <v>766</v>
      </c>
      <c r="M59" s="11" t="n">
        <v>1</v>
      </c>
      <c r="P59" s="11" t="s">
        <v>3123</v>
      </c>
    </row>
    <row r="60" customFormat="false" ht="15" hidden="false" customHeight="false" outlineLevel="0" collapsed="false">
      <c r="A60" s="2" t="s">
        <v>3181</v>
      </c>
      <c r="B60" s="11" t="s">
        <v>1832</v>
      </c>
      <c r="C60" s="11" t="s">
        <v>1354</v>
      </c>
      <c r="D60" s="11" t="s">
        <v>776</v>
      </c>
      <c r="E60" s="11" t="s">
        <v>752</v>
      </c>
      <c r="G60" s="11" t="s">
        <v>272</v>
      </c>
      <c r="H60" s="11" t="s">
        <v>1144</v>
      </c>
      <c r="I60" s="11" t="s">
        <v>1145</v>
      </c>
      <c r="J60" s="11" t="s">
        <v>1144</v>
      </c>
      <c r="K60" s="11" t="s">
        <v>1145</v>
      </c>
      <c r="L60" s="11" t="s">
        <v>766</v>
      </c>
      <c r="M60" s="11" t="n">
        <v>1</v>
      </c>
      <c r="P60" s="11" t="s">
        <v>3123</v>
      </c>
    </row>
    <row r="61" customFormat="false" ht="15" hidden="false" customHeight="false" outlineLevel="0" collapsed="false">
      <c r="A61" s="2" t="s">
        <v>3182</v>
      </c>
      <c r="B61" s="11" t="s">
        <v>1832</v>
      </c>
      <c r="C61" s="11" t="s">
        <v>1364</v>
      </c>
      <c r="D61" s="11" t="s">
        <v>776</v>
      </c>
      <c r="E61" s="11" t="s">
        <v>752</v>
      </c>
      <c r="G61" s="11" t="s">
        <v>272</v>
      </c>
      <c r="H61" s="11" t="s">
        <v>1144</v>
      </c>
      <c r="I61" s="11" t="s">
        <v>1145</v>
      </c>
      <c r="J61" s="11" t="s">
        <v>1144</v>
      </c>
      <c r="K61" s="11" t="s">
        <v>1145</v>
      </c>
      <c r="L61" s="11" t="s">
        <v>766</v>
      </c>
      <c r="M61" s="11" t="n">
        <v>1</v>
      </c>
      <c r="P61" s="11" t="s">
        <v>3123</v>
      </c>
    </row>
    <row r="62" customFormat="false" ht="15" hidden="false" customHeight="false" outlineLevel="0" collapsed="false">
      <c r="A62" s="2" t="s">
        <v>3183</v>
      </c>
      <c r="B62" s="11" t="s">
        <v>2193</v>
      </c>
      <c r="C62" s="11" t="s">
        <v>1354</v>
      </c>
      <c r="D62" s="11" t="s">
        <v>750</v>
      </c>
      <c r="E62" s="11" t="s">
        <v>752</v>
      </c>
      <c r="G62" s="11" t="s">
        <v>258</v>
      </c>
      <c r="H62" s="11" t="s">
        <v>1144</v>
      </c>
      <c r="I62" s="11" t="s">
        <v>1145</v>
      </c>
      <c r="J62" s="11" t="s">
        <v>1144</v>
      </c>
      <c r="K62" s="11" t="s">
        <v>1145</v>
      </c>
      <c r="L62" s="11" t="s">
        <v>766</v>
      </c>
      <c r="M62" s="11" t="n">
        <v>1</v>
      </c>
      <c r="P62" s="11" t="s">
        <v>3123</v>
      </c>
    </row>
    <row r="63" customFormat="false" ht="15" hidden="false" customHeight="false" outlineLevel="0" collapsed="false">
      <c r="A63" s="2" t="s">
        <v>3184</v>
      </c>
      <c r="B63" s="11" t="s">
        <v>2193</v>
      </c>
      <c r="C63" s="11" t="s">
        <v>1395</v>
      </c>
      <c r="D63" s="11" t="s">
        <v>776</v>
      </c>
      <c r="E63" s="11" t="s">
        <v>779</v>
      </c>
      <c r="G63" s="11" t="s">
        <v>272</v>
      </c>
      <c r="H63" s="11" t="s">
        <v>1144</v>
      </c>
      <c r="I63" s="11" t="s">
        <v>1145</v>
      </c>
      <c r="J63" s="11" t="s">
        <v>1144</v>
      </c>
      <c r="K63" s="11" t="s">
        <v>1145</v>
      </c>
      <c r="L63" s="11" t="s">
        <v>766</v>
      </c>
      <c r="M63" s="11" t="n">
        <v>1</v>
      </c>
      <c r="P63" s="11" t="s">
        <v>3123</v>
      </c>
    </row>
    <row r="64" customFormat="false" ht="15" hidden="false" customHeight="false" outlineLevel="0" collapsed="false">
      <c r="A64" s="2" t="s">
        <v>3185</v>
      </c>
      <c r="B64" s="11" t="s">
        <v>2193</v>
      </c>
      <c r="C64" s="11" t="s">
        <v>1379</v>
      </c>
      <c r="D64" s="11" t="s">
        <v>776</v>
      </c>
      <c r="E64" s="11" t="s">
        <v>779</v>
      </c>
      <c r="G64" s="11" t="s">
        <v>272</v>
      </c>
      <c r="H64" s="11" t="s">
        <v>1144</v>
      </c>
      <c r="I64" s="11" t="s">
        <v>1145</v>
      </c>
      <c r="J64" s="11" t="s">
        <v>1144</v>
      </c>
      <c r="K64" s="11" t="s">
        <v>1145</v>
      </c>
      <c r="L64" s="11" t="s">
        <v>766</v>
      </c>
      <c r="M64" s="11" t="n">
        <v>1</v>
      </c>
      <c r="P64" s="11" t="s">
        <v>3123</v>
      </c>
    </row>
    <row r="65" customFormat="false" ht="15" hidden="false" customHeight="false" outlineLevel="0" collapsed="false">
      <c r="A65" s="2" t="s">
        <v>3186</v>
      </c>
      <c r="B65" s="11" t="s">
        <v>2193</v>
      </c>
      <c r="C65" s="11" t="s">
        <v>1428</v>
      </c>
      <c r="D65" s="11" t="s">
        <v>776</v>
      </c>
      <c r="E65" s="11" t="s">
        <v>804</v>
      </c>
      <c r="G65" s="11" t="s">
        <v>272</v>
      </c>
      <c r="H65" s="11" t="s">
        <v>1144</v>
      </c>
      <c r="I65" s="11" t="s">
        <v>1145</v>
      </c>
      <c r="J65" s="11" t="s">
        <v>1144</v>
      </c>
      <c r="K65" s="11" t="s">
        <v>1145</v>
      </c>
      <c r="L65" s="11" t="s">
        <v>766</v>
      </c>
      <c r="M65" s="11" t="n">
        <v>1</v>
      </c>
      <c r="P65" s="11" t="s">
        <v>3123</v>
      </c>
    </row>
    <row r="66" customFormat="false" ht="15" hidden="false" customHeight="false" outlineLevel="0" collapsed="false">
      <c r="A66" s="2" t="s">
        <v>3187</v>
      </c>
      <c r="B66" s="11" t="s">
        <v>2201</v>
      </c>
      <c r="C66" s="11" t="s">
        <v>1354</v>
      </c>
      <c r="D66" s="11" t="s">
        <v>750</v>
      </c>
      <c r="E66" s="11" t="s">
        <v>752</v>
      </c>
      <c r="G66" s="11" t="s">
        <v>258</v>
      </c>
      <c r="H66" s="11" t="s">
        <v>1144</v>
      </c>
      <c r="I66" s="11" t="s">
        <v>1145</v>
      </c>
      <c r="J66" s="11" t="s">
        <v>1144</v>
      </c>
      <c r="K66" s="11" t="s">
        <v>1145</v>
      </c>
      <c r="L66" s="11" t="s">
        <v>766</v>
      </c>
      <c r="M66" s="11" t="n">
        <v>1</v>
      </c>
      <c r="P66" s="11" t="s">
        <v>3123</v>
      </c>
    </row>
    <row r="67" customFormat="false" ht="15" hidden="false" customHeight="false" outlineLevel="0" collapsed="false">
      <c r="A67" s="2" t="s">
        <v>3188</v>
      </c>
      <c r="B67" s="11" t="s">
        <v>2201</v>
      </c>
      <c r="C67" s="11" t="s">
        <v>1395</v>
      </c>
      <c r="D67" s="11" t="s">
        <v>776</v>
      </c>
      <c r="E67" s="11" t="s">
        <v>779</v>
      </c>
      <c r="G67" s="11" t="s">
        <v>272</v>
      </c>
      <c r="H67" s="11" t="s">
        <v>1144</v>
      </c>
      <c r="I67" s="11" t="s">
        <v>1145</v>
      </c>
      <c r="J67" s="11" t="s">
        <v>1144</v>
      </c>
      <c r="K67" s="11" t="s">
        <v>1145</v>
      </c>
      <c r="L67" s="11" t="s">
        <v>766</v>
      </c>
      <c r="M67" s="11" t="n">
        <v>1</v>
      </c>
      <c r="P67" s="11" t="s">
        <v>3123</v>
      </c>
    </row>
    <row r="68" customFormat="false" ht="15" hidden="false" customHeight="false" outlineLevel="0" collapsed="false">
      <c r="A68" s="2" t="s">
        <v>3189</v>
      </c>
      <c r="B68" s="11" t="s">
        <v>2201</v>
      </c>
      <c r="C68" s="11" t="s">
        <v>1379</v>
      </c>
      <c r="D68" s="11" t="s">
        <v>776</v>
      </c>
      <c r="E68" s="11" t="s">
        <v>779</v>
      </c>
      <c r="G68" s="11" t="s">
        <v>272</v>
      </c>
      <c r="H68" s="11" t="s">
        <v>1144</v>
      </c>
      <c r="I68" s="11" t="s">
        <v>1145</v>
      </c>
      <c r="J68" s="11" t="s">
        <v>1144</v>
      </c>
      <c r="K68" s="11" t="s">
        <v>1145</v>
      </c>
      <c r="L68" s="11" t="s">
        <v>766</v>
      </c>
      <c r="M68" s="11" t="n">
        <v>1</v>
      </c>
      <c r="P68" s="11" t="s">
        <v>3123</v>
      </c>
    </row>
    <row r="69" customFormat="false" ht="15" hidden="false" customHeight="false" outlineLevel="0" collapsed="false">
      <c r="A69" s="2" t="s">
        <v>3190</v>
      </c>
      <c r="B69" s="11" t="s">
        <v>2201</v>
      </c>
      <c r="C69" s="11" t="s">
        <v>1428</v>
      </c>
      <c r="D69" s="11" t="s">
        <v>776</v>
      </c>
      <c r="E69" s="11" t="s">
        <v>804</v>
      </c>
      <c r="G69" s="11" t="s">
        <v>272</v>
      </c>
      <c r="H69" s="11" t="s">
        <v>1144</v>
      </c>
      <c r="I69" s="11" t="s">
        <v>1145</v>
      </c>
      <c r="J69" s="11" t="s">
        <v>1144</v>
      </c>
      <c r="K69" s="11" t="s">
        <v>1145</v>
      </c>
      <c r="L69" s="11" t="s">
        <v>766</v>
      </c>
      <c r="M69" s="11" t="n">
        <v>1</v>
      </c>
      <c r="P69" s="11" t="s">
        <v>3123</v>
      </c>
    </row>
    <row r="70" customFormat="false" ht="15" hidden="false" customHeight="false" outlineLevel="0" collapsed="false">
      <c r="A70" s="2" t="s">
        <v>3191</v>
      </c>
      <c r="B70" s="11" t="s">
        <v>2207</v>
      </c>
      <c r="C70" s="11" t="s">
        <v>1395</v>
      </c>
      <c r="D70" s="11" t="s">
        <v>750</v>
      </c>
      <c r="E70" s="11" t="s">
        <v>779</v>
      </c>
      <c r="G70" s="11" t="s">
        <v>258</v>
      </c>
      <c r="H70" s="11" t="s">
        <v>1144</v>
      </c>
      <c r="I70" s="11" t="s">
        <v>1145</v>
      </c>
      <c r="J70" s="11" t="s">
        <v>1144</v>
      </c>
      <c r="K70" s="11" t="s">
        <v>1145</v>
      </c>
      <c r="L70" s="11" t="s">
        <v>766</v>
      </c>
      <c r="M70" s="11" t="n">
        <v>1</v>
      </c>
      <c r="P70" s="11" t="s">
        <v>3123</v>
      </c>
    </row>
    <row r="71" customFormat="false" ht="15" hidden="false" customHeight="false" outlineLevel="0" collapsed="false">
      <c r="A71" s="2" t="s">
        <v>3192</v>
      </c>
      <c r="B71" s="11" t="s">
        <v>2207</v>
      </c>
      <c r="C71" s="11" t="s">
        <v>1401</v>
      </c>
      <c r="D71" s="11" t="s">
        <v>776</v>
      </c>
      <c r="E71" s="11" t="s">
        <v>779</v>
      </c>
      <c r="G71" s="11" t="s">
        <v>272</v>
      </c>
      <c r="H71" s="11" t="s">
        <v>1144</v>
      </c>
      <c r="I71" s="11" t="s">
        <v>1145</v>
      </c>
      <c r="J71" s="11" t="s">
        <v>1144</v>
      </c>
      <c r="K71" s="11" t="s">
        <v>1145</v>
      </c>
      <c r="L71" s="11" t="s">
        <v>766</v>
      </c>
      <c r="M71" s="11" t="n">
        <v>1</v>
      </c>
      <c r="P71" s="11" t="s">
        <v>3123</v>
      </c>
    </row>
    <row r="72" customFormat="false" ht="15" hidden="false" customHeight="false" outlineLevel="0" collapsed="false">
      <c r="A72" s="2" t="s">
        <v>3193</v>
      </c>
      <c r="B72" s="11" t="s">
        <v>1882</v>
      </c>
      <c r="C72" s="11" t="s">
        <v>1433</v>
      </c>
      <c r="D72" s="11" t="s">
        <v>750</v>
      </c>
      <c r="E72" s="11" t="s">
        <v>804</v>
      </c>
      <c r="G72" s="11" t="s">
        <v>258</v>
      </c>
      <c r="H72" s="11" t="s">
        <v>1144</v>
      </c>
      <c r="I72" s="11" t="s">
        <v>1145</v>
      </c>
      <c r="J72" s="11" t="s">
        <v>1144</v>
      </c>
      <c r="K72" s="11" t="s">
        <v>1145</v>
      </c>
      <c r="L72" s="11" t="s">
        <v>766</v>
      </c>
      <c r="M72" s="11" t="n">
        <v>1</v>
      </c>
      <c r="P72" s="11" t="s">
        <v>3123</v>
      </c>
    </row>
    <row r="73" customFormat="false" ht="15" hidden="false" customHeight="false" outlineLevel="0" collapsed="false">
      <c r="A73" s="2" t="s">
        <v>3194</v>
      </c>
      <c r="B73" s="11" t="s">
        <v>1882</v>
      </c>
      <c r="C73" s="11" t="s">
        <v>1395</v>
      </c>
      <c r="D73" s="11" t="s">
        <v>776</v>
      </c>
      <c r="E73" s="11" t="s">
        <v>779</v>
      </c>
      <c r="G73" s="11" t="s">
        <v>272</v>
      </c>
      <c r="H73" s="11" t="s">
        <v>1144</v>
      </c>
      <c r="I73" s="11" t="s">
        <v>1145</v>
      </c>
      <c r="J73" s="11" t="s">
        <v>1144</v>
      </c>
      <c r="K73" s="11" t="s">
        <v>1145</v>
      </c>
      <c r="L73" s="11" t="s">
        <v>766</v>
      </c>
      <c r="M73" s="11" t="n">
        <v>1</v>
      </c>
      <c r="P73" s="11" t="s">
        <v>3123</v>
      </c>
    </row>
    <row r="74" customFormat="false" ht="15" hidden="false" customHeight="false" outlineLevel="0" collapsed="false">
      <c r="A74" s="2" t="s">
        <v>3195</v>
      </c>
      <c r="B74" s="11" t="s">
        <v>1882</v>
      </c>
      <c r="C74" s="11" t="s">
        <v>1428</v>
      </c>
      <c r="D74" s="11" t="s">
        <v>776</v>
      </c>
      <c r="E74" s="11" t="s">
        <v>804</v>
      </c>
      <c r="G74" s="11" t="s">
        <v>272</v>
      </c>
      <c r="H74" s="11" t="s">
        <v>1144</v>
      </c>
      <c r="I74" s="11" t="s">
        <v>1145</v>
      </c>
      <c r="J74" s="11" t="s">
        <v>1144</v>
      </c>
      <c r="K74" s="11" t="s">
        <v>1145</v>
      </c>
      <c r="L74" s="11" t="s">
        <v>766</v>
      </c>
      <c r="M74" s="11" t="n">
        <v>1</v>
      </c>
      <c r="P74" s="11" t="s">
        <v>3123</v>
      </c>
    </row>
    <row r="75" customFormat="false" ht="15" hidden="false" customHeight="false" outlineLevel="0" collapsed="false">
      <c r="A75" s="2" t="s">
        <v>3196</v>
      </c>
      <c r="B75" s="11" t="s">
        <v>2221</v>
      </c>
      <c r="C75" s="11" t="s">
        <v>1395</v>
      </c>
      <c r="D75" s="11" t="s">
        <v>750</v>
      </c>
      <c r="E75" s="11" t="s">
        <v>779</v>
      </c>
      <c r="G75" s="11" t="s">
        <v>258</v>
      </c>
      <c r="H75" s="11" t="s">
        <v>1144</v>
      </c>
      <c r="I75" s="11" t="s">
        <v>1145</v>
      </c>
      <c r="J75" s="11" t="s">
        <v>1144</v>
      </c>
      <c r="K75" s="11" t="s">
        <v>1145</v>
      </c>
      <c r="L75" s="11" t="s">
        <v>766</v>
      </c>
      <c r="M75" s="11" t="n">
        <v>1</v>
      </c>
      <c r="P75" s="11" t="s">
        <v>3123</v>
      </c>
    </row>
    <row r="76" customFormat="false" ht="15" hidden="false" customHeight="false" outlineLevel="0" collapsed="false">
      <c r="A76" s="2" t="s">
        <v>3197</v>
      </c>
      <c r="B76" s="11" t="s">
        <v>2221</v>
      </c>
      <c r="C76" s="11" t="s">
        <v>1401</v>
      </c>
      <c r="D76" s="11" t="s">
        <v>776</v>
      </c>
      <c r="E76" s="11" t="s">
        <v>779</v>
      </c>
      <c r="G76" s="11" t="s">
        <v>272</v>
      </c>
      <c r="H76" s="11" t="s">
        <v>1144</v>
      </c>
      <c r="I76" s="11" t="s">
        <v>1145</v>
      </c>
      <c r="J76" s="11" t="s">
        <v>1144</v>
      </c>
      <c r="K76" s="11" t="s">
        <v>1145</v>
      </c>
      <c r="L76" s="11" t="s">
        <v>766</v>
      </c>
      <c r="M76" s="11" t="n">
        <v>1</v>
      </c>
      <c r="P76" s="11" t="s">
        <v>3123</v>
      </c>
    </row>
    <row r="77" customFormat="false" ht="15" hidden="false" customHeight="false" outlineLevel="0" collapsed="false">
      <c r="A77" s="2" t="s">
        <v>3198</v>
      </c>
      <c r="B77" s="11" t="s">
        <v>2221</v>
      </c>
      <c r="C77" s="11" t="s">
        <v>1354</v>
      </c>
      <c r="D77" s="11" t="s">
        <v>776</v>
      </c>
      <c r="E77" s="11" t="s">
        <v>752</v>
      </c>
      <c r="G77" s="11" t="s">
        <v>272</v>
      </c>
      <c r="H77" s="11" t="s">
        <v>1144</v>
      </c>
      <c r="I77" s="11" t="s">
        <v>1145</v>
      </c>
      <c r="J77" s="11" t="s">
        <v>1144</v>
      </c>
      <c r="K77" s="11" t="s">
        <v>1145</v>
      </c>
      <c r="L77" s="11" t="s">
        <v>766</v>
      </c>
      <c r="M77" s="11" t="n">
        <v>1</v>
      </c>
      <c r="P77" s="11" t="s">
        <v>3123</v>
      </c>
    </row>
    <row r="78" customFormat="false" ht="15" hidden="false" customHeight="false" outlineLevel="0" collapsed="false">
      <c r="A78" s="2" t="s">
        <v>3199</v>
      </c>
      <c r="B78" s="11" t="s">
        <v>2221</v>
      </c>
      <c r="C78" s="11" t="s">
        <v>1364</v>
      </c>
      <c r="D78" s="11" t="s">
        <v>776</v>
      </c>
      <c r="E78" s="11" t="s">
        <v>752</v>
      </c>
      <c r="G78" s="11" t="s">
        <v>272</v>
      </c>
      <c r="H78" s="11" t="s">
        <v>1144</v>
      </c>
      <c r="I78" s="11" t="s">
        <v>1145</v>
      </c>
      <c r="J78" s="11" t="s">
        <v>1144</v>
      </c>
      <c r="K78" s="11" t="s">
        <v>1145</v>
      </c>
      <c r="L78" s="11" t="s">
        <v>766</v>
      </c>
      <c r="M78" s="11" t="n">
        <v>1</v>
      </c>
      <c r="P78" s="11" t="s">
        <v>3123</v>
      </c>
    </row>
    <row r="79" customFormat="false" ht="15" hidden="false" customHeight="false" outlineLevel="0" collapsed="false">
      <c r="A79" s="2" t="s">
        <v>3200</v>
      </c>
      <c r="B79" s="11" t="s">
        <v>2230</v>
      </c>
      <c r="C79" s="11" t="s">
        <v>1354</v>
      </c>
      <c r="D79" s="11" t="s">
        <v>750</v>
      </c>
      <c r="E79" s="11" t="s">
        <v>752</v>
      </c>
      <c r="G79" s="11" t="s">
        <v>258</v>
      </c>
      <c r="H79" s="11" t="s">
        <v>1144</v>
      </c>
      <c r="I79" s="11" t="s">
        <v>1145</v>
      </c>
      <c r="J79" s="11" t="s">
        <v>1144</v>
      </c>
      <c r="K79" s="11" t="s">
        <v>1145</v>
      </c>
      <c r="L79" s="11" t="s">
        <v>766</v>
      </c>
      <c r="M79" s="11" t="n">
        <v>1</v>
      </c>
      <c r="P79" s="11" t="s">
        <v>3123</v>
      </c>
    </row>
    <row r="80" customFormat="false" ht="15" hidden="false" customHeight="false" outlineLevel="0" collapsed="false">
      <c r="A80" s="2" t="s">
        <v>3201</v>
      </c>
      <c r="B80" s="11" t="s">
        <v>2236</v>
      </c>
      <c r="C80" s="11" t="s">
        <v>1354</v>
      </c>
      <c r="D80" s="11" t="s">
        <v>750</v>
      </c>
      <c r="E80" s="11" t="s">
        <v>752</v>
      </c>
      <c r="G80" s="11" t="s">
        <v>258</v>
      </c>
      <c r="H80" s="11" t="s">
        <v>1144</v>
      </c>
      <c r="I80" s="11" t="s">
        <v>1145</v>
      </c>
      <c r="J80" s="11" t="s">
        <v>1144</v>
      </c>
      <c r="K80" s="11" t="s">
        <v>1145</v>
      </c>
      <c r="L80" s="11" t="s">
        <v>766</v>
      </c>
      <c r="M80" s="11" t="n">
        <v>1</v>
      </c>
      <c r="P80" s="11" t="s">
        <v>3123</v>
      </c>
    </row>
    <row r="81" customFormat="false" ht="15" hidden="false" customHeight="false" outlineLevel="0" collapsed="false">
      <c r="A81" s="2" t="s">
        <v>3202</v>
      </c>
      <c r="B81" s="11" t="s">
        <v>2242</v>
      </c>
      <c r="C81" s="11" t="s">
        <v>1395</v>
      </c>
      <c r="D81" s="11" t="s">
        <v>750</v>
      </c>
      <c r="E81" s="11" t="s">
        <v>779</v>
      </c>
      <c r="G81" s="11" t="s">
        <v>258</v>
      </c>
      <c r="H81" s="11" t="s">
        <v>1144</v>
      </c>
      <c r="I81" s="11" t="s">
        <v>1145</v>
      </c>
      <c r="J81" s="11" t="s">
        <v>1144</v>
      </c>
      <c r="K81" s="11" t="s">
        <v>1145</v>
      </c>
      <c r="L81" s="11" t="s">
        <v>766</v>
      </c>
      <c r="M81" s="11" t="n">
        <v>1</v>
      </c>
      <c r="P81" s="11" t="s">
        <v>3123</v>
      </c>
    </row>
    <row r="82" customFormat="false" ht="15" hidden="false" customHeight="false" outlineLevel="0" collapsed="false">
      <c r="A82" s="2" t="s">
        <v>3203</v>
      </c>
      <c r="B82" s="11" t="s">
        <v>2242</v>
      </c>
      <c r="C82" s="11" t="s">
        <v>1401</v>
      </c>
      <c r="D82" s="11" t="s">
        <v>776</v>
      </c>
      <c r="E82" s="11" t="s">
        <v>779</v>
      </c>
      <c r="G82" s="11" t="s">
        <v>272</v>
      </c>
      <c r="H82" s="11" t="s">
        <v>1144</v>
      </c>
      <c r="I82" s="11" t="s">
        <v>1145</v>
      </c>
      <c r="J82" s="11" t="s">
        <v>1144</v>
      </c>
      <c r="K82" s="11" t="s">
        <v>1145</v>
      </c>
      <c r="L82" s="11" t="s">
        <v>766</v>
      </c>
      <c r="M82" s="11" t="n">
        <v>1</v>
      </c>
      <c r="P82" s="11" t="s">
        <v>3123</v>
      </c>
    </row>
    <row r="83" customFormat="false" ht="15" hidden="false" customHeight="false" outlineLevel="0" collapsed="false">
      <c r="A83" s="2" t="s">
        <v>3204</v>
      </c>
      <c r="B83" s="11" t="s">
        <v>2248</v>
      </c>
      <c r="C83" s="11" t="s">
        <v>1379</v>
      </c>
      <c r="D83" s="11" t="s">
        <v>750</v>
      </c>
      <c r="E83" s="11" t="s">
        <v>779</v>
      </c>
      <c r="G83" s="11" t="s">
        <v>258</v>
      </c>
      <c r="H83" s="11" t="s">
        <v>1144</v>
      </c>
      <c r="I83" s="11" t="s">
        <v>1145</v>
      </c>
      <c r="J83" s="11" t="s">
        <v>1144</v>
      </c>
      <c r="K83" s="11" t="s">
        <v>1145</v>
      </c>
      <c r="L83" s="11" t="s">
        <v>766</v>
      </c>
      <c r="M83" s="11" t="n">
        <v>1</v>
      </c>
      <c r="P83" s="11" t="s">
        <v>3123</v>
      </c>
    </row>
    <row r="84" customFormat="false" ht="15" hidden="false" customHeight="false" outlineLevel="0" collapsed="false">
      <c r="A84" s="2" t="s">
        <v>3205</v>
      </c>
      <c r="B84" s="11" t="s">
        <v>2248</v>
      </c>
      <c r="C84" s="11" t="s">
        <v>1395</v>
      </c>
      <c r="D84" s="11" t="s">
        <v>776</v>
      </c>
      <c r="E84" s="11" t="s">
        <v>779</v>
      </c>
      <c r="G84" s="11" t="s">
        <v>272</v>
      </c>
      <c r="H84" s="11" t="s">
        <v>1144</v>
      </c>
      <c r="I84" s="11" t="s">
        <v>1145</v>
      </c>
      <c r="J84" s="11" t="s">
        <v>1144</v>
      </c>
      <c r="K84" s="11" t="s">
        <v>1145</v>
      </c>
      <c r="L84" s="11" t="s">
        <v>766</v>
      </c>
      <c r="M84" s="11" t="n">
        <v>1</v>
      </c>
      <c r="P84" s="11" t="s">
        <v>3123</v>
      </c>
    </row>
    <row r="85" customFormat="false" ht="15" hidden="false" customHeight="false" outlineLevel="0" collapsed="false">
      <c r="A85" s="2" t="s">
        <v>3206</v>
      </c>
      <c r="B85" s="11" t="s">
        <v>2248</v>
      </c>
      <c r="C85" s="11" t="s">
        <v>1364</v>
      </c>
      <c r="D85" s="11" t="s">
        <v>776</v>
      </c>
      <c r="E85" s="11" t="s">
        <v>752</v>
      </c>
      <c r="G85" s="11" t="s">
        <v>272</v>
      </c>
      <c r="H85" s="11" t="s">
        <v>1144</v>
      </c>
      <c r="I85" s="11" t="s">
        <v>1145</v>
      </c>
      <c r="J85" s="11" t="s">
        <v>1144</v>
      </c>
      <c r="K85" s="11" t="s">
        <v>1145</v>
      </c>
      <c r="L85" s="11" t="s">
        <v>766</v>
      </c>
      <c r="M85" s="11" t="n">
        <v>1</v>
      </c>
      <c r="P85" s="11" t="s">
        <v>3123</v>
      </c>
    </row>
    <row r="86" customFormat="false" ht="15" hidden="false" customHeight="false" outlineLevel="0" collapsed="false">
      <c r="A86" s="2" t="s">
        <v>3207</v>
      </c>
      <c r="B86" s="11" t="s">
        <v>2254</v>
      </c>
      <c r="C86" s="11" t="s">
        <v>1379</v>
      </c>
      <c r="D86" s="11" t="s">
        <v>750</v>
      </c>
      <c r="E86" s="11" t="s">
        <v>779</v>
      </c>
      <c r="G86" s="11" t="s">
        <v>258</v>
      </c>
      <c r="H86" s="11" t="s">
        <v>1144</v>
      </c>
      <c r="I86" s="11" t="s">
        <v>1145</v>
      </c>
      <c r="J86" s="11" t="s">
        <v>1144</v>
      </c>
      <c r="K86" s="11" t="s">
        <v>1145</v>
      </c>
      <c r="L86" s="11" t="s">
        <v>766</v>
      </c>
      <c r="M86" s="11" t="n">
        <v>1</v>
      </c>
      <c r="P86" s="11" t="s">
        <v>3123</v>
      </c>
    </row>
    <row r="87" customFormat="false" ht="15" hidden="false" customHeight="false" outlineLevel="0" collapsed="false">
      <c r="A87" s="2" t="s">
        <v>3208</v>
      </c>
      <c r="B87" s="11" t="s">
        <v>2260</v>
      </c>
      <c r="C87" s="11" t="s">
        <v>1354</v>
      </c>
      <c r="D87" s="11" t="s">
        <v>750</v>
      </c>
      <c r="E87" s="11" t="s">
        <v>752</v>
      </c>
      <c r="G87" s="11" t="s">
        <v>258</v>
      </c>
      <c r="H87" s="11" t="s">
        <v>1144</v>
      </c>
      <c r="I87" s="11" t="s">
        <v>1145</v>
      </c>
      <c r="J87" s="11" t="s">
        <v>1144</v>
      </c>
      <c r="K87" s="11" t="s">
        <v>1145</v>
      </c>
      <c r="L87" s="11" t="s">
        <v>766</v>
      </c>
      <c r="M87" s="11" t="n">
        <v>1</v>
      </c>
      <c r="P87" s="11" t="s">
        <v>3123</v>
      </c>
    </row>
    <row r="88" customFormat="false" ht="15" hidden="false" customHeight="false" outlineLevel="0" collapsed="false">
      <c r="A88" s="2" t="s">
        <v>3209</v>
      </c>
      <c r="B88" s="11" t="s">
        <v>2265</v>
      </c>
      <c r="C88" s="11" t="s">
        <v>1379</v>
      </c>
      <c r="D88" s="11" t="s">
        <v>750</v>
      </c>
      <c r="E88" s="11" t="s">
        <v>779</v>
      </c>
      <c r="G88" s="11" t="s">
        <v>258</v>
      </c>
      <c r="H88" s="11" t="s">
        <v>1144</v>
      </c>
      <c r="I88" s="11" t="s">
        <v>1145</v>
      </c>
      <c r="J88" s="11" t="s">
        <v>1144</v>
      </c>
      <c r="K88" s="11" t="s">
        <v>1145</v>
      </c>
      <c r="L88" s="11" t="s">
        <v>766</v>
      </c>
      <c r="M88" s="11" t="n">
        <v>1</v>
      </c>
      <c r="P88" s="11" t="s">
        <v>3123</v>
      </c>
    </row>
    <row r="89" customFormat="false" ht="15" hidden="false" customHeight="false" outlineLevel="0" collapsed="false">
      <c r="A89" s="2" t="s">
        <v>3210</v>
      </c>
      <c r="B89" s="11" t="s">
        <v>2271</v>
      </c>
      <c r="C89" s="11" t="s">
        <v>1354</v>
      </c>
      <c r="D89" s="11" t="s">
        <v>750</v>
      </c>
      <c r="E89" s="11" t="s">
        <v>752</v>
      </c>
      <c r="G89" s="11" t="s">
        <v>258</v>
      </c>
      <c r="H89" s="11" t="s">
        <v>1144</v>
      </c>
      <c r="I89" s="11" t="s">
        <v>1145</v>
      </c>
      <c r="J89" s="11" t="s">
        <v>1144</v>
      </c>
      <c r="K89" s="11" t="s">
        <v>1145</v>
      </c>
      <c r="L89" s="11" t="s">
        <v>766</v>
      </c>
      <c r="M89" s="11" t="n">
        <v>1</v>
      </c>
      <c r="P89" s="11" t="s">
        <v>3123</v>
      </c>
    </row>
    <row r="90" customFormat="false" ht="15" hidden="false" customHeight="false" outlineLevel="0" collapsed="false">
      <c r="A90" s="2" t="s">
        <v>3211</v>
      </c>
      <c r="B90" s="11" t="s">
        <v>2271</v>
      </c>
      <c r="C90" s="11" t="s">
        <v>1364</v>
      </c>
      <c r="D90" s="11" t="s">
        <v>776</v>
      </c>
      <c r="E90" s="11" t="s">
        <v>752</v>
      </c>
      <c r="G90" s="11" t="s">
        <v>272</v>
      </c>
      <c r="H90" s="11" t="s">
        <v>1144</v>
      </c>
      <c r="I90" s="11" t="s">
        <v>1145</v>
      </c>
      <c r="J90" s="11" t="s">
        <v>1144</v>
      </c>
      <c r="K90" s="11" t="s">
        <v>1145</v>
      </c>
      <c r="L90" s="11" t="s">
        <v>766</v>
      </c>
      <c r="M90" s="11" t="n">
        <v>1</v>
      </c>
      <c r="P90" s="11" t="s">
        <v>3123</v>
      </c>
    </row>
    <row r="91" customFormat="false" ht="15" hidden="false" customHeight="false" outlineLevel="0" collapsed="false">
      <c r="A91" s="2" t="s">
        <v>3212</v>
      </c>
      <c r="B91" s="11" t="s">
        <v>2271</v>
      </c>
      <c r="C91" s="11" t="s">
        <v>1379</v>
      </c>
      <c r="D91" s="11" t="s">
        <v>776</v>
      </c>
      <c r="E91" s="11" t="s">
        <v>779</v>
      </c>
      <c r="G91" s="11" t="s">
        <v>272</v>
      </c>
      <c r="H91" s="11" t="s">
        <v>1144</v>
      </c>
      <c r="I91" s="11" t="s">
        <v>1145</v>
      </c>
      <c r="J91" s="11" t="s">
        <v>1144</v>
      </c>
      <c r="K91" s="11" t="s">
        <v>1145</v>
      </c>
      <c r="L91" s="11" t="s">
        <v>766</v>
      </c>
      <c r="M91" s="11" t="n">
        <v>1</v>
      </c>
      <c r="P91" s="11" t="s">
        <v>3123</v>
      </c>
    </row>
    <row r="92" customFormat="false" ht="15" hidden="false" customHeight="false" outlineLevel="0" collapsed="false">
      <c r="A92" s="2" t="s">
        <v>3213</v>
      </c>
      <c r="B92" s="11" t="s">
        <v>2271</v>
      </c>
      <c r="C92" s="11" t="s">
        <v>1395</v>
      </c>
      <c r="D92" s="11" t="s">
        <v>776</v>
      </c>
      <c r="E92" s="11" t="s">
        <v>779</v>
      </c>
      <c r="G92" s="11" t="s">
        <v>272</v>
      </c>
      <c r="H92" s="11" t="s">
        <v>1144</v>
      </c>
      <c r="I92" s="11" t="s">
        <v>1145</v>
      </c>
      <c r="J92" s="11" t="s">
        <v>1144</v>
      </c>
      <c r="K92" s="11" t="s">
        <v>1145</v>
      </c>
      <c r="L92" s="11" t="s">
        <v>766</v>
      </c>
      <c r="M92" s="11" t="n">
        <v>1</v>
      </c>
      <c r="P92" s="11" t="s">
        <v>3123</v>
      </c>
    </row>
    <row r="93" customFormat="false" ht="15" hidden="false" customHeight="false" outlineLevel="0" collapsed="false">
      <c r="A93" s="2" t="s">
        <v>3214</v>
      </c>
      <c r="B93" s="11" t="s">
        <v>2277</v>
      </c>
      <c r="C93" s="11" t="s">
        <v>1354</v>
      </c>
      <c r="D93" s="11" t="s">
        <v>750</v>
      </c>
      <c r="E93" s="11" t="s">
        <v>752</v>
      </c>
      <c r="G93" s="11" t="s">
        <v>258</v>
      </c>
      <c r="H93" s="11" t="s">
        <v>1144</v>
      </c>
      <c r="I93" s="11" t="s">
        <v>1145</v>
      </c>
      <c r="J93" s="11" t="s">
        <v>1144</v>
      </c>
      <c r="K93" s="11" t="s">
        <v>1145</v>
      </c>
      <c r="L93" s="11" t="s">
        <v>766</v>
      </c>
      <c r="M93" s="11" t="n">
        <v>1</v>
      </c>
      <c r="P93" s="11" t="s">
        <v>3123</v>
      </c>
    </row>
    <row r="94" customFormat="false" ht="15" hidden="false" customHeight="false" outlineLevel="0" collapsed="false">
      <c r="A94" s="2" t="s">
        <v>3215</v>
      </c>
      <c r="B94" s="11" t="s">
        <v>2277</v>
      </c>
      <c r="C94" s="11" t="s">
        <v>1364</v>
      </c>
      <c r="D94" s="11" t="s">
        <v>776</v>
      </c>
      <c r="E94" s="11" t="s">
        <v>752</v>
      </c>
      <c r="G94" s="11" t="s">
        <v>272</v>
      </c>
      <c r="H94" s="11" t="s">
        <v>1144</v>
      </c>
      <c r="I94" s="11" t="s">
        <v>1145</v>
      </c>
      <c r="J94" s="11" t="s">
        <v>1144</v>
      </c>
      <c r="K94" s="11" t="s">
        <v>1145</v>
      </c>
      <c r="L94" s="11" t="s">
        <v>766</v>
      </c>
      <c r="M94" s="11" t="n">
        <v>1</v>
      </c>
      <c r="P94" s="11" t="s">
        <v>3123</v>
      </c>
    </row>
    <row r="95" customFormat="false" ht="15" hidden="false" customHeight="false" outlineLevel="0" collapsed="false">
      <c r="A95" s="2" t="s">
        <v>3216</v>
      </c>
      <c r="B95" s="11" t="s">
        <v>1845</v>
      </c>
      <c r="C95" s="11" t="s">
        <v>1354</v>
      </c>
      <c r="D95" s="11" t="s">
        <v>750</v>
      </c>
      <c r="E95" s="11" t="s">
        <v>752</v>
      </c>
      <c r="G95" s="11" t="s">
        <v>258</v>
      </c>
      <c r="H95" s="11" t="s">
        <v>1144</v>
      </c>
      <c r="I95" s="11" t="s">
        <v>1145</v>
      </c>
      <c r="J95" s="11" t="s">
        <v>1144</v>
      </c>
      <c r="K95" s="11" t="s">
        <v>1145</v>
      </c>
      <c r="L95" s="11" t="s">
        <v>766</v>
      </c>
      <c r="M95" s="11" t="n">
        <v>1</v>
      </c>
      <c r="P95" s="11" t="s">
        <v>3123</v>
      </c>
    </row>
    <row r="96" customFormat="false" ht="15" hidden="false" customHeight="false" outlineLevel="0" collapsed="false">
      <c r="A96" s="2" t="s">
        <v>3217</v>
      </c>
      <c r="B96" s="11" t="s">
        <v>1845</v>
      </c>
      <c r="C96" s="11" t="s">
        <v>1364</v>
      </c>
      <c r="D96" s="11" t="s">
        <v>776</v>
      </c>
      <c r="E96" s="11" t="s">
        <v>752</v>
      </c>
      <c r="G96" s="11" t="s">
        <v>272</v>
      </c>
      <c r="H96" s="11" t="s">
        <v>1144</v>
      </c>
      <c r="I96" s="11" t="s">
        <v>1145</v>
      </c>
      <c r="J96" s="11" t="s">
        <v>1144</v>
      </c>
      <c r="K96" s="11" t="s">
        <v>1145</v>
      </c>
      <c r="L96" s="11" t="s">
        <v>766</v>
      </c>
      <c r="M96" s="11" t="n">
        <v>1</v>
      </c>
      <c r="P96" s="11" t="s">
        <v>3123</v>
      </c>
    </row>
    <row r="97" customFormat="false" ht="15" hidden="false" customHeight="false" outlineLevel="0" collapsed="false">
      <c r="A97" s="2" t="s">
        <v>3218</v>
      </c>
      <c r="B97" s="11" t="s">
        <v>1845</v>
      </c>
      <c r="C97" s="11" t="s">
        <v>1395</v>
      </c>
      <c r="D97" s="11" t="s">
        <v>776</v>
      </c>
      <c r="E97" s="11" t="s">
        <v>779</v>
      </c>
      <c r="G97" s="11" t="s">
        <v>272</v>
      </c>
      <c r="H97" s="11" t="s">
        <v>1144</v>
      </c>
      <c r="I97" s="11" t="s">
        <v>1145</v>
      </c>
      <c r="J97" s="11" t="s">
        <v>1144</v>
      </c>
      <c r="K97" s="11" t="s">
        <v>1145</v>
      </c>
      <c r="L97" s="11" t="s">
        <v>766</v>
      </c>
      <c r="M97" s="11" t="n">
        <v>1</v>
      </c>
      <c r="P97" s="11" t="s">
        <v>3123</v>
      </c>
    </row>
    <row r="98" customFormat="false" ht="15" hidden="false" customHeight="false" outlineLevel="0" collapsed="false">
      <c r="A98" s="2" t="s">
        <v>3219</v>
      </c>
      <c r="B98" s="11" t="s">
        <v>2287</v>
      </c>
      <c r="C98" s="11" t="s">
        <v>1354</v>
      </c>
      <c r="D98" s="11" t="s">
        <v>750</v>
      </c>
      <c r="E98" s="11" t="s">
        <v>752</v>
      </c>
      <c r="G98" s="11" t="s">
        <v>258</v>
      </c>
      <c r="H98" s="11" t="s">
        <v>1144</v>
      </c>
      <c r="I98" s="11" t="s">
        <v>1145</v>
      </c>
      <c r="J98" s="11" t="s">
        <v>1144</v>
      </c>
      <c r="K98" s="11" t="s">
        <v>1145</v>
      </c>
      <c r="L98" s="11" t="s">
        <v>766</v>
      </c>
      <c r="M98" s="11" t="n">
        <v>1</v>
      </c>
      <c r="P98" s="11" t="s">
        <v>3123</v>
      </c>
    </row>
    <row r="99" customFormat="false" ht="15" hidden="false" customHeight="false" outlineLevel="0" collapsed="false">
      <c r="A99" s="2" t="s">
        <v>3220</v>
      </c>
      <c r="B99" s="11" t="s">
        <v>2287</v>
      </c>
      <c r="C99" s="11" t="s">
        <v>1364</v>
      </c>
      <c r="D99" s="11" t="s">
        <v>776</v>
      </c>
      <c r="E99" s="11" t="s">
        <v>752</v>
      </c>
      <c r="G99" s="11" t="s">
        <v>272</v>
      </c>
      <c r="H99" s="11" t="s">
        <v>1144</v>
      </c>
      <c r="I99" s="11" t="s">
        <v>1145</v>
      </c>
      <c r="J99" s="11" t="s">
        <v>1144</v>
      </c>
      <c r="K99" s="11" t="s">
        <v>1145</v>
      </c>
      <c r="L99" s="11" t="s">
        <v>766</v>
      </c>
      <c r="M99" s="11" t="n">
        <v>1</v>
      </c>
      <c r="P99" s="11" t="s">
        <v>3123</v>
      </c>
    </row>
    <row r="100" customFormat="false" ht="15" hidden="false" customHeight="false" outlineLevel="0" collapsed="false">
      <c r="A100" s="2" t="s">
        <v>3221</v>
      </c>
      <c r="B100" s="11" t="s">
        <v>2294</v>
      </c>
      <c r="C100" s="11" t="s">
        <v>1379</v>
      </c>
      <c r="D100" s="11" t="s">
        <v>750</v>
      </c>
      <c r="E100" s="11" t="s">
        <v>779</v>
      </c>
      <c r="G100" s="11" t="s">
        <v>258</v>
      </c>
      <c r="H100" s="11" t="s">
        <v>1144</v>
      </c>
      <c r="I100" s="11" t="s">
        <v>1145</v>
      </c>
      <c r="J100" s="11" t="s">
        <v>1144</v>
      </c>
      <c r="K100" s="11" t="s">
        <v>1145</v>
      </c>
      <c r="L100" s="11" t="s">
        <v>766</v>
      </c>
      <c r="M100" s="11" t="n">
        <v>1</v>
      </c>
      <c r="P100" s="11" t="s">
        <v>3123</v>
      </c>
    </row>
    <row r="101" customFormat="false" ht="15" hidden="false" customHeight="false" outlineLevel="0" collapsed="false">
      <c r="A101" s="2" t="s">
        <v>3222</v>
      </c>
      <c r="B101" s="11" t="s">
        <v>2294</v>
      </c>
      <c r="C101" s="11" t="s">
        <v>1354</v>
      </c>
      <c r="D101" s="11" t="s">
        <v>776</v>
      </c>
      <c r="E101" s="11" t="s">
        <v>752</v>
      </c>
      <c r="G101" s="11" t="s">
        <v>272</v>
      </c>
      <c r="H101" s="11" t="s">
        <v>1144</v>
      </c>
      <c r="I101" s="11" t="s">
        <v>1145</v>
      </c>
      <c r="J101" s="11" t="s">
        <v>1144</v>
      </c>
      <c r="K101" s="11" t="s">
        <v>1145</v>
      </c>
      <c r="L101" s="11" t="s">
        <v>766</v>
      </c>
      <c r="M101" s="11" t="n">
        <v>1</v>
      </c>
      <c r="P101" s="11" t="s">
        <v>3123</v>
      </c>
    </row>
    <row r="102" customFormat="false" ht="15" hidden="false" customHeight="false" outlineLevel="0" collapsed="false">
      <c r="A102" s="2" t="s">
        <v>3223</v>
      </c>
      <c r="B102" s="11" t="s">
        <v>2294</v>
      </c>
      <c r="C102" s="11" t="s">
        <v>1364</v>
      </c>
      <c r="D102" s="11" t="s">
        <v>776</v>
      </c>
      <c r="E102" s="11" t="s">
        <v>752</v>
      </c>
      <c r="G102" s="11" t="s">
        <v>272</v>
      </c>
      <c r="H102" s="11" t="s">
        <v>1144</v>
      </c>
      <c r="I102" s="11" t="s">
        <v>1145</v>
      </c>
      <c r="J102" s="11" t="s">
        <v>1144</v>
      </c>
      <c r="K102" s="11" t="s">
        <v>1145</v>
      </c>
      <c r="L102" s="11" t="s">
        <v>766</v>
      </c>
      <c r="M102" s="11" t="n">
        <v>1</v>
      </c>
      <c r="P102" s="11" t="s">
        <v>3123</v>
      </c>
    </row>
    <row r="103" customFormat="false" ht="15" hidden="false" customHeight="false" outlineLevel="0" collapsed="false">
      <c r="A103" s="2" t="s">
        <v>3224</v>
      </c>
      <c r="B103" s="11" t="s">
        <v>2299</v>
      </c>
      <c r="C103" s="11" t="s">
        <v>1354</v>
      </c>
      <c r="D103" s="11" t="s">
        <v>750</v>
      </c>
      <c r="E103" s="11" t="s">
        <v>752</v>
      </c>
      <c r="G103" s="11" t="s">
        <v>258</v>
      </c>
      <c r="H103" s="11" t="s">
        <v>1144</v>
      </c>
      <c r="I103" s="11" t="s">
        <v>1145</v>
      </c>
      <c r="J103" s="11" t="s">
        <v>1144</v>
      </c>
      <c r="K103" s="11" t="s">
        <v>1145</v>
      </c>
      <c r="L103" s="11" t="s">
        <v>766</v>
      </c>
      <c r="M103" s="11" t="n">
        <v>1</v>
      </c>
      <c r="P103" s="11" t="s">
        <v>3123</v>
      </c>
    </row>
    <row r="104" customFormat="false" ht="15" hidden="false" customHeight="false" outlineLevel="0" collapsed="false">
      <c r="A104" s="2" t="s">
        <v>3225</v>
      </c>
      <c r="B104" s="11" t="s">
        <v>2299</v>
      </c>
      <c r="C104" s="11" t="s">
        <v>1364</v>
      </c>
      <c r="D104" s="11" t="s">
        <v>776</v>
      </c>
      <c r="E104" s="11" t="s">
        <v>752</v>
      </c>
      <c r="G104" s="11" t="s">
        <v>272</v>
      </c>
      <c r="H104" s="11" t="s">
        <v>1144</v>
      </c>
      <c r="I104" s="11" t="s">
        <v>1145</v>
      </c>
      <c r="J104" s="11" t="s">
        <v>1144</v>
      </c>
      <c r="K104" s="11" t="s">
        <v>1145</v>
      </c>
      <c r="L104" s="11" t="s">
        <v>766</v>
      </c>
      <c r="M104" s="11" t="n">
        <v>1</v>
      </c>
      <c r="P104" s="11" t="s">
        <v>3123</v>
      </c>
    </row>
    <row r="105" customFormat="false" ht="15" hidden="false" customHeight="false" outlineLevel="0" collapsed="false">
      <c r="A105" s="2" t="s">
        <v>3226</v>
      </c>
      <c r="B105" s="11" t="s">
        <v>2299</v>
      </c>
      <c r="C105" s="11" t="s">
        <v>1395</v>
      </c>
      <c r="D105" s="11" t="s">
        <v>776</v>
      </c>
      <c r="E105" s="11" t="s">
        <v>779</v>
      </c>
      <c r="G105" s="11" t="s">
        <v>272</v>
      </c>
      <c r="H105" s="11" t="s">
        <v>1144</v>
      </c>
      <c r="I105" s="11" t="s">
        <v>1145</v>
      </c>
      <c r="J105" s="11" t="s">
        <v>1144</v>
      </c>
      <c r="K105" s="11" t="s">
        <v>1145</v>
      </c>
      <c r="L105" s="11" t="s">
        <v>766</v>
      </c>
      <c r="M105" s="11" t="n">
        <v>1</v>
      </c>
      <c r="P105" s="11" t="s">
        <v>3123</v>
      </c>
    </row>
    <row r="106" customFormat="false" ht="15" hidden="false" customHeight="false" outlineLevel="0" collapsed="false">
      <c r="A106" s="2" t="s">
        <v>3227</v>
      </c>
      <c r="B106" s="11" t="s">
        <v>2305</v>
      </c>
      <c r="C106" s="11" t="s">
        <v>1354</v>
      </c>
      <c r="D106" s="11" t="s">
        <v>750</v>
      </c>
      <c r="E106" s="11" t="s">
        <v>752</v>
      </c>
      <c r="G106" s="11" t="s">
        <v>258</v>
      </c>
      <c r="H106" s="11" t="s">
        <v>1144</v>
      </c>
      <c r="I106" s="11" t="s">
        <v>1145</v>
      </c>
      <c r="J106" s="11" t="s">
        <v>1144</v>
      </c>
      <c r="K106" s="11" t="s">
        <v>1145</v>
      </c>
      <c r="L106" s="11" t="s">
        <v>766</v>
      </c>
      <c r="M106" s="11" t="n">
        <v>1</v>
      </c>
      <c r="P106" s="11" t="s">
        <v>3123</v>
      </c>
    </row>
    <row r="107" customFormat="false" ht="15" hidden="false" customHeight="false" outlineLevel="0" collapsed="false">
      <c r="A107" s="2" t="s">
        <v>3228</v>
      </c>
      <c r="B107" s="11" t="s">
        <v>2305</v>
      </c>
      <c r="C107" s="11" t="s">
        <v>1364</v>
      </c>
      <c r="D107" s="11" t="s">
        <v>776</v>
      </c>
      <c r="E107" s="11" t="s">
        <v>752</v>
      </c>
      <c r="G107" s="11" t="s">
        <v>272</v>
      </c>
      <c r="H107" s="11" t="s">
        <v>1144</v>
      </c>
      <c r="I107" s="11" t="s">
        <v>1145</v>
      </c>
      <c r="J107" s="11" t="s">
        <v>1144</v>
      </c>
      <c r="K107" s="11" t="s">
        <v>1145</v>
      </c>
      <c r="L107" s="11" t="s">
        <v>766</v>
      </c>
      <c r="M107" s="11" t="n">
        <v>1</v>
      </c>
      <c r="P107" s="11" t="s">
        <v>3123</v>
      </c>
    </row>
    <row r="108" customFormat="false" ht="15" hidden="false" customHeight="false" outlineLevel="0" collapsed="false">
      <c r="A108" s="2" t="s">
        <v>3229</v>
      </c>
      <c r="B108" s="11" t="s">
        <v>2305</v>
      </c>
      <c r="C108" s="11" t="s">
        <v>1379</v>
      </c>
      <c r="D108" s="11" t="s">
        <v>776</v>
      </c>
      <c r="E108" s="11" t="s">
        <v>779</v>
      </c>
      <c r="G108" s="11" t="s">
        <v>272</v>
      </c>
      <c r="H108" s="11" t="s">
        <v>1144</v>
      </c>
      <c r="I108" s="11" t="s">
        <v>1145</v>
      </c>
      <c r="J108" s="11" t="s">
        <v>1144</v>
      </c>
      <c r="K108" s="11" t="s">
        <v>1145</v>
      </c>
      <c r="L108" s="11" t="s">
        <v>766</v>
      </c>
      <c r="M108" s="11" t="n">
        <v>1</v>
      </c>
      <c r="P108" s="11" t="s">
        <v>3123</v>
      </c>
    </row>
    <row r="109" customFormat="false" ht="15" hidden="false" customHeight="false" outlineLevel="0" collapsed="false">
      <c r="A109" s="2" t="s">
        <v>3230</v>
      </c>
      <c r="B109" s="11" t="s">
        <v>2311</v>
      </c>
      <c r="C109" s="11" t="s">
        <v>1354</v>
      </c>
      <c r="D109" s="11" t="s">
        <v>750</v>
      </c>
      <c r="E109" s="11" t="s">
        <v>752</v>
      </c>
      <c r="G109" s="11" t="s">
        <v>258</v>
      </c>
      <c r="H109" s="11" t="s">
        <v>1144</v>
      </c>
      <c r="I109" s="11" t="s">
        <v>1145</v>
      </c>
      <c r="J109" s="11" t="s">
        <v>1144</v>
      </c>
      <c r="K109" s="11" t="s">
        <v>1145</v>
      </c>
      <c r="L109" s="11" t="s">
        <v>766</v>
      </c>
      <c r="M109" s="11" t="n">
        <v>1</v>
      </c>
      <c r="P109" s="11" t="s">
        <v>3123</v>
      </c>
    </row>
    <row r="110" customFormat="false" ht="15" hidden="false" customHeight="false" outlineLevel="0" collapsed="false">
      <c r="A110" s="2" t="s">
        <v>3231</v>
      </c>
      <c r="B110" s="11" t="s">
        <v>2311</v>
      </c>
      <c r="C110" s="11" t="s">
        <v>1364</v>
      </c>
      <c r="D110" s="11" t="s">
        <v>776</v>
      </c>
      <c r="E110" s="11" t="s">
        <v>752</v>
      </c>
      <c r="G110" s="11" t="s">
        <v>272</v>
      </c>
      <c r="H110" s="11" t="s">
        <v>1144</v>
      </c>
      <c r="I110" s="11" t="s">
        <v>1145</v>
      </c>
      <c r="J110" s="11" t="s">
        <v>1144</v>
      </c>
      <c r="K110" s="11" t="s">
        <v>1145</v>
      </c>
      <c r="L110" s="11" t="s">
        <v>766</v>
      </c>
      <c r="M110" s="11" t="n">
        <v>1</v>
      </c>
      <c r="P110" s="11" t="s">
        <v>3123</v>
      </c>
    </row>
    <row r="111" customFormat="false" ht="15" hidden="false" customHeight="false" outlineLevel="0" collapsed="false">
      <c r="A111" s="2" t="s">
        <v>3232</v>
      </c>
      <c r="B111" s="11" t="s">
        <v>2311</v>
      </c>
      <c r="C111" s="11" t="s">
        <v>1395</v>
      </c>
      <c r="D111" s="11" t="s">
        <v>776</v>
      </c>
      <c r="E111" s="11" t="s">
        <v>779</v>
      </c>
      <c r="G111" s="11" t="s">
        <v>272</v>
      </c>
      <c r="H111" s="11" t="s">
        <v>1144</v>
      </c>
      <c r="I111" s="11" t="s">
        <v>1145</v>
      </c>
      <c r="J111" s="11" t="s">
        <v>1144</v>
      </c>
      <c r="K111" s="11" t="s">
        <v>1145</v>
      </c>
      <c r="L111" s="11" t="s">
        <v>766</v>
      </c>
      <c r="M111" s="11" t="n">
        <v>1</v>
      </c>
      <c r="P111" s="11" t="s">
        <v>3123</v>
      </c>
    </row>
    <row r="112" customFormat="false" ht="15" hidden="false" customHeight="false" outlineLevel="0" collapsed="false">
      <c r="A112" s="2" t="s">
        <v>3233</v>
      </c>
      <c r="B112" s="11" t="s">
        <v>2317</v>
      </c>
      <c r="C112" s="11" t="s">
        <v>1354</v>
      </c>
      <c r="D112" s="11" t="s">
        <v>750</v>
      </c>
      <c r="E112" s="11" t="s">
        <v>752</v>
      </c>
      <c r="G112" s="11" t="s">
        <v>258</v>
      </c>
      <c r="H112" s="11" t="s">
        <v>1144</v>
      </c>
      <c r="I112" s="11" t="s">
        <v>1145</v>
      </c>
      <c r="J112" s="11" t="s">
        <v>1144</v>
      </c>
      <c r="K112" s="11" t="s">
        <v>1145</v>
      </c>
      <c r="L112" s="11" t="s">
        <v>766</v>
      </c>
      <c r="M112" s="11" t="n">
        <v>1</v>
      </c>
      <c r="P112" s="11" t="s">
        <v>3123</v>
      </c>
    </row>
    <row r="113" customFormat="false" ht="15" hidden="false" customHeight="false" outlineLevel="0" collapsed="false">
      <c r="A113" s="2" t="s">
        <v>3234</v>
      </c>
      <c r="B113" s="11" t="s">
        <v>2317</v>
      </c>
      <c r="C113" s="11" t="s">
        <v>1364</v>
      </c>
      <c r="D113" s="11" t="s">
        <v>776</v>
      </c>
      <c r="E113" s="11" t="s">
        <v>752</v>
      </c>
      <c r="G113" s="11" t="s">
        <v>272</v>
      </c>
      <c r="H113" s="11" t="s">
        <v>1144</v>
      </c>
      <c r="I113" s="11" t="s">
        <v>1145</v>
      </c>
      <c r="J113" s="11" t="s">
        <v>1144</v>
      </c>
      <c r="K113" s="11" t="s">
        <v>1145</v>
      </c>
      <c r="L113" s="11" t="s">
        <v>766</v>
      </c>
      <c r="M113" s="11" t="n">
        <v>1</v>
      </c>
      <c r="P113" s="11" t="s">
        <v>3123</v>
      </c>
    </row>
    <row r="114" customFormat="false" ht="15" hidden="false" customHeight="false" outlineLevel="0" collapsed="false">
      <c r="A114" s="2" t="s">
        <v>3235</v>
      </c>
      <c r="B114" s="11" t="s">
        <v>2322</v>
      </c>
      <c r="C114" s="11" t="s">
        <v>1354</v>
      </c>
      <c r="D114" s="11" t="s">
        <v>750</v>
      </c>
      <c r="E114" s="11" t="s">
        <v>752</v>
      </c>
      <c r="G114" s="11" t="s">
        <v>258</v>
      </c>
      <c r="H114" s="11" t="s">
        <v>1144</v>
      </c>
      <c r="I114" s="11" t="s">
        <v>1145</v>
      </c>
      <c r="J114" s="11" t="s">
        <v>1144</v>
      </c>
      <c r="K114" s="11" t="s">
        <v>1145</v>
      </c>
      <c r="L114" s="11" t="s">
        <v>766</v>
      </c>
      <c r="M114" s="11" t="n">
        <v>1</v>
      </c>
      <c r="P114" s="11" t="s">
        <v>3123</v>
      </c>
    </row>
    <row r="115" customFormat="false" ht="15" hidden="false" customHeight="false" outlineLevel="0" collapsed="false">
      <c r="A115" s="2" t="s">
        <v>3236</v>
      </c>
      <c r="B115" s="11" t="s">
        <v>2322</v>
      </c>
      <c r="C115" s="11" t="s">
        <v>1364</v>
      </c>
      <c r="D115" s="11" t="s">
        <v>776</v>
      </c>
      <c r="E115" s="11" t="s">
        <v>752</v>
      </c>
      <c r="G115" s="11" t="s">
        <v>272</v>
      </c>
      <c r="H115" s="11" t="s">
        <v>1144</v>
      </c>
      <c r="I115" s="11" t="s">
        <v>1145</v>
      </c>
      <c r="J115" s="11" t="s">
        <v>1144</v>
      </c>
      <c r="K115" s="11" t="s">
        <v>1145</v>
      </c>
      <c r="L115" s="11" t="s">
        <v>766</v>
      </c>
      <c r="M115" s="11" t="n">
        <v>1</v>
      </c>
      <c r="P115" s="11" t="s">
        <v>3123</v>
      </c>
    </row>
    <row r="116" customFormat="false" ht="15" hidden="false" customHeight="false" outlineLevel="0" collapsed="false">
      <c r="A116" s="2" t="s">
        <v>3237</v>
      </c>
      <c r="B116" s="11" t="s">
        <v>2322</v>
      </c>
      <c r="C116" s="11" t="s">
        <v>1395</v>
      </c>
      <c r="D116" s="11" t="s">
        <v>776</v>
      </c>
      <c r="E116" s="11" t="s">
        <v>779</v>
      </c>
      <c r="G116" s="11" t="s">
        <v>272</v>
      </c>
      <c r="H116" s="11" t="s">
        <v>1144</v>
      </c>
      <c r="I116" s="11" t="s">
        <v>1145</v>
      </c>
      <c r="J116" s="11" t="s">
        <v>1144</v>
      </c>
      <c r="K116" s="11" t="s">
        <v>1145</v>
      </c>
      <c r="L116" s="11" t="s">
        <v>766</v>
      </c>
      <c r="M116" s="11" t="n">
        <v>1</v>
      </c>
      <c r="P116" s="11" t="s">
        <v>3123</v>
      </c>
    </row>
    <row r="117" customFormat="false" ht="15" hidden="false" customHeight="false" outlineLevel="0" collapsed="false">
      <c r="A117" s="2" t="s">
        <v>3238</v>
      </c>
      <c r="B117" s="11" t="s">
        <v>2329</v>
      </c>
      <c r="C117" s="11" t="s">
        <v>1395</v>
      </c>
      <c r="D117" s="11" t="s">
        <v>750</v>
      </c>
      <c r="E117" s="11" t="s">
        <v>779</v>
      </c>
      <c r="G117" s="11" t="s">
        <v>258</v>
      </c>
      <c r="H117" s="11" t="s">
        <v>1144</v>
      </c>
      <c r="I117" s="11" t="s">
        <v>1145</v>
      </c>
      <c r="J117" s="11" t="s">
        <v>1144</v>
      </c>
      <c r="K117" s="11" t="s">
        <v>1145</v>
      </c>
      <c r="L117" s="11" t="s">
        <v>766</v>
      </c>
      <c r="M117" s="11" t="n">
        <v>1</v>
      </c>
      <c r="P117" s="11" t="s">
        <v>3123</v>
      </c>
    </row>
    <row r="118" customFormat="false" ht="15" hidden="false" customHeight="false" outlineLevel="0" collapsed="false">
      <c r="A118" s="2" t="s">
        <v>3239</v>
      </c>
      <c r="B118" s="11" t="s">
        <v>2329</v>
      </c>
      <c r="C118" s="11" t="s">
        <v>1401</v>
      </c>
      <c r="D118" s="11" t="s">
        <v>776</v>
      </c>
      <c r="E118" s="11" t="s">
        <v>779</v>
      </c>
      <c r="G118" s="11" t="s">
        <v>272</v>
      </c>
      <c r="H118" s="11" t="s">
        <v>1144</v>
      </c>
      <c r="I118" s="11" t="s">
        <v>1145</v>
      </c>
      <c r="J118" s="11" t="s">
        <v>1144</v>
      </c>
      <c r="K118" s="11" t="s">
        <v>1145</v>
      </c>
      <c r="L118" s="11" t="s">
        <v>766</v>
      </c>
      <c r="M118" s="11" t="n">
        <v>1</v>
      </c>
      <c r="P118" s="11" t="s">
        <v>3123</v>
      </c>
    </row>
    <row r="119" customFormat="false" ht="15" hidden="false" customHeight="false" outlineLevel="0" collapsed="false">
      <c r="A119" s="2" t="s">
        <v>3240</v>
      </c>
      <c r="B119" s="11" t="s">
        <v>2329</v>
      </c>
      <c r="C119" s="11" t="s">
        <v>1428</v>
      </c>
      <c r="D119" s="11" t="s">
        <v>776</v>
      </c>
      <c r="E119" s="11" t="s">
        <v>804</v>
      </c>
      <c r="G119" s="11" t="s">
        <v>272</v>
      </c>
      <c r="H119" s="11" t="s">
        <v>1144</v>
      </c>
      <c r="I119" s="11" t="s">
        <v>1145</v>
      </c>
      <c r="J119" s="11" t="s">
        <v>1144</v>
      </c>
      <c r="K119" s="11" t="s">
        <v>1145</v>
      </c>
      <c r="L119" s="11" t="s">
        <v>766</v>
      </c>
      <c r="M119" s="11" t="n">
        <v>1</v>
      </c>
      <c r="P119" s="11" t="s">
        <v>3123</v>
      </c>
    </row>
    <row r="120" customFormat="false" ht="15" hidden="false" customHeight="false" outlineLevel="0" collapsed="false">
      <c r="A120" s="2" t="s">
        <v>3241</v>
      </c>
      <c r="B120" s="11" t="s">
        <v>2329</v>
      </c>
      <c r="C120" s="11" t="s">
        <v>1433</v>
      </c>
      <c r="D120" s="11" t="s">
        <v>776</v>
      </c>
      <c r="E120" s="11" t="s">
        <v>804</v>
      </c>
      <c r="G120" s="11" t="s">
        <v>272</v>
      </c>
      <c r="H120" s="11" t="s">
        <v>1144</v>
      </c>
      <c r="I120" s="11" t="s">
        <v>1145</v>
      </c>
      <c r="J120" s="11" t="s">
        <v>1144</v>
      </c>
      <c r="K120" s="11" t="s">
        <v>1145</v>
      </c>
      <c r="L120" s="11" t="s">
        <v>766</v>
      </c>
      <c r="M120" s="11" t="n">
        <v>1</v>
      </c>
      <c r="P120" s="11" t="s">
        <v>3123</v>
      </c>
    </row>
    <row r="121" customFormat="false" ht="15" hidden="false" customHeight="false" outlineLevel="0" collapsed="false">
      <c r="A121" s="2" t="s">
        <v>3242</v>
      </c>
      <c r="B121" s="11" t="s">
        <v>2335</v>
      </c>
      <c r="C121" s="11" t="s">
        <v>1354</v>
      </c>
      <c r="D121" s="11" t="s">
        <v>750</v>
      </c>
      <c r="E121" s="11" t="s">
        <v>752</v>
      </c>
      <c r="G121" s="11" t="s">
        <v>258</v>
      </c>
      <c r="H121" s="11" t="s">
        <v>1144</v>
      </c>
      <c r="I121" s="11" t="s">
        <v>1145</v>
      </c>
      <c r="J121" s="11" t="s">
        <v>1144</v>
      </c>
      <c r="K121" s="11" t="s">
        <v>1145</v>
      </c>
      <c r="L121" s="11" t="s">
        <v>766</v>
      </c>
      <c r="M121" s="11" t="n">
        <v>1</v>
      </c>
      <c r="P121" s="11" t="s">
        <v>3123</v>
      </c>
    </row>
    <row r="122" customFormat="false" ht="15" hidden="false" customHeight="false" outlineLevel="0" collapsed="false">
      <c r="A122" s="2" t="s">
        <v>3243</v>
      </c>
      <c r="B122" s="11" t="s">
        <v>2335</v>
      </c>
      <c r="C122" s="11" t="s">
        <v>1395</v>
      </c>
      <c r="D122" s="11" t="s">
        <v>776</v>
      </c>
      <c r="E122" s="11" t="s">
        <v>779</v>
      </c>
      <c r="G122" s="11" t="s">
        <v>272</v>
      </c>
      <c r="H122" s="11" t="s">
        <v>1144</v>
      </c>
      <c r="I122" s="11" t="s">
        <v>1145</v>
      </c>
      <c r="J122" s="11" t="s">
        <v>1144</v>
      </c>
      <c r="K122" s="11" t="s">
        <v>1145</v>
      </c>
      <c r="L122" s="11" t="s">
        <v>766</v>
      </c>
      <c r="M122" s="11" t="n">
        <v>1</v>
      </c>
      <c r="P122" s="11" t="s">
        <v>3123</v>
      </c>
    </row>
    <row r="123" customFormat="false" ht="15" hidden="false" customHeight="false" outlineLevel="0" collapsed="false">
      <c r="A123" s="2" t="s">
        <v>3244</v>
      </c>
      <c r="B123" s="11" t="s">
        <v>2335</v>
      </c>
      <c r="C123" s="11" t="s">
        <v>1379</v>
      </c>
      <c r="D123" s="11" t="s">
        <v>776</v>
      </c>
      <c r="E123" s="11" t="s">
        <v>779</v>
      </c>
      <c r="G123" s="11" t="s">
        <v>272</v>
      </c>
      <c r="H123" s="11" t="s">
        <v>1144</v>
      </c>
      <c r="I123" s="11" t="s">
        <v>1145</v>
      </c>
      <c r="J123" s="11" t="s">
        <v>1144</v>
      </c>
      <c r="K123" s="11" t="s">
        <v>1145</v>
      </c>
      <c r="L123" s="11" t="s">
        <v>766</v>
      </c>
      <c r="M123" s="11" t="n">
        <v>1</v>
      </c>
      <c r="P123" s="11" t="s">
        <v>3123</v>
      </c>
    </row>
    <row r="124" customFormat="false" ht="15" hidden="false" customHeight="false" outlineLevel="0" collapsed="false">
      <c r="A124" s="2" t="s">
        <v>3245</v>
      </c>
      <c r="B124" s="11" t="s">
        <v>2335</v>
      </c>
      <c r="C124" s="11" t="s">
        <v>1428</v>
      </c>
      <c r="D124" s="11" t="s">
        <v>776</v>
      </c>
      <c r="E124" s="11" t="s">
        <v>804</v>
      </c>
      <c r="G124" s="11" t="s">
        <v>272</v>
      </c>
      <c r="H124" s="11" t="s">
        <v>1144</v>
      </c>
      <c r="I124" s="11" t="s">
        <v>1145</v>
      </c>
      <c r="J124" s="11" t="s">
        <v>1144</v>
      </c>
      <c r="K124" s="11" t="s">
        <v>1145</v>
      </c>
      <c r="L124" s="11" t="s">
        <v>766</v>
      </c>
      <c r="M124" s="11" t="n">
        <v>1</v>
      </c>
      <c r="P124" s="11" t="s">
        <v>3123</v>
      </c>
    </row>
    <row r="125" customFormat="false" ht="15" hidden="false" customHeight="false" outlineLevel="0" collapsed="false">
      <c r="A125" s="2" t="s">
        <v>3246</v>
      </c>
      <c r="B125" s="11" t="s">
        <v>2340</v>
      </c>
      <c r="C125" s="11" t="s">
        <v>1379</v>
      </c>
      <c r="D125" s="11" t="s">
        <v>750</v>
      </c>
      <c r="E125" s="11" t="s">
        <v>779</v>
      </c>
      <c r="G125" s="11" t="s">
        <v>258</v>
      </c>
      <c r="H125" s="11" t="s">
        <v>1144</v>
      </c>
      <c r="I125" s="11" t="s">
        <v>1145</v>
      </c>
      <c r="J125" s="11" t="s">
        <v>1144</v>
      </c>
      <c r="K125" s="11" t="s">
        <v>1145</v>
      </c>
      <c r="L125" s="11" t="s">
        <v>766</v>
      </c>
      <c r="M125" s="11" t="n">
        <v>1</v>
      </c>
      <c r="P125" s="11" t="s">
        <v>3123</v>
      </c>
    </row>
    <row r="126" customFormat="false" ht="15" hidden="false" customHeight="false" outlineLevel="0" collapsed="false">
      <c r="A126" s="2" t="s">
        <v>3247</v>
      </c>
      <c r="B126" s="11" t="s">
        <v>2340</v>
      </c>
      <c r="C126" s="11" t="s">
        <v>1354</v>
      </c>
      <c r="D126" s="11" t="s">
        <v>776</v>
      </c>
      <c r="E126" s="11" t="s">
        <v>752</v>
      </c>
      <c r="G126" s="11" t="s">
        <v>272</v>
      </c>
      <c r="H126" s="11" t="s">
        <v>1144</v>
      </c>
      <c r="I126" s="11" t="s">
        <v>1145</v>
      </c>
      <c r="J126" s="11" t="s">
        <v>1144</v>
      </c>
      <c r="K126" s="11" t="s">
        <v>1145</v>
      </c>
      <c r="L126" s="11" t="s">
        <v>766</v>
      </c>
      <c r="M126" s="11" t="n">
        <v>1</v>
      </c>
      <c r="P126" s="11" t="s">
        <v>3123</v>
      </c>
    </row>
    <row r="127" customFormat="false" ht="15" hidden="false" customHeight="false" outlineLevel="0" collapsed="false">
      <c r="A127" s="2" t="s">
        <v>3248</v>
      </c>
      <c r="B127" s="11" t="s">
        <v>2340</v>
      </c>
      <c r="C127" s="11" t="s">
        <v>1395</v>
      </c>
      <c r="D127" s="11" t="s">
        <v>776</v>
      </c>
      <c r="E127" s="11" t="s">
        <v>779</v>
      </c>
      <c r="G127" s="11" t="s">
        <v>272</v>
      </c>
      <c r="H127" s="11" t="s">
        <v>1144</v>
      </c>
      <c r="I127" s="11" t="s">
        <v>1145</v>
      </c>
      <c r="J127" s="11" t="s">
        <v>1144</v>
      </c>
      <c r="K127" s="11" t="s">
        <v>1145</v>
      </c>
      <c r="L127" s="11" t="s">
        <v>766</v>
      </c>
      <c r="M127" s="11" t="n">
        <v>1</v>
      </c>
      <c r="P127" s="11" t="s">
        <v>3123</v>
      </c>
    </row>
    <row r="128" customFormat="false" ht="15" hidden="false" customHeight="false" outlineLevel="0" collapsed="false">
      <c r="A128" s="2" t="s">
        <v>3249</v>
      </c>
      <c r="B128" s="11" t="s">
        <v>2340</v>
      </c>
      <c r="C128" s="11" t="s">
        <v>1428</v>
      </c>
      <c r="D128" s="11" t="s">
        <v>776</v>
      </c>
      <c r="E128" s="11" t="s">
        <v>804</v>
      </c>
      <c r="G128" s="11" t="s">
        <v>272</v>
      </c>
      <c r="H128" s="11" t="s">
        <v>1144</v>
      </c>
      <c r="I128" s="11" t="s">
        <v>1145</v>
      </c>
      <c r="J128" s="11" t="s">
        <v>1144</v>
      </c>
      <c r="K128" s="11" t="s">
        <v>1145</v>
      </c>
      <c r="L128" s="11" t="s">
        <v>766</v>
      </c>
      <c r="M128" s="11" t="n">
        <v>1</v>
      </c>
      <c r="P128" s="11" t="s">
        <v>3123</v>
      </c>
    </row>
    <row r="129" customFormat="false" ht="15" hidden="false" customHeight="false" outlineLevel="0" collapsed="false">
      <c r="A129" s="2" t="s">
        <v>3250</v>
      </c>
      <c r="B129" s="11" t="s">
        <v>2345</v>
      </c>
      <c r="C129" s="11" t="s">
        <v>1354</v>
      </c>
      <c r="D129" s="11" t="s">
        <v>750</v>
      </c>
      <c r="E129" s="11" t="s">
        <v>752</v>
      </c>
      <c r="G129" s="11" t="s">
        <v>258</v>
      </c>
      <c r="H129" s="11" t="s">
        <v>1144</v>
      </c>
      <c r="I129" s="11" t="s">
        <v>1145</v>
      </c>
      <c r="J129" s="11" t="s">
        <v>1144</v>
      </c>
      <c r="K129" s="11" t="s">
        <v>1145</v>
      </c>
      <c r="L129" s="11" t="s">
        <v>766</v>
      </c>
      <c r="M129" s="11" t="n">
        <v>1</v>
      </c>
      <c r="P129" s="11" t="s">
        <v>3123</v>
      </c>
    </row>
    <row r="130" customFormat="false" ht="15" hidden="false" customHeight="false" outlineLevel="0" collapsed="false">
      <c r="A130" s="2" t="s">
        <v>3251</v>
      </c>
      <c r="B130" s="11" t="s">
        <v>2352</v>
      </c>
      <c r="C130" s="11" t="s">
        <v>1354</v>
      </c>
      <c r="D130" s="11" t="s">
        <v>750</v>
      </c>
      <c r="E130" s="11" t="s">
        <v>752</v>
      </c>
      <c r="G130" s="11" t="s">
        <v>258</v>
      </c>
      <c r="H130" s="11" t="s">
        <v>1144</v>
      </c>
      <c r="I130" s="11" t="s">
        <v>1145</v>
      </c>
      <c r="J130" s="11" t="s">
        <v>1144</v>
      </c>
      <c r="K130" s="11" t="s">
        <v>1145</v>
      </c>
      <c r="L130" s="11" t="s">
        <v>766</v>
      </c>
      <c r="M130" s="11" t="n">
        <v>1</v>
      </c>
      <c r="P130" s="11" t="s">
        <v>3123</v>
      </c>
    </row>
    <row r="131" customFormat="false" ht="15" hidden="false" customHeight="false" outlineLevel="0" collapsed="false">
      <c r="A131" s="2" t="s">
        <v>3252</v>
      </c>
      <c r="B131" s="11" t="s">
        <v>2359</v>
      </c>
      <c r="C131" s="11" t="s">
        <v>1354</v>
      </c>
      <c r="D131" s="11" t="s">
        <v>750</v>
      </c>
      <c r="E131" s="11" t="s">
        <v>752</v>
      </c>
      <c r="G131" s="11" t="s">
        <v>258</v>
      </c>
      <c r="H131" s="11" t="s">
        <v>1144</v>
      </c>
      <c r="I131" s="11" t="s">
        <v>1145</v>
      </c>
      <c r="J131" s="11" t="s">
        <v>1144</v>
      </c>
      <c r="K131" s="11" t="s">
        <v>1145</v>
      </c>
      <c r="L131" s="11" t="s">
        <v>766</v>
      </c>
      <c r="M131" s="11" t="n">
        <v>1</v>
      </c>
      <c r="P131" s="11" t="s">
        <v>3123</v>
      </c>
    </row>
    <row r="132" customFormat="false" ht="15" hidden="false" customHeight="false" outlineLevel="0" collapsed="false">
      <c r="A132" s="2" t="s">
        <v>3253</v>
      </c>
      <c r="B132" s="11" t="s">
        <v>2366</v>
      </c>
      <c r="C132" s="11" t="s">
        <v>1395</v>
      </c>
      <c r="D132" s="11" t="s">
        <v>750</v>
      </c>
      <c r="E132" s="11" t="s">
        <v>779</v>
      </c>
      <c r="G132" s="11" t="s">
        <v>258</v>
      </c>
      <c r="H132" s="11" t="s">
        <v>1144</v>
      </c>
      <c r="I132" s="11" t="s">
        <v>1145</v>
      </c>
      <c r="J132" s="11" t="s">
        <v>1144</v>
      </c>
      <c r="K132" s="11" t="s">
        <v>1145</v>
      </c>
      <c r="L132" s="11" t="s">
        <v>766</v>
      </c>
      <c r="M132" s="11" t="n">
        <v>1</v>
      </c>
      <c r="P132" s="11" t="s">
        <v>3123</v>
      </c>
    </row>
    <row r="133" customFormat="false" ht="15" hidden="false" customHeight="false" outlineLevel="0" collapsed="false">
      <c r="A133" s="2" t="s">
        <v>3254</v>
      </c>
      <c r="B133" s="11" t="s">
        <v>2366</v>
      </c>
      <c r="C133" s="11" t="s">
        <v>1401</v>
      </c>
      <c r="D133" s="11" t="s">
        <v>776</v>
      </c>
      <c r="E133" s="11" t="s">
        <v>779</v>
      </c>
      <c r="G133" s="11" t="s">
        <v>272</v>
      </c>
      <c r="H133" s="11" t="s">
        <v>1144</v>
      </c>
      <c r="I133" s="11" t="s">
        <v>1145</v>
      </c>
      <c r="J133" s="11" t="s">
        <v>1144</v>
      </c>
      <c r="K133" s="11" t="s">
        <v>1145</v>
      </c>
      <c r="L133" s="11" t="s">
        <v>766</v>
      </c>
      <c r="M133" s="11" t="n">
        <v>1</v>
      </c>
      <c r="P133" s="11" t="s">
        <v>3123</v>
      </c>
    </row>
    <row r="134" customFormat="false" ht="15" hidden="false" customHeight="false" outlineLevel="0" collapsed="false">
      <c r="A134" s="2" t="s">
        <v>3255</v>
      </c>
      <c r="B134" s="11" t="s">
        <v>2373</v>
      </c>
      <c r="C134" s="11" t="s">
        <v>1354</v>
      </c>
      <c r="D134" s="11" t="s">
        <v>750</v>
      </c>
      <c r="E134" s="11" t="s">
        <v>752</v>
      </c>
      <c r="G134" s="11" t="s">
        <v>258</v>
      </c>
      <c r="H134" s="11" t="s">
        <v>1144</v>
      </c>
      <c r="I134" s="11" t="s">
        <v>1145</v>
      </c>
      <c r="J134" s="11" t="s">
        <v>1144</v>
      </c>
      <c r="K134" s="11" t="s">
        <v>1145</v>
      </c>
      <c r="L134" s="11" t="s">
        <v>766</v>
      </c>
      <c r="M134" s="11" t="n">
        <v>1</v>
      </c>
      <c r="P134" s="11" t="s">
        <v>3123</v>
      </c>
    </row>
    <row r="135" customFormat="false" ht="15" hidden="false" customHeight="false" outlineLevel="0" collapsed="false">
      <c r="A135" s="2" t="s">
        <v>3256</v>
      </c>
      <c r="B135" s="11" t="s">
        <v>2373</v>
      </c>
      <c r="C135" s="11" t="s">
        <v>1364</v>
      </c>
      <c r="D135" s="11" t="s">
        <v>776</v>
      </c>
      <c r="E135" s="11" t="s">
        <v>752</v>
      </c>
      <c r="G135" s="11" t="s">
        <v>272</v>
      </c>
      <c r="H135" s="11" t="s">
        <v>1144</v>
      </c>
      <c r="I135" s="11" t="s">
        <v>1145</v>
      </c>
      <c r="J135" s="11" t="s">
        <v>1144</v>
      </c>
      <c r="K135" s="11" t="s">
        <v>1145</v>
      </c>
      <c r="L135" s="11" t="s">
        <v>766</v>
      </c>
      <c r="M135" s="11" t="n">
        <v>1</v>
      </c>
      <c r="P135" s="11" t="s">
        <v>3123</v>
      </c>
    </row>
    <row r="136" customFormat="false" ht="15" hidden="false" customHeight="false" outlineLevel="0" collapsed="false">
      <c r="A136" s="2" t="s">
        <v>3257</v>
      </c>
      <c r="B136" s="11" t="s">
        <v>2380</v>
      </c>
      <c r="C136" s="11" t="s">
        <v>1354</v>
      </c>
      <c r="D136" s="11" t="s">
        <v>750</v>
      </c>
      <c r="E136" s="11" t="s">
        <v>752</v>
      </c>
      <c r="G136" s="11" t="s">
        <v>258</v>
      </c>
      <c r="H136" s="11" t="s">
        <v>1144</v>
      </c>
      <c r="I136" s="11" t="s">
        <v>1145</v>
      </c>
      <c r="J136" s="11" t="s">
        <v>1144</v>
      </c>
      <c r="K136" s="11" t="s">
        <v>1145</v>
      </c>
      <c r="L136" s="11" t="s">
        <v>766</v>
      </c>
      <c r="M136" s="11" t="n">
        <v>1</v>
      </c>
      <c r="P136" s="11" t="s">
        <v>3123</v>
      </c>
    </row>
    <row r="137" customFormat="false" ht="15" hidden="false" customHeight="false" outlineLevel="0" collapsed="false">
      <c r="A137" s="2" t="s">
        <v>3258</v>
      </c>
      <c r="B137" s="11" t="s">
        <v>2387</v>
      </c>
      <c r="C137" s="11" t="s">
        <v>1354</v>
      </c>
      <c r="D137" s="11" t="s">
        <v>750</v>
      </c>
      <c r="E137" s="11" t="s">
        <v>752</v>
      </c>
      <c r="G137" s="11" t="s">
        <v>258</v>
      </c>
      <c r="H137" s="11" t="s">
        <v>1144</v>
      </c>
      <c r="I137" s="11" t="s">
        <v>1145</v>
      </c>
      <c r="J137" s="11" t="s">
        <v>1144</v>
      </c>
      <c r="K137" s="11" t="s">
        <v>1145</v>
      </c>
      <c r="L137" s="11" t="s">
        <v>766</v>
      </c>
      <c r="M137" s="11" t="n">
        <v>1</v>
      </c>
      <c r="P137" s="11" t="s">
        <v>3123</v>
      </c>
    </row>
    <row r="138" customFormat="false" ht="15" hidden="false" customHeight="false" outlineLevel="0" collapsed="false">
      <c r="A138" s="2" t="s">
        <v>3259</v>
      </c>
      <c r="B138" s="11" t="s">
        <v>2394</v>
      </c>
      <c r="C138" s="11" t="s">
        <v>1354</v>
      </c>
      <c r="D138" s="11" t="s">
        <v>750</v>
      </c>
      <c r="E138" s="11" t="s">
        <v>752</v>
      </c>
      <c r="G138" s="11" t="s">
        <v>258</v>
      </c>
      <c r="H138" s="11" t="s">
        <v>1144</v>
      </c>
      <c r="I138" s="11" t="s">
        <v>1145</v>
      </c>
      <c r="J138" s="11" t="s">
        <v>1144</v>
      </c>
      <c r="K138" s="11" t="s">
        <v>1145</v>
      </c>
      <c r="L138" s="11" t="s">
        <v>766</v>
      </c>
      <c r="M138" s="11" t="n">
        <v>1</v>
      </c>
      <c r="P138" s="11" t="s">
        <v>3123</v>
      </c>
    </row>
    <row r="139" customFormat="false" ht="15" hidden="false" customHeight="false" outlineLevel="0" collapsed="false">
      <c r="A139" s="2" t="s">
        <v>3260</v>
      </c>
      <c r="B139" s="11" t="s">
        <v>2394</v>
      </c>
      <c r="C139" s="11" t="s">
        <v>1364</v>
      </c>
      <c r="D139" s="11" t="s">
        <v>776</v>
      </c>
      <c r="E139" s="11" t="s">
        <v>752</v>
      </c>
      <c r="G139" s="11" t="s">
        <v>272</v>
      </c>
      <c r="H139" s="11" t="s">
        <v>1144</v>
      </c>
      <c r="I139" s="11" t="s">
        <v>1145</v>
      </c>
      <c r="J139" s="11" t="s">
        <v>1144</v>
      </c>
      <c r="K139" s="11" t="s">
        <v>1145</v>
      </c>
      <c r="L139" s="11" t="s">
        <v>766</v>
      </c>
      <c r="M139" s="11" t="n">
        <v>1</v>
      </c>
      <c r="P139" s="11" t="s">
        <v>3123</v>
      </c>
    </row>
    <row r="140" customFormat="false" ht="15" hidden="false" customHeight="false" outlineLevel="0" collapsed="false">
      <c r="A140" s="2" t="s">
        <v>3261</v>
      </c>
      <c r="B140" s="11" t="s">
        <v>2394</v>
      </c>
      <c r="C140" s="11" t="s">
        <v>1379</v>
      </c>
      <c r="D140" s="11" t="s">
        <v>776</v>
      </c>
      <c r="E140" s="11" t="s">
        <v>779</v>
      </c>
      <c r="G140" s="11" t="s">
        <v>272</v>
      </c>
      <c r="H140" s="11" t="s">
        <v>1144</v>
      </c>
      <c r="I140" s="11" t="s">
        <v>1145</v>
      </c>
      <c r="J140" s="11" t="s">
        <v>1144</v>
      </c>
      <c r="K140" s="11" t="s">
        <v>1145</v>
      </c>
      <c r="L140" s="11" t="s">
        <v>766</v>
      </c>
      <c r="M140" s="11" t="n">
        <v>1</v>
      </c>
      <c r="P140" s="11" t="s">
        <v>3123</v>
      </c>
    </row>
    <row r="141" customFormat="false" ht="15" hidden="false" customHeight="false" outlineLevel="0" collapsed="false">
      <c r="A141" s="2" t="s">
        <v>3262</v>
      </c>
      <c r="B141" s="11" t="s">
        <v>2394</v>
      </c>
      <c r="C141" s="11" t="s">
        <v>1395</v>
      </c>
      <c r="D141" s="11" t="s">
        <v>776</v>
      </c>
      <c r="E141" s="11" t="s">
        <v>779</v>
      </c>
      <c r="G141" s="11" t="s">
        <v>272</v>
      </c>
      <c r="H141" s="11" t="s">
        <v>1144</v>
      </c>
      <c r="I141" s="11" t="s">
        <v>1145</v>
      </c>
      <c r="J141" s="11" t="s">
        <v>1144</v>
      </c>
      <c r="K141" s="11" t="s">
        <v>1145</v>
      </c>
      <c r="L141" s="11" t="s">
        <v>766</v>
      </c>
      <c r="M141" s="11" t="n">
        <v>1</v>
      </c>
      <c r="P141" s="11" t="s">
        <v>3123</v>
      </c>
    </row>
    <row r="142" customFormat="false" ht="15" hidden="false" customHeight="false" outlineLevel="0" collapsed="false">
      <c r="A142" s="2" t="s">
        <v>3263</v>
      </c>
      <c r="B142" s="11" t="s">
        <v>2401</v>
      </c>
      <c r="C142" s="11" t="s">
        <v>1379</v>
      </c>
      <c r="D142" s="11" t="s">
        <v>750</v>
      </c>
      <c r="E142" s="11" t="s">
        <v>779</v>
      </c>
      <c r="G142" s="11" t="s">
        <v>258</v>
      </c>
      <c r="H142" s="11" t="s">
        <v>1144</v>
      </c>
      <c r="I142" s="11" t="s">
        <v>1145</v>
      </c>
      <c r="J142" s="11" t="s">
        <v>1144</v>
      </c>
      <c r="K142" s="11" t="s">
        <v>1145</v>
      </c>
      <c r="L142" s="11" t="s">
        <v>766</v>
      </c>
      <c r="M142" s="11" t="n">
        <v>1</v>
      </c>
      <c r="P142" s="11" t="s">
        <v>3123</v>
      </c>
    </row>
    <row r="143" customFormat="false" ht="15" hidden="false" customHeight="false" outlineLevel="0" collapsed="false">
      <c r="A143" s="2" t="s">
        <v>3264</v>
      </c>
      <c r="B143" s="11" t="s">
        <v>2401</v>
      </c>
      <c r="C143" s="11" t="s">
        <v>1428</v>
      </c>
      <c r="D143" s="11" t="s">
        <v>776</v>
      </c>
      <c r="E143" s="11" t="s">
        <v>804</v>
      </c>
      <c r="G143" s="11" t="s">
        <v>272</v>
      </c>
      <c r="H143" s="11" t="s">
        <v>1144</v>
      </c>
      <c r="I143" s="11" t="s">
        <v>1145</v>
      </c>
      <c r="J143" s="11" t="s">
        <v>1144</v>
      </c>
      <c r="K143" s="11" t="s">
        <v>1145</v>
      </c>
      <c r="L143" s="11" t="s">
        <v>766</v>
      </c>
      <c r="M143" s="11" t="n">
        <v>1</v>
      </c>
      <c r="P143" s="11" t="s">
        <v>3123</v>
      </c>
    </row>
    <row r="144" customFormat="false" ht="15" hidden="false" customHeight="false" outlineLevel="0" collapsed="false">
      <c r="A144" s="2" t="s">
        <v>3265</v>
      </c>
      <c r="B144" s="11" t="s">
        <v>2401</v>
      </c>
      <c r="C144" s="11" t="s">
        <v>1433</v>
      </c>
      <c r="D144" s="11" t="s">
        <v>776</v>
      </c>
      <c r="E144" s="11" t="s">
        <v>804</v>
      </c>
      <c r="G144" s="11" t="s">
        <v>272</v>
      </c>
      <c r="H144" s="11" t="s">
        <v>1144</v>
      </c>
      <c r="I144" s="11" t="s">
        <v>1145</v>
      </c>
      <c r="J144" s="11" t="s">
        <v>1144</v>
      </c>
      <c r="K144" s="11" t="s">
        <v>1145</v>
      </c>
      <c r="L144" s="11" t="s">
        <v>766</v>
      </c>
      <c r="M144" s="11" t="n">
        <v>1</v>
      </c>
      <c r="P144" s="11" t="s">
        <v>3123</v>
      </c>
    </row>
    <row r="145" customFormat="false" ht="15" hidden="false" customHeight="false" outlineLevel="0" collapsed="false">
      <c r="A145" s="2" t="s">
        <v>3266</v>
      </c>
      <c r="B145" s="11" t="s">
        <v>2401</v>
      </c>
      <c r="C145" s="11" t="s">
        <v>1395</v>
      </c>
      <c r="D145" s="11" t="s">
        <v>776</v>
      </c>
      <c r="E145" s="11" t="s">
        <v>779</v>
      </c>
      <c r="G145" s="11" t="s">
        <v>272</v>
      </c>
      <c r="H145" s="11" t="s">
        <v>1144</v>
      </c>
      <c r="I145" s="11" t="s">
        <v>1145</v>
      </c>
      <c r="J145" s="11" t="s">
        <v>1144</v>
      </c>
      <c r="K145" s="11" t="s">
        <v>1145</v>
      </c>
      <c r="L145" s="11" t="s">
        <v>766</v>
      </c>
      <c r="M145" s="11" t="n">
        <v>1</v>
      </c>
      <c r="P145" s="11" t="s">
        <v>3123</v>
      </c>
    </row>
    <row r="146" customFormat="false" ht="15" hidden="false" customHeight="false" outlineLevel="0" collapsed="false">
      <c r="A146" s="2" t="s">
        <v>3267</v>
      </c>
      <c r="B146" s="11" t="s">
        <v>2408</v>
      </c>
      <c r="C146" s="11" t="s">
        <v>1395</v>
      </c>
      <c r="D146" s="11" t="s">
        <v>750</v>
      </c>
      <c r="E146" s="11" t="s">
        <v>779</v>
      </c>
      <c r="G146" s="11" t="s">
        <v>258</v>
      </c>
      <c r="H146" s="11" t="s">
        <v>1144</v>
      </c>
      <c r="I146" s="11" t="s">
        <v>1145</v>
      </c>
      <c r="J146" s="11" t="s">
        <v>1144</v>
      </c>
      <c r="K146" s="11" t="s">
        <v>1145</v>
      </c>
      <c r="L146" s="11" t="s">
        <v>766</v>
      </c>
      <c r="M146" s="11" t="n">
        <v>1</v>
      </c>
      <c r="P146" s="11" t="s">
        <v>3123</v>
      </c>
    </row>
    <row r="147" customFormat="false" ht="15" hidden="false" customHeight="false" outlineLevel="0" collapsed="false">
      <c r="A147" s="2" t="s">
        <v>3268</v>
      </c>
      <c r="B147" s="11" t="s">
        <v>2408</v>
      </c>
      <c r="C147" s="11" t="s">
        <v>1401</v>
      </c>
      <c r="D147" s="11" t="s">
        <v>776</v>
      </c>
      <c r="E147" s="11" t="s">
        <v>779</v>
      </c>
      <c r="G147" s="11" t="s">
        <v>272</v>
      </c>
      <c r="H147" s="11" t="s">
        <v>1144</v>
      </c>
      <c r="I147" s="11" t="s">
        <v>1145</v>
      </c>
      <c r="J147" s="11" t="s">
        <v>1144</v>
      </c>
      <c r="K147" s="11" t="s">
        <v>1145</v>
      </c>
      <c r="L147" s="11" t="s">
        <v>766</v>
      </c>
      <c r="M147" s="11" t="n">
        <v>1</v>
      </c>
      <c r="P147" s="11" t="s">
        <v>3123</v>
      </c>
    </row>
    <row r="148" customFormat="false" ht="15" hidden="false" customHeight="false" outlineLevel="0" collapsed="false">
      <c r="A148" s="2" t="s">
        <v>3269</v>
      </c>
      <c r="B148" s="11" t="s">
        <v>2408</v>
      </c>
      <c r="C148" s="11" t="s">
        <v>1428</v>
      </c>
      <c r="D148" s="11" t="s">
        <v>776</v>
      </c>
      <c r="E148" s="11" t="s">
        <v>804</v>
      </c>
      <c r="G148" s="11" t="s">
        <v>272</v>
      </c>
      <c r="H148" s="11" t="s">
        <v>1144</v>
      </c>
      <c r="I148" s="11" t="s">
        <v>1145</v>
      </c>
      <c r="J148" s="11" t="s">
        <v>1144</v>
      </c>
      <c r="K148" s="11" t="s">
        <v>1145</v>
      </c>
      <c r="L148" s="11" t="s">
        <v>766</v>
      </c>
      <c r="M148" s="11" t="n">
        <v>1</v>
      </c>
      <c r="P148" s="11" t="s">
        <v>3123</v>
      </c>
    </row>
    <row r="149" customFormat="false" ht="15" hidden="false" customHeight="false" outlineLevel="0" collapsed="false">
      <c r="A149" s="2" t="s">
        <v>3270</v>
      </c>
      <c r="B149" s="11" t="s">
        <v>2408</v>
      </c>
      <c r="C149" s="11" t="s">
        <v>1433</v>
      </c>
      <c r="D149" s="11" t="s">
        <v>776</v>
      </c>
      <c r="E149" s="11" t="s">
        <v>804</v>
      </c>
      <c r="G149" s="11" t="s">
        <v>272</v>
      </c>
      <c r="H149" s="11" t="s">
        <v>1144</v>
      </c>
      <c r="I149" s="11" t="s">
        <v>1145</v>
      </c>
      <c r="J149" s="11" t="s">
        <v>1144</v>
      </c>
      <c r="K149" s="11" t="s">
        <v>1145</v>
      </c>
      <c r="L149" s="11" t="s">
        <v>766</v>
      </c>
      <c r="M149" s="11" t="n">
        <v>1</v>
      </c>
      <c r="P149" s="11" t="s">
        <v>3123</v>
      </c>
    </row>
    <row r="150" customFormat="false" ht="15" hidden="false" customHeight="false" outlineLevel="0" collapsed="false">
      <c r="A150" s="2" t="s">
        <v>3271</v>
      </c>
      <c r="B150" s="11" t="s">
        <v>2415</v>
      </c>
      <c r="C150" s="11" t="s">
        <v>1395</v>
      </c>
      <c r="D150" s="11" t="s">
        <v>750</v>
      </c>
      <c r="E150" s="11" t="s">
        <v>779</v>
      </c>
      <c r="G150" s="11" t="s">
        <v>258</v>
      </c>
      <c r="H150" s="11" t="s">
        <v>1144</v>
      </c>
      <c r="I150" s="11" t="s">
        <v>1145</v>
      </c>
      <c r="J150" s="11" t="s">
        <v>1144</v>
      </c>
      <c r="K150" s="11" t="s">
        <v>1145</v>
      </c>
      <c r="L150" s="11" t="s">
        <v>766</v>
      </c>
      <c r="M150" s="11" t="n">
        <v>1</v>
      </c>
      <c r="P150" s="11" t="s">
        <v>3123</v>
      </c>
    </row>
    <row r="151" customFormat="false" ht="15" hidden="false" customHeight="false" outlineLevel="0" collapsed="false">
      <c r="A151" s="2" t="s">
        <v>3272</v>
      </c>
      <c r="B151" s="11" t="s">
        <v>2415</v>
      </c>
      <c r="C151" s="11" t="s">
        <v>1401</v>
      </c>
      <c r="D151" s="11" t="s">
        <v>776</v>
      </c>
      <c r="E151" s="11" t="s">
        <v>779</v>
      </c>
      <c r="G151" s="11" t="s">
        <v>272</v>
      </c>
      <c r="H151" s="11" t="s">
        <v>1144</v>
      </c>
      <c r="I151" s="11" t="s">
        <v>1145</v>
      </c>
      <c r="J151" s="11" t="s">
        <v>1144</v>
      </c>
      <c r="K151" s="11" t="s">
        <v>1145</v>
      </c>
      <c r="L151" s="11" t="s">
        <v>766</v>
      </c>
      <c r="M151" s="11" t="n">
        <v>1</v>
      </c>
      <c r="P151" s="11" t="s">
        <v>3123</v>
      </c>
    </row>
    <row r="152" customFormat="false" ht="15" hidden="false" customHeight="false" outlineLevel="0" collapsed="false">
      <c r="A152" s="2" t="s">
        <v>3273</v>
      </c>
      <c r="B152" s="11" t="s">
        <v>2415</v>
      </c>
      <c r="C152" s="11" t="s">
        <v>1354</v>
      </c>
      <c r="D152" s="11" t="s">
        <v>776</v>
      </c>
      <c r="E152" s="11" t="s">
        <v>752</v>
      </c>
      <c r="G152" s="11" t="s">
        <v>272</v>
      </c>
      <c r="H152" s="11" t="s">
        <v>1144</v>
      </c>
      <c r="I152" s="11" t="s">
        <v>1145</v>
      </c>
      <c r="J152" s="11" t="s">
        <v>1144</v>
      </c>
      <c r="K152" s="11" t="s">
        <v>1145</v>
      </c>
      <c r="L152" s="11" t="s">
        <v>766</v>
      </c>
      <c r="M152" s="11" t="n">
        <v>1</v>
      </c>
      <c r="P152" s="11" t="s">
        <v>3123</v>
      </c>
    </row>
    <row r="153" customFormat="false" ht="15" hidden="false" customHeight="false" outlineLevel="0" collapsed="false">
      <c r="A153" s="2" t="s">
        <v>3274</v>
      </c>
      <c r="B153" s="11" t="s">
        <v>2415</v>
      </c>
      <c r="C153" s="11" t="s">
        <v>1364</v>
      </c>
      <c r="D153" s="11" t="s">
        <v>776</v>
      </c>
      <c r="E153" s="11" t="s">
        <v>752</v>
      </c>
      <c r="G153" s="11" t="s">
        <v>272</v>
      </c>
      <c r="H153" s="11" t="s">
        <v>1144</v>
      </c>
      <c r="I153" s="11" t="s">
        <v>1145</v>
      </c>
      <c r="J153" s="11" t="s">
        <v>1144</v>
      </c>
      <c r="K153" s="11" t="s">
        <v>1145</v>
      </c>
      <c r="L153" s="11" t="s">
        <v>766</v>
      </c>
      <c r="M153" s="11" t="n">
        <v>1</v>
      </c>
      <c r="P153" s="11" t="s">
        <v>3123</v>
      </c>
    </row>
    <row r="154" customFormat="false" ht="15" hidden="false" customHeight="false" outlineLevel="0" collapsed="false">
      <c r="A154" s="2" t="s">
        <v>3275</v>
      </c>
      <c r="B154" s="11" t="s">
        <v>2422</v>
      </c>
      <c r="C154" s="11" t="s">
        <v>1354</v>
      </c>
      <c r="D154" s="11" t="s">
        <v>750</v>
      </c>
      <c r="E154" s="11" t="s">
        <v>752</v>
      </c>
      <c r="G154" s="11" t="s">
        <v>258</v>
      </c>
      <c r="H154" s="11" t="s">
        <v>1144</v>
      </c>
      <c r="I154" s="11" t="s">
        <v>1145</v>
      </c>
      <c r="J154" s="11" t="s">
        <v>1144</v>
      </c>
      <c r="K154" s="11" t="s">
        <v>1145</v>
      </c>
      <c r="L154" s="11" t="s">
        <v>766</v>
      </c>
      <c r="M154" s="11" t="n">
        <v>1</v>
      </c>
      <c r="P154" s="11" t="s">
        <v>3123</v>
      </c>
    </row>
    <row r="155" customFormat="false" ht="15" hidden="false" customHeight="false" outlineLevel="0" collapsed="false">
      <c r="A155" s="2" t="s">
        <v>3276</v>
      </c>
      <c r="B155" s="11" t="s">
        <v>2422</v>
      </c>
      <c r="C155" s="11" t="s">
        <v>1364</v>
      </c>
      <c r="D155" s="11" t="s">
        <v>776</v>
      </c>
      <c r="E155" s="11" t="s">
        <v>752</v>
      </c>
      <c r="G155" s="11" t="s">
        <v>272</v>
      </c>
      <c r="H155" s="11" t="s">
        <v>1144</v>
      </c>
      <c r="I155" s="11" t="s">
        <v>1145</v>
      </c>
      <c r="J155" s="11" t="s">
        <v>1144</v>
      </c>
      <c r="K155" s="11" t="s">
        <v>1145</v>
      </c>
      <c r="L155" s="11" t="s">
        <v>766</v>
      </c>
      <c r="M155" s="11" t="n">
        <v>1</v>
      </c>
      <c r="P155" s="11" t="s">
        <v>3123</v>
      </c>
    </row>
    <row r="156" customFormat="false" ht="15" hidden="false" customHeight="false" outlineLevel="0" collapsed="false">
      <c r="A156" s="2" t="s">
        <v>3277</v>
      </c>
      <c r="B156" s="11" t="s">
        <v>2422</v>
      </c>
      <c r="C156" s="11" t="s">
        <v>1395</v>
      </c>
      <c r="D156" s="11" t="s">
        <v>776</v>
      </c>
      <c r="E156" s="11" t="s">
        <v>779</v>
      </c>
      <c r="G156" s="11" t="s">
        <v>272</v>
      </c>
      <c r="H156" s="11" t="s">
        <v>1144</v>
      </c>
      <c r="I156" s="11" t="s">
        <v>1145</v>
      </c>
      <c r="J156" s="11" t="s">
        <v>1144</v>
      </c>
      <c r="K156" s="11" t="s">
        <v>1145</v>
      </c>
      <c r="L156" s="11" t="s">
        <v>766</v>
      </c>
      <c r="M156" s="11" t="n">
        <v>1</v>
      </c>
      <c r="P156" s="11" t="s">
        <v>3123</v>
      </c>
    </row>
    <row r="157" customFormat="false" ht="15" hidden="false" customHeight="false" outlineLevel="0" collapsed="false">
      <c r="A157" s="2" t="s">
        <v>3278</v>
      </c>
      <c r="B157" s="11" t="s">
        <v>2422</v>
      </c>
      <c r="C157" s="11" t="s">
        <v>1401</v>
      </c>
      <c r="D157" s="11" t="s">
        <v>776</v>
      </c>
      <c r="E157" s="11" t="s">
        <v>779</v>
      </c>
      <c r="G157" s="11" t="s">
        <v>272</v>
      </c>
      <c r="H157" s="11" t="s">
        <v>1144</v>
      </c>
      <c r="I157" s="11" t="s">
        <v>1145</v>
      </c>
      <c r="J157" s="11" t="s">
        <v>1144</v>
      </c>
      <c r="K157" s="11" t="s">
        <v>1145</v>
      </c>
      <c r="L157" s="11" t="s">
        <v>766</v>
      </c>
      <c r="M157" s="11" t="n">
        <v>1</v>
      </c>
      <c r="P157" s="11" t="s">
        <v>3123</v>
      </c>
    </row>
    <row r="158" customFormat="false" ht="15" hidden="false" customHeight="false" outlineLevel="0" collapsed="false">
      <c r="A158" s="2" t="s">
        <v>3279</v>
      </c>
      <c r="B158" s="11" t="s">
        <v>2429</v>
      </c>
      <c r="C158" s="11" t="s">
        <v>1354</v>
      </c>
      <c r="D158" s="11" t="s">
        <v>750</v>
      </c>
      <c r="E158" s="11" t="s">
        <v>752</v>
      </c>
      <c r="G158" s="11" t="s">
        <v>258</v>
      </c>
      <c r="H158" s="11" t="s">
        <v>1144</v>
      </c>
      <c r="I158" s="11" t="s">
        <v>1145</v>
      </c>
      <c r="J158" s="11" t="s">
        <v>1144</v>
      </c>
      <c r="K158" s="11" t="s">
        <v>1145</v>
      </c>
      <c r="L158" s="11" t="s">
        <v>766</v>
      </c>
      <c r="M158" s="11" t="n">
        <v>1</v>
      </c>
      <c r="P158" s="11" t="s">
        <v>3123</v>
      </c>
    </row>
    <row r="159" customFormat="false" ht="15" hidden="false" customHeight="false" outlineLevel="0" collapsed="false">
      <c r="A159" s="2" t="s">
        <v>3280</v>
      </c>
      <c r="B159" s="11" t="s">
        <v>2436</v>
      </c>
      <c r="C159" s="11" t="s">
        <v>1354</v>
      </c>
      <c r="D159" s="11" t="s">
        <v>750</v>
      </c>
      <c r="E159" s="11" t="s">
        <v>752</v>
      </c>
      <c r="G159" s="11" t="s">
        <v>258</v>
      </c>
      <c r="H159" s="11" t="s">
        <v>1144</v>
      </c>
      <c r="I159" s="11" t="s">
        <v>1145</v>
      </c>
      <c r="J159" s="11" t="s">
        <v>1144</v>
      </c>
      <c r="K159" s="11" t="s">
        <v>1145</v>
      </c>
      <c r="L159" s="11" t="s">
        <v>766</v>
      </c>
      <c r="M159" s="11" t="n">
        <v>1</v>
      </c>
      <c r="P159" s="11" t="s">
        <v>3123</v>
      </c>
    </row>
    <row r="160" customFormat="false" ht="15" hidden="false" customHeight="false" outlineLevel="0" collapsed="false">
      <c r="A160" s="2" t="s">
        <v>3281</v>
      </c>
      <c r="B160" s="11" t="s">
        <v>2443</v>
      </c>
      <c r="C160" s="11" t="s">
        <v>1379</v>
      </c>
      <c r="D160" s="11" t="s">
        <v>750</v>
      </c>
      <c r="E160" s="11" t="s">
        <v>779</v>
      </c>
      <c r="G160" s="11" t="s">
        <v>258</v>
      </c>
      <c r="H160" s="11" t="s">
        <v>1144</v>
      </c>
      <c r="I160" s="11" t="s">
        <v>1145</v>
      </c>
      <c r="J160" s="11" t="s">
        <v>1144</v>
      </c>
      <c r="K160" s="11" t="s">
        <v>1145</v>
      </c>
      <c r="L160" s="11" t="s">
        <v>766</v>
      </c>
      <c r="M160" s="11" t="n">
        <v>1</v>
      </c>
      <c r="P160" s="11" t="s">
        <v>3123</v>
      </c>
    </row>
    <row r="161" customFormat="false" ht="15" hidden="false" customHeight="false" outlineLevel="0" collapsed="false">
      <c r="A161" s="2" t="s">
        <v>3282</v>
      </c>
      <c r="B161" s="11" t="s">
        <v>2443</v>
      </c>
      <c r="C161" s="11" t="s">
        <v>1354</v>
      </c>
      <c r="D161" s="11" t="s">
        <v>776</v>
      </c>
      <c r="E161" s="11" t="s">
        <v>752</v>
      </c>
      <c r="G161" s="11" t="s">
        <v>272</v>
      </c>
      <c r="H161" s="11" t="s">
        <v>1144</v>
      </c>
      <c r="I161" s="11" t="s">
        <v>1145</v>
      </c>
      <c r="J161" s="11" t="s">
        <v>1144</v>
      </c>
      <c r="K161" s="11" t="s">
        <v>1145</v>
      </c>
      <c r="L161" s="11" t="s">
        <v>766</v>
      </c>
      <c r="M161" s="11" t="n">
        <v>1</v>
      </c>
      <c r="P161" s="11" t="s">
        <v>3123</v>
      </c>
    </row>
    <row r="162" customFormat="false" ht="15" hidden="false" customHeight="false" outlineLevel="0" collapsed="false">
      <c r="A162" s="2" t="s">
        <v>3283</v>
      </c>
      <c r="B162" s="11" t="s">
        <v>2443</v>
      </c>
      <c r="C162" s="11" t="s">
        <v>1364</v>
      </c>
      <c r="D162" s="11" t="s">
        <v>776</v>
      </c>
      <c r="E162" s="11" t="s">
        <v>752</v>
      </c>
      <c r="G162" s="11" t="s">
        <v>272</v>
      </c>
      <c r="H162" s="11" t="s">
        <v>1144</v>
      </c>
      <c r="I162" s="11" t="s">
        <v>1145</v>
      </c>
      <c r="J162" s="11" t="s">
        <v>1144</v>
      </c>
      <c r="K162" s="11" t="s">
        <v>1145</v>
      </c>
      <c r="L162" s="11" t="s">
        <v>766</v>
      </c>
      <c r="M162" s="11" t="n">
        <v>1</v>
      </c>
      <c r="P162" s="11" t="s">
        <v>3123</v>
      </c>
    </row>
    <row r="163" customFormat="false" ht="15" hidden="false" customHeight="false" outlineLevel="0" collapsed="false">
      <c r="A163" s="2" t="s">
        <v>3284</v>
      </c>
      <c r="B163" s="11" t="s">
        <v>2450</v>
      </c>
      <c r="C163" s="11" t="s">
        <v>1354</v>
      </c>
      <c r="D163" s="11" t="s">
        <v>750</v>
      </c>
      <c r="E163" s="11" t="s">
        <v>752</v>
      </c>
      <c r="G163" s="11" t="s">
        <v>258</v>
      </c>
      <c r="H163" s="11" t="s">
        <v>1144</v>
      </c>
      <c r="I163" s="11" t="s">
        <v>1145</v>
      </c>
      <c r="J163" s="11" t="s">
        <v>1144</v>
      </c>
      <c r="K163" s="11" t="s">
        <v>1145</v>
      </c>
      <c r="L163" s="11" t="s">
        <v>766</v>
      </c>
      <c r="M163" s="11" t="n">
        <v>1</v>
      </c>
      <c r="P163" s="11" t="s">
        <v>3123</v>
      </c>
    </row>
    <row r="164" customFormat="false" ht="15" hidden="false" customHeight="false" outlineLevel="0" collapsed="false">
      <c r="A164" s="2" t="s">
        <v>3285</v>
      </c>
      <c r="B164" s="11" t="s">
        <v>2456</v>
      </c>
      <c r="C164" s="11" t="s">
        <v>1395</v>
      </c>
      <c r="D164" s="11" t="s">
        <v>750</v>
      </c>
      <c r="E164" s="11" t="s">
        <v>779</v>
      </c>
      <c r="G164" s="11" t="s">
        <v>258</v>
      </c>
      <c r="H164" s="11" t="s">
        <v>1144</v>
      </c>
      <c r="I164" s="11" t="s">
        <v>1145</v>
      </c>
      <c r="J164" s="11" t="s">
        <v>1144</v>
      </c>
      <c r="K164" s="11" t="s">
        <v>1145</v>
      </c>
      <c r="L164" s="11" t="s">
        <v>766</v>
      </c>
      <c r="M164" s="11" t="n">
        <v>1</v>
      </c>
      <c r="P164" s="11" t="s">
        <v>3123</v>
      </c>
    </row>
    <row r="165" customFormat="false" ht="15" hidden="false" customHeight="false" outlineLevel="0" collapsed="false">
      <c r="A165" s="2" t="s">
        <v>3286</v>
      </c>
      <c r="B165" s="11" t="s">
        <v>2456</v>
      </c>
      <c r="C165" s="11" t="s">
        <v>1401</v>
      </c>
      <c r="D165" s="11" t="s">
        <v>776</v>
      </c>
      <c r="E165" s="11" t="s">
        <v>779</v>
      </c>
      <c r="G165" s="11" t="s">
        <v>272</v>
      </c>
      <c r="H165" s="11" t="s">
        <v>1144</v>
      </c>
      <c r="I165" s="11" t="s">
        <v>1145</v>
      </c>
      <c r="J165" s="11" t="s">
        <v>1144</v>
      </c>
      <c r="K165" s="11" t="s">
        <v>1145</v>
      </c>
      <c r="L165" s="11" t="s">
        <v>766</v>
      </c>
      <c r="M165" s="11" t="n">
        <v>1</v>
      </c>
      <c r="P165" s="11" t="s">
        <v>3123</v>
      </c>
    </row>
    <row r="166" customFormat="false" ht="15" hidden="false" customHeight="false" outlineLevel="0" collapsed="false">
      <c r="A166" s="2" t="s">
        <v>3287</v>
      </c>
      <c r="B166" s="11" t="s">
        <v>2462</v>
      </c>
      <c r="C166" s="11" t="s">
        <v>1395</v>
      </c>
      <c r="D166" s="11" t="s">
        <v>750</v>
      </c>
      <c r="E166" s="11" t="s">
        <v>779</v>
      </c>
      <c r="G166" s="11" t="s">
        <v>258</v>
      </c>
      <c r="H166" s="11" t="s">
        <v>1144</v>
      </c>
      <c r="I166" s="11" t="s">
        <v>1145</v>
      </c>
      <c r="J166" s="11" t="s">
        <v>1144</v>
      </c>
      <c r="K166" s="11" t="s">
        <v>1145</v>
      </c>
      <c r="L166" s="11" t="s">
        <v>766</v>
      </c>
      <c r="M166" s="11" t="n">
        <v>1</v>
      </c>
      <c r="P166" s="11" t="s">
        <v>3123</v>
      </c>
    </row>
    <row r="167" customFormat="false" ht="15" hidden="false" customHeight="false" outlineLevel="0" collapsed="false">
      <c r="A167" s="2" t="s">
        <v>3288</v>
      </c>
      <c r="B167" s="11" t="s">
        <v>2462</v>
      </c>
      <c r="C167" s="11" t="s">
        <v>1401</v>
      </c>
      <c r="D167" s="11" t="s">
        <v>776</v>
      </c>
      <c r="E167" s="11" t="s">
        <v>779</v>
      </c>
      <c r="G167" s="11" t="s">
        <v>272</v>
      </c>
      <c r="H167" s="11" t="s">
        <v>1144</v>
      </c>
      <c r="I167" s="11" t="s">
        <v>1145</v>
      </c>
      <c r="J167" s="11" t="s">
        <v>1144</v>
      </c>
      <c r="K167" s="11" t="s">
        <v>1145</v>
      </c>
      <c r="L167" s="11" t="s">
        <v>766</v>
      </c>
      <c r="M167" s="11" t="n">
        <v>1</v>
      </c>
      <c r="P167" s="11" t="s">
        <v>3123</v>
      </c>
    </row>
    <row r="168" customFormat="false" ht="15" hidden="false" customHeight="false" outlineLevel="0" collapsed="false">
      <c r="A168" s="2" t="s">
        <v>3289</v>
      </c>
      <c r="B168" s="11" t="s">
        <v>2467</v>
      </c>
      <c r="C168" s="11" t="s">
        <v>1354</v>
      </c>
      <c r="D168" s="11" t="s">
        <v>750</v>
      </c>
      <c r="E168" s="11" t="s">
        <v>752</v>
      </c>
      <c r="G168" s="11" t="s">
        <v>258</v>
      </c>
      <c r="H168" s="11" t="s">
        <v>1144</v>
      </c>
      <c r="I168" s="11" t="s">
        <v>1145</v>
      </c>
      <c r="J168" s="11" t="s">
        <v>1144</v>
      </c>
      <c r="K168" s="11" t="s">
        <v>1145</v>
      </c>
      <c r="L168" s="11" t="s">
        <v>766</v>
      </c>
      <c r="M168" s="11" t="n">
        <v>1</v>
      </c>
      <c r="P168" s="11" t="s">
        <v>3123</v>
      </c>
    </row>
    <row r="169" customFormat="false" ht="15" hidden="false" customHeight="false" outlineLevel="0" collapsed="false">
      <c r="A169" s="2" t="s">
        <v>3290</v>
      </c>
      <c r="B169" s="11" t="s">
        <v>2467</v>
      </c>
      <c r="C169" s="11" t="s">
        <v>1364</v>
      </c>
      <c r="D169" s="11" t="s">
        <v>776</v>
      </c>
      <c r="E169" s="11" t="s">
        <v>752</v>
      </c>
      <c r="G169" s="11" t="s">
        <v>272</v>
      </c>
      <c r="H169" s="11" t="s">
        <v>1144</v>
      </c>
      <c r="I169" s="11" t="s">
        <v>1145</v>
      </c>
      <c r="J169" s="11" t="s">
        <v>1144</v>
      </c>
      <c r="K169" s="11" t="s">
        <v>1145</v>
      </c>
      <c r="L169" s="11" t="s">
        <v>766</v>
      </c>
      <c r="M169" s="11" t="n">
        <v>1</v>
      </c>
      <c r="P169" s="11" t="s">
        <v>3123</v>
      </c>
    </row>
    <row r="170" customFormat="false" ht="15" hidden="false" customHeight="false" outlineLevel="0" collapsed="false">
      <c r="A170" s="2" t="s">
        <v>3291</v>
      </c>
      <c r="B170" s="11" t="s">
        <v>2467</v>
      </c>
      <c r="C170" s="11" t="s">
        <v>1395</v>
      </c>
      <c r="D170" s="11" t="s">
        <v>776</v>
      </c>
      <c r="E170" s="11" t="s">
        <v>779</v>
      </c>
      <c r="G170" s="11" t="s">
        <v>272</v>
      </c>
      <c r="H170" s="11" t="s">
        <v>1144</v>
      </c>
      <c r="I170" s="11" t="s">
        <v>1145</v>
      </c>
      <c r="J170" s="11" t="s">
        <v>1144</v>
      </c>
      <c r="K170" s="11" t="s">
        <v>1145</v>
      </c>
      <c r="L170" s="11" t="s">
        <v>766</v>
      </c>
      <c r="M170" s="11" t="n">
        <v>1</v>
      </c>
      <c r="P170" s="11" t="s">
        <v>3123</v>
      </c>
    </row>
    <row r="171" customFormat="false" ht="15" hidden="false" customHeight="false" outlineLevel="0" collapsed="false">
      <c r="A171" s="2" t="s">
        <v>3292</v>
      </c>
      <c r="B171" s="11" t="s">
        <v>2467</v>
      </c>
      <c r="C171" s="11" t="s">
        <v>1428</v>
      </c>
      <c r="D171" s="11" t="s">
        <v>776</v>
      </c>
      <c r="E171" s="11" t="s">
        <v>804</v>
      </c>
      <c r="G171" s="11" t="s">
        <v>272</v>
      </c>
      <c r="H171" s="11" t="s">
        <v>1144</v>
      </c>
      <c r="I171" s="11" t="s">
        <v>1145</v>
      </c>
      <c r="J171" s="11" t="s">
        <v>1144</v>
      </c>
      <c r="K171" s="11" t="s">
        <v>1145</v>
      </c>
      <c r="L171" s="11" t="s">
        <v>766</v>
      </c>
      <c r="M171" s="11" t="n">
        <v>1</v>
      </c>
      <c r="P171" s="11" t="s">
        <v>3123</v>
      </c>
    </row>
    <row r="172" customFormat="false" ht="15" hidden="false" customHeight="false" outlineLevel="0" collapsed="false">
      <c r="A172" s="2" t="s">
        <v>3293</v>
      </c>
      <c r="B172" s="11" t="s">
        <v>2473</v>
      </c>
      <c r="C172" s="11" t="s">
        <v>1354</v>
      </c>
      <c r="D172" s="11" t="s">
        <v>750</v>
      </c>
      <c r="E172" s="11" t="s">
        <v>752</v>
      </c>
      <c r="G172" s="11" t="s">
        <v>258</v>
      </c>
      <c r="H172" s="11" t="s">
        <v>1144</v>
      </c>
      <c r="I172" s="11" t="s">
        <v>1145</v>
      </c>
      <c r="J172" s="11" t="s">
        <v>1144</v>
      </c>
      <c r="K172" s="11" t="s">
        <v>1145</v>
      </c>
      <c r="L172" s="11" t="s">
        <v>766</v>
      </c>
      <c r="M172" s="11" t="n">
        <v>1</v>
      </c>
      <c r="P172" s="11" t="s">
        <v>3123</v>
      </c>
    </row>
    <row r="173" customFormat="false" ht="15" hidden="false" customHeight="false" outlineLevel="0" collapsed="false">
      <c r="A173" s="2" t="s">
        <v>3294</v>
      </c>
      <c r="B173" s="11" t="s">
        <v>2479</v>
      </c>
      <c r="C173" s="11" t="s">
        <v>1354</v>
      </c>
      <c r="D173" s="11" t="s">
        <v>750</v>
      </c>
      <c r="E173" s="11" t="s">
        <v>752</v>
      </c>
      <c r="G173" s="11" t="s">
        <v>258</v>
      </c>
      <c r="H173" s="11" t="s">
        <v>1144</v>
      </c>
      <c r="I173" s="11" t="s">
        <v>1145</v>
      </c>
      <c r="J173" s="11" t="s">
        <v>1144</v>
      </c>
      <c r="K173" s="11" t="s">
        <v>1145</v>
      </c>
      <c r="L173" s="11" t="s">
        <v>766</v>
      </c>
      <c r="M173" s="11" t="n">
        <v>1</v>
      </c>
      <c r="P173" s="11" t="s">
        <v>3123</v>
      </c>
    </row>
    <row r="174" customFormat="false" ht="15" hidden="false" customHeight="false" outlineLevel="0" collapsed="false">
      <c r="A174" s="2" t="s">
        <v>3295</v>
      </c>
      <c r="B174" s="11" t="s">
        <v>2485</v>
      </c>
      <c r="C174" s="11" t="s">
        <v>1354</v>
      </c>
      <c r="D174" s="11" t="s">
        <v>750</v>
      </c>
      <c r="E174" s="11" t="s">
        <v>752</v>
      </c>
      <c r="G174" s="11" t="s">
        <v>258</v>
      </c>
      <c r="H174" s="11" t="s">
        <v>1144</v>
      </c>
      <c r="I174" s="11" t="s">
        <v>1145</v>
      </c>
      <c r="J174" s="11" t="s">
        <v>1144</v>
      </c>
      <c r="K174" s="11" t="s">
        <v>1145</v>
      </c>
      <c r="L174" s="11" t="s">
        <v>766</v>
      </c>
      <c r="M174" s="11" t="n">
        <v>1</v>
      </c>
      <c r="P174" s="11" t="s">
        <v>3123</v>
      </c>
    </row>
    <row r="175" customFormat="false" ht="15" hidden="false" customHeight="false" outlineLevel="0" collapsed="false">
      <c r="A175" s="2" t="s">
        <v>3296</v>
      </c>
      <c r="B175" s="11" t="s">
        <v>2491</v>
      </c>
      <c r="C175" s="11" t="s">
        <v>1354</v>
      </c>
      <c r="D175" s="11" t="s">
        <v>750</v>
      </c>
      <c r="E175" s="11" t="s">
        <v>752</v>
      </c>
      <c r="G175" s="11" t="s">
        <v>258</v>
      </c>
      <c r="H175" s="11" t="s">
        <v>1144</v>
      </c>
      <c r="I175" s="11" t="s">
        <v>1145</v>
      </c>
      <c r="J175" s="11" t="s">
        <v>1144</v>
      </c>
      <c r="K175" s="11" t="s">
        <v>1145</v>
      </c>
      <c r="L175" s="11" t="s">
        <v>766</v>
      </c>
      <c r="M175" s="11" t="n">
        <v>1</v>
      </c>
      <c r="P175" s="11" t="s">
        <v>3123</v>
      </c>
    </row>
    <row r="176" customFormat="false" ht="15" hidden="false" customHeight="false" outlineLevel="0" collapsed="false">
      <c r="A176" s="2" t="s">
        <v>3297</v>
      </c>
      <c r="B176" s="11" t="s">
        <v>2491</v>
      </c>
      <c r="C176" s="11" t="s">
        <v>1364</v>
      </c>
      <c r="D176" s="11" t="s">
        <v>776</v>
      </c>
      <c r="E176" s="11" t="s">
        <v>752</v>
      </c>
      <c r="G176" s="11" t="s">
        <v>272</v>
      </c>
      <c r="H176" s="11" t="s">
        <v>1144</v>
      </c>
      <c r="I176" s="11" t="s">
        <v>1145</v>
      </c>
      <c r="J176" s="11" t="s">
        <v>1144</v>
      </c>
      <c r="K176" s="11" t="s">
        <v>1145</v>
      </c>
      <c r="L176" s="11" t="s">
        <v>766</v>
      </c>
      <c r="M176" s="11" t="n">
        <v>1</v>
      </c>
      <c r="P176" s="11" t="s">
        <v>3123</v>
      </c>
    </row>
    <row r="177" customFormat="false" ht="15" hidden="false" customHeight="false" outlineLevel="0" collapsed="false">
      <c r="A177" s="2" t="s">
        <v>3298</v>
      </c>
      <c r="B177" s="11" t="s">
        <v>2491</v>
      </c>
      <c r="C177" s="11" t="s">
        <v>1428</v>
      </c>
      <c r="D177" s="11" t="s">
        <v>776</v>
      </c>
      <c r="E177" s="11" t="s">
        <v>804</v>
      </c>
      <c r="G177" s="11" t="s">
        <v>272</v>
      </c>
      <c r="H177" s="11" t="s">
        <v>1144</v>
      </c>
      <c r="I177" s="11" t="s">
        <v>1145</v>
      </c>
      <c r="J177" s="11" t="s">
        <v>1144</v>
      </c>
      <c r="K177" s="11" t="s">
        <v>1145</v>
      </c>
      <c r="L177" s="11" t="s">
        <v>766</v>
      </c>
      <c r="M177" s="11" t="n">
        <v>1</v>
      </c>
      <c r="P177" s="11" t="s">
        <v>3123</v>
      </c>
    </row>
    <row r="178" customFormat="false" ht="15" hidden="false" customHeight="false" outlineLevel="0" collapsed="false">
      <c r="A178" s="2" t="s">
        <v>3299</v>
      </c>
      <c r="B178" s="11" t="s">
        <v>2497</v>
      </c>
      <c r="C178" s="11" t="s">
        <v>1379</v>
      </c>
      <c r="D178" s="11" t="s">
        <v>750</v>
      </c>
      <c r="E178" s="11" t="s">
        <v>779</v>
      </c>
      <c r="G178" s="11" t="s">
        <v>258</v>
      </c>
      <c r="H178" s="11" t="s">
        <v>1144</v>
      </c>
      <c r="I178" s="11" t="s">
        <v>1145</v>
      </c>
      <c r="J178" s="11" t="s">
        <v>1144</v>
      </c>
      <c r="K178" s="11" t="s">
        <v>1145</v>
      </c>
      <c r="L178" s="11" t="s">
        <v>766</v>
      </c>
      <c r="M178" s="11" t="n">
        <v>1</v>
      </c>
      <c r="P178" s="11" t="s">
        <v>3123</v>
      </c>
    </row>
    <row r="179" customFormat="false" ht="15" hidden="false" customHeight="false" outlineLevel="0" collapsed="false">
      <c r="A179" s="2" t="s">
        <v>3300</v>
      </c>
      <c r="B179" s="11" t="s">
        <v>2497</v>
      </c>
      <c r="C179" s="11" t="s">
        <v>1433</v>
      </c>
      <c r="D179" s="11" t="s">
        <v>776</v>
      </c>
      <c r="E179" s="11" t="s">
        <v>804</v>
      </c>
      <c r="G179" s="11" t="s">
        <v>272</v>
      </c>
      <c r="H179" s="11" t="s">
        <v>1144</v>
      </c>
      <c r="I179" s="11" t="s">
        <v>1145</v>
      </c>
      <c r="J179" s="11" t="s">
        <v>1144</v>
      </c>
      <c r="K179" s="11" t="s">
        <v>1145</v>
      </c>
      <c r="L179" s="11" t="s">
        <v>766</v>
      </c>
      <c r="M179" s="11" t="n">
        <v>1</v>
      </c>
      <c r="P179" s="11" t="s">
        <v>3123</v>
      </c>
    </row>
    <row r="180" customFormat="false" ht="15" hidden="false" customHeight="false" outlineLevel="0" collapsed="false">
      <c r="A180" s="2" t="s">
        <v>3301</v>
      </c>
      <c r="B180" s="11" t="s">
        <v>2503</v>
      </c>
      <c r="C180" s="11" t="s">
        <v>1395</v>
      </c>
      <c r="D180" s="11" t="s">
        <v>750</v>
      </c>
      <c r="E180" s="11" t="s">
        <v>779</v>
      </c>
      <c r="G180" s="11" t="s">
        <v>258</v>
      </c>
      <c r="H180" s="11" t="s">
        <v>1144</v>
      </c>
      <c r="I180" s="11" t="s">
        <v>1145</v>
      </c>
      <c r="J180" s="11" t="s">
        <v>1144</v>
      </c>
      <c r="K180" s="11" t="s">
        <v>1145</v>
      </c>
      <c r="L180" s="11" t="s">
        <v>766</v>
      </c>
      <c r="M180" s="11" t="n">
        <v>1</v>
      </c>
      <c r="P180" s="11" t="s">
        <v>3123</v>
      </c>
    </row>
    <row r="181" customFormat="false" ht="15" hidden="false" customHeight="false" outlineLevel="0" collapsed="false">
      <c r="A181" s="2" t="s">
        <v>3302</v>
      </c>
      <c r="B181" s="11" t="s">
        <v>2503</v>
      </c>
      <c r="C181" s="11" t="s">
        <v>1401</v>
      </c>
      <c r="D181" s="11" t="s">
        <v>776</v>
      </c>
      <c r="E181" s="11" t="s">
        <v>779</v>
      </c>
      <c r="G181" s="11" t="s">
        <v>272</v>
      </c>
      <c r="H181" s="11" t="s">
        <v>1144</v>
      </c>
      <c r="I181" s="11" t="s">
        <v>1145</v>
      </c>
      <c r="J181" s="11" t="s">
        <v>1144</v>
      </c>
      <c r="K181" s="11" t="s">
        <v>1145</v>
      </c>
      <c r="L181" s="11" t="s">
        <v>766</v>
      </c>
      <c r="M181" s="11" t="n">
        <v>1</v>
      </c>
      <c r="P181" s="11" t="s">
        <v>3123</v>
      </c>
    </row>
    <row r="182" customFormat="false" ht="15" hidden="false" customHeight="false" outlineLevel="0" collapsed="false">
      <c r="A182" s="2" t="s">
        <v>3303</v>
      </c>
      <c r="B182" s="11" t="s">
        <v>2508</v>
      </c>
      <c r="C182" s="11" t="s">
        <v>1379</v>
      </c>
      <c r="D182" s="11" t="s">
        <v>750</v>
      </c>
      <c r="E182" s="11" t="s">
        <v>779</v>
      </c>
      <c r="G182" s="11" t="s">
        <v>258</v>
      </c>
      <c r="H182" s="11" t="s">
        <v>1144</v>
      </c>
      <c r="I182" s="11" t="s">
        <v>1145</v>
      </c>
      <c r="J182" s="11" t="s">
        <v>1144</v>
      </c>
      <c r="K182" s="11" t="s">
        <v>1145</v>
      </c>
      <c r="L182" s="11" t="s">
        <v>766</v>
      </c>
      <c r="M182" s="11" t="n">
        <v>1</v>
      </c>
      <c r="P182" s="11" t="s">
        <v>3123</v>
      </c>
    </row>
    <row r="183" customFormat="false" ht="15" hidden="false" customHeight="false" outlineLevel="0" collapsed="false">
      <c r="A183" s="2" t="s">
        <v>3304</v>
      </c>
      <c r="B183" s="11" t="s">
        <v>2508</v>
      </c>
      <c r="C183" s="11" t="s">
        <v>1395</v>
      </c>
      <c r="D183" s="11" t="s">
        <v>776</v>
      </c>
      <c r="E183" s="11" t="s">
        <v>779</v>
      </c>
      <c r="G183" s="11" t="s">
        <v>272</v>
      </c>
      <c r="H183" s="11" t="s">
        <v>1144</v>
      </c>
      <c r="I183" s="11" t="s">
        <v>1145</v>
      </c>
      <c r="J183" s="11" t="s">
        <v>1144</v>
      </c>
      <c r="K183" s="11" t="s">
        <v>1145</v>
      </c>
      <c r="L183" s="11" t="s">
        <v>766</v>
      </c>
      <c r="M183" s="11" t="n">
        <v>1</v>
      </c>
      <c r="P183" s="11" t="s">
        <v>3123</v>
      </c>
    </row>
    <row r="184" customFormat="false" ht="15" hidden="false" customHeight="false" outlineLevel="0" collapsed="false">
      <c r="A184" s="2" t="s">
        <v>3305</v>
      </c>
      <c r="B184" s="11" t="s">
        <v>2514</v>
      </c>
      <c r="C184" s="11" t="s">
        <v>1354</v>
      </c>
      <c r="D184" s="11" t="s">
        <v>750</v>
      </c>
      <c r="E184" s="11" t="s">
        <v>752</v>
      </c>
      <c r="G184" s="11" t="s">
        <v>258</v>
      </c>
      <c r="H184" s="11" t="s">
        <v>1144</v>
      </c>
      <c r="I184" s="11" t="s">
        <v>1145</v>
      </c>
      <c r="J184" s="11" t="s">
        <v>1144</v>
      </c>
      <c r="K184" s="11" t="s">
        <v>1145</v>
      </c>
      <c r="L184" s="11" t="s">
        <v>766</v>
      </c>
      <c r="M184" s="11" t="n">
        <v>1</v>
      </c>
      <c r="P184" s="11" t="s">
        <v>3123</v>
      </c>
    </row>
  </sheetData>
  <autoFilter ref="A1:P184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184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184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184" type="list">
      <formula1>Keuzelijsten!$N$5:$N$60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G2:G1184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184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O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10" min="6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560</v>
      </c>
      <c r="B1" s="13" t="s">
        <v>469</v>
      </c>
      <c r="C1" s="13" t="s">
        <v>322</v>
      </c>
      <c r="D1" s="13" t="s">
        <v>557</v>
      </c>
      <c r="E1" s="14" t="s">
        <v>561</v>
      </c>
      <c r="F1" s="13" t="s">
        <v>554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3306</v>
      </c>
      <c r="B2" s="11" t="s">
        <v>2008</v>
      </c>
      <c r="C2" s="11" t="s">
        <v>1114</v>
      </c>
      <c r="D2" s="11" t="s">
        <v>750</v>
      </c>
      <c r="F2" s="11" t="s">
        <v>258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3123</v>
      </c>
    </row>
    <row r="3" customFormat="false" ht="15" hidden="false" customHeight="false" outlineLevel="0" collapsed="false">
      <c r="A3" s="2" t="s">
        <v>3307</v>
      </c>
      <c r="B3" s="11" t="s">
        <v>2023</v>
      </c>
      <c r="C3" s="11" t="s">
        <v>1114</v>
      </c>
      <c r="D3" s="11" t="s">
        <v>750</v>
      </c>
      <c r="F3" s="11" t="s">
        <v>258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3123</v>
      </c>
    </row>
    <row r="4" customFormat="false" ht="15" hidden="false" customHeight="false" outlineLevel="0" collapsed="false">
      <c r="A4" s="2" t="s">
        <v>3308</v>
      </c>
      <c r="B4" s="11" t="s">
        <v>2030</v>
      </c>
      <c r="C4" s="11" t="s">
        <v>1114</v>
      </c>
      <c r="D4" s="11" t="s">
        <v>750</v>
      </c>
      <c r="F4" s="11" t="s">
        <v>258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3123</v>
      </c>
    </row>
    <row r="5" customFormat="false" ht="15" hidden="false" customHeight="false" outlineLevel="0" collapsed="false">
      <c r="A5" s="2" t="s">
        <v>3309</v>
      </c>
      <c r="B5" s="11" t="s">
        <v>2036</v>
      </c>
      <c r="C5" s="11" t="s">
        <v>1114</v>
      </c>
      <c r="D5" s="11" t="s">
        <v>750</v>
      </c>
      <c r="F5" s="11" t="s">
        <v>258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3123</v>
      </c>
    </row>
    <row r="6" customFormat="false" ht="15" hidden="false" customHeight="false" outlineLevel="0" collapsed="false">
      <c r="A6" s="2" t="s">
        <v>3310</v>
      </c>
      <c r="B6" s="11" t="s">
        <v>2045</v>
      </c>
      <c r="C6" s="11" t="s">
        <v>1114</v>
      </c>
      <c r="D6" s="11" t="s">
        <v>750</v>
      </c>
      <c r="F6" s="11" t="s">
        <v>258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3123</v>
      </c>
    </row>
    <row r="7" customFormat="false" ht="15" hidden="false" customHeight="false" outlineLevel="0" collapsed="false">
      <c r="A7" s="2" t="s">
        <v>3311</v>
      </c>
      <c r="B7" s="11" t="s">
        <v>2051</v>
      </c>
      <c r="C7" s="11" t="s">
        <v>1075</v>
      </c>
      <c r="D7" s="11" t="s">
        <v>750</v>
      </c>
      <c r="F7" s="11" t="s">
        <v>258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3123</v>
      </c>
    </row>
    <row r="8" customFormat="false" ht="15" hidden="false" customHeight="false" outlineLevel="0" collapsed="false">
      <c r="A8" s="2" t="s">
        <v>3312</v>
      </c>
      <c r="B8" s="11" t="s">
        <v>2060</v>
      </c>
      <c r="C8" s="11" t="s">
        <v>1114</v>
      </c>
      <c r="D8" s="11" t="s">
        <v>750</v>
      </c>
      <c r="F8" s="11" t="s">
        <v>258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3123</v>
      </c>
    </row>
    <row r="9" customFormat="false" ht="15" hidden="false" customHeight="false" outlineLevel="0" collapsed="false">
      <c r="A9" s="2" t="s">
        <v>3313</v>
      </c>
      <c r="B9" s="11" t="s">
        <v>2065</v>
      </c>
      <c r="C9" s="11" t="s">
        <v>1051</v>
      </c>
      <c r="D9" s="11" t="s">
        <v>750</v>
      </c>
      <c r="F9" s="11" t="s">
        <v>258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3123</v>
      </c>
    </row>
    <row r="10" customFormat="false" ht="15" hidden="false" customHeight="false" outlineLevel="0" collapsed="false">
      <c r="A10" s="2" t="s">
        <v>3314</v>
      </c>
      <c r="B10" s="11" t="s">
        <v>2075</v>
      </c>
      <c r="C10" s="11" t="s">
        <v>1075</v>
      </c>
      <c r="D10" s="11" t="s">
        <v>750</v>
      </c>
      <c r="F10" s="11" t="s">
        <v>258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3123</v>
      </c>
    </row>
    <row r="11" customFormat="false" ht="15" hidden="false" customHeight="false" outlineLevel="0" collapsed="false">
      <c r="A11" s="2" t="s">
        <v>3315</v>
      </c>
      <c r="B11" s="11" t="s">
        <v>2084</v>
      </c>
      <c r="C11" s="11" t="s">
        <v>1114</v>
      </c>
      <c r="D11" s="11" t="s">
        <v>750</v>
      </c>
      <c r="F11" s="11" t="s">
        <v>258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3123</v>
      </c>
    </row>
    <row r="12" customFormat="false" ht="15" hidden="false" customHeight="false" outlineLevel="0" collapsed="false">
      <c r="A12" s="2" t="s">
        <v>3316</v>
      </c>
      <c r="B12" s="11" t="s">
        <v>2089</v>
      </c>
      <c r="C12" s="11" t="s">
        <v>1061</v>
      </c>
      <c r="D12" s="11" t="s">
        <v>750</v>
      </c>
      <c r="F12" s="11" t="s">
        <v>258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3123</v>
      </c>
    </row>
    <row r="13" customFormat="false" ht="15" hidden="false" customHeight="false" outlineLevel="0" collapsed="false">
      <c r="A13" s="2" t="s">
        <v>3317</v>
      </c>
      <c r="B13" s="11" t="s">
        <v>2099</v>
      </c>
      <c r="C13" s="11" t="s">
        <v>1114</v>
      </c>
      <c r="D13" s="11" t="s">
        <v>750</v>
      </c>
      <c r="F13" s="11" t="s">
        <v>258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3123</v>
      </c>
    </row>
    <row r="14" customFormat="false" ht="15" hidden="false" customHeight="false" outlineLevel="0" collapsed="false">
      <c r="A14" s="2" t="s">
        <v>3318</v>
      </c>
      <c r="B14" s="11" t="s">
        <v>2107</v>
      </c>
      <c r="C14" s="11" t="s">
        <v>1075</v>
      </c>
      <c r="D14" s="11" t="s">
        <v>750</v>
      </c>
      <c r="F14" s="11" t="s">
        <v>258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3123</v>
      </c>
    </row>
    <row r="15" customFormat="false" ht="15" hidden="false" customHeight="false" outlineLevel="0" collapsed="false">
      <c r="A15" s="2" t="s">
        <v>3319</v>
      </c>
      <c r="B15" s="11" t="s">
        <v>2117</v>
      </c>
      <c r="C15" s="11" t="s">
        <v>1114</v>
      </c>
      <c r="D15" s="11" t="s">
        <v>750</v>
      </c>
      <c r="F15" s="11" t="s">
        <v>258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3123</v>
      </c>
    </row>
    <row r="16" customFormat="false" ht="15" hidden="false" customHeight="false" outlineLevel="0" collapsed="false">
      <c r="A16" s="2" t="s">
        <v>3320</v>
      </c>
      <c r="B16" s="11" t="s">
        <v>2122</v>
      </c>
      <c r="C16" s="11" t="s">
        <v>1075</v>
      </c>
      <c r="D16" s="11" t="s">
        <v>750</v>
      </c>
      <c r="F16" s="11" t="s">
        <v>258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3123</v>
      </c>
    </row>
    <row r="17" customFormat="false" ht="15" hidden="false" customHeight="false" outlineLevel="0" collapsed="false">
      <c r="A17" s="2" t="s">
        <v>3321</v>
      </c>
      <c r="B17" s="11" t="s">
        <v>2127</v>
      </c>
      <c r="C17" s="11" t="s">
        <v>1075</v>
      </c>
      <c r="D17" s="11" t="s">
        <v>750</v>
      </c>
      <c r="F17" s="11" t="s">
        <v>258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3123</v>
      </c>
    </row>
    <row r="18" customFormat="false" ht="15" hidden="false" customHeight="false" outlineLevel="0" collapsed="false">
      <c r="A18" s="2" t="s">
        <v>3322</v>
      </c>
      <c r="B18" s="11" t="s">
        <v>2133</v>
      </c>
      <c r="C18" s="11" t="s">
        <v>1114</v>
      </c>
      <c r="D18" s="11" t="s">
        <v>750</v>
      </c>
      <c r="F18" s="11" t="s">
        <v>258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3123</v>
      </c>
    </row>
    <row r="19" customFormat="false" ht="15" hidden="false" customHeight="false" outlineLevel="0" collapsed="false">
      <c r="A19" s="2" t="s">
        <v>3323</v>
      </c>
      <c r="B19" s="11" t="s">
        <v>2141</v>
      </c>
      <c r="C19" s="11" t="s">
        <v>1068</v>
      </c>
      <c r="D19" s="11" t="s">
        <v>750</v>
      </c>
      <c r="F19" s="11" t="s">
        <v>258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3123</v>
      </c>
    </row>
    <row r="20" customFormat="false" ht="15" hidden="false" customHeight="false" outlineLevel="0" collapsed="false">
      <c r="A20" s="2" t="s">
        <v>3324</v>
      </c>
      <c r="B20" s="11" t="s">
        <v>2147</v>
      </c>
      <c r="C20" s="11" t="s">
        <v>1068</v>
      </c>
      <c r="D20" s="11" t="s">
        <v>750</v>
      </c>
      <c r="F20" s="11" t="s">
        <v>258</v>
      </c>
      <c r="G20" s="11" t="s">
        <v>1144</v>
      </c>
      <c r="H20" s="11" t="s">
        <v>1145</v>
      </c>
      <c r="I20" s="11" t="s">
        <v>1144</v>
      </c>
      <c r="J20" s="11" t="s">
        <v>1145</v>
      </c>
      <c r="K20" s="11" t="s">
        <v>766</v>
      </c>
      <c r="L20" s="11" t="n">
        <v>1</v>
      </c>
      <c r="O20" s="11" t="s">
        <v>3123</v>
      </c>
    </row>
    <row r="21" customFormat="false" ht="15" hidden="false" customHeight="false" outlineLevel="0" collapsed="false">
      <c r="A21" s="2" t="s">
        <v>3325</v>
      </c>
      <c r="B21" s="11" t="s">
        <v>2152</v>
      </c>
      <c r="C21" s="11" t="s">
        <v>1068</v>
      </c>
      <c r="D21" s="11" t="s">
        <v>750</v>
      </c>
      <c r="F21" s="11" t="s">
        <v>258</v>
      </c>
      <c r="G21" s="11" t="s">
        <v>1144</v>
      </c>
      <c r="H21" s="11" t="s">
        <v>1145</v>
      </c>
      <c r="I21" s="11" t="s">
        <v>1144</v>
      </c>
      <c r="J21" s="11" t="s">
        <v>1145</v>
      </c>
      <c r="K21" s="11" t="s">
        <v>766</v>
      </c>
      <c r="L21" s="11" t="n">
        <v>1</v>
      </c>
      <c r="O21" s="11" t="s">
        <v>3123</v>
      </c>
    </row>
    <row r="22" customFormat="false" ht="15" hidden="false" customHeight="false" outlineLevel="0" collapsed="false">
      <c r="A22" s="2" t="s">
        <v>3326</v>
      </c>
      <c r="B22" s="11" t="s">
        <v>2158</v>
      </c>
      <c r="C22" s="11" t="s">
        <v>1068</v>
      </c>
      <c r="D22" s="11" t="s">
        <v>750</v>
      </c>
      <c r="F22" s="11" t="s">
        <v>258</v>
      </c>
      <c r="G22" s="11" t="s">
        <v>1144</v>
      </c>
      <c r="H22" s="11" t="s">
        <v>1145</v>
      </c>
      <c r="I22" s="11" t="s">
        <v>1144</v>
      </c>
      <c r="J22" s="11" t="s">
        <v>1145</v>
      </c>
      <c r="K22" s="11" t="s">
        <v>766</v>
      </c>
      <c r="L22" s="11" t="n">
        <v>1</v>
      </c>
      <c r="O22" s="11" t="s">
        <v>3123</v>
      </c>
    </row>
    <row r="23" customFormat="false" ht="15" hidden="false" customHeight="false" outlineLevel="0" collapsed="false">
      <c r="A23" s="2" t="s">
        <v>3327</v>
      </c>
      <c r="B23" s="11" t="s">
        <v>2166</v>
      </c>
      <c r="C23" s="11" t="s">
        <v>1114</v>
      </c>
      <c r="D23" s="11" t="s">
        <v>750</v>
      </c>
      <c r="F23" s="11" t="s">
        <v>258</v>
      </c>
      <c r="G23" s="11" t="s">
        <v>1144</v>
      </c>
      <c r="H23" s="11" t="s">
        <v>1145</v>
      </c>
      <c r="I23" s="11" t="s">
        <v>1144</v>
      </c>
      <c r="J23" s="11" t="s">
        <v>1145</v>
      </c>
      <c r="K23" s="11" t="s">
        <v>766</v>
      </c>
      <c r="L23" s="11" t="n">
        <v>1</v>
      </c>
      <c r="O23" s="11" t="s">
        <v>3123</v>
      </c>
    </row>
    <row r="24" customFormat="false" ht="15" hidden="false" customHeight="false" outlineLevel="0" collapsed="false">
      <c r="A24" s="2" t="s">
        <v>3328</v>
      </c>
      <c r="B24" s="11" t="s">
        <v>2171</v>
      </c>
      <c r="C24" s="11" t="s">
        <v>1068</v>
      </c>
      <c r="D24" s="11" t="s">
        <v>750</v>
      </c>
      <c r="F24" s="11" t="s">
        <v>258</v>
      </c>
      <c r="G24" s="11" t="s">
        <v>1144</v>
      </c>
      <c r="H24" s="11" t="s">
        <v>1145</v>
      </c>
      <c r="I24" s="11" t="s">
        <v>1144</v>
      </c>
      <c r="J24" s="11" t="s">
        <v>1145</v>
      </c>
      <c r="K24" s="11" t="s">
        <v>766</v>
      </c>
      <c r="L24" s="11" t="n">
        <v>1</v>
      </c>
      <c r="O24" s="11" t="s">
        <v>3123</v>
      </c>
    </row>
    <row r="25" customFormat="false" ht="15" hidden="false" customHeight="false" outlineLevel="0" collapsed="false">
      <c r="A25" s="2" t="s">
        <v>3329</v>
      </c>
      <c r="B25" s="11" t="s">
        <v>1841</v>
      </c>
      <c r="C25" s="11" t="s">
        <v>1068</v>
      </c>
      <c r="D25" s="11" t="s">
        <v>750</v>
      </c>
      <c r="F25" s="11" t="s">
        <v>258</v>
      </c>
      <c r="G25" s="11" t="s">
        <v>1144</v>
      </c>
      <c r="H25" s="11" t="s">
        <v>1145</v>
      </c>
      <c r="I25" s="11" t="s">
        <v>1144</v>
      </c>
      <c r="J25" s="11" t="s">
        <v>1145</v>
      </c>
      <c r="K25" s="11" t="s">
        <v>766</v>
      </c>
      <c r="L25" s="11" t="n">
        <v>1</v>
      </c>
      <c r="O25" s="11" t="s">
        <v>3123</v>
      </c>
    </row>
    <row r="26" customFormat="false" ht="15" hidden="false" customHeight="false" outlineLevel="0" collapsed="false">
      <c r="A26" s="2" t="s">
        <v>3330</v>
      </c>
      <c r="B26" s="11" t="s">
        <v>1832</v>
      </c>
      <c r="C26" s="11" t="s">
        <v>1068</v>
      </c>
      <c r="D26" s="11" t="s">
        <v>750</v>
      </c>
      <c r="F26" s="11" t="s">
        <v>258</v>
      </c>
      <c r="G26" s="11" t="s">
        <v>1144</v>
      </c>
      <c r="H26" s="11" t="s">
        <v>1145</v>
      </c>
      <c r="I26" s="11" t="s">
        <v>1144</v>
      </c>
      <c r="J26" s="11" t="s">
        <v>1145</v>
      </c>
      <c r="K26" s="11" t="s">
        <v>766</v>
      </c>
      <c r="L26" s="11" t="n">
        <v>1</v>
      </c>
      <c r="O26" s="11" t="s">
        <v>3123</v>
      </c>
    </row>
    <row r="27" customFormat="false" ht="15" hidden="false" customHeight="false" outlineLevel="0" collapsed="false">
      <c r="A27" s="2" t="s">
        <v>3331</v>
      </c>
      <c r="B27" s="11" t="s">
        <v>2193</v>
      </c>
      <c r="C27" s="11" t="s">
        <v>1114</v>
      </c>
      <c r="D27" s="11" t="s">
        <v>750</v>
      </c>
      <c r="F27" s="11" t="s">
        <v>258</v>
      </c>
      <c r="G27" s="11" t="s">
        <v>1144</v>
      </c>
      <c r="H27" s="11" t="s">
        <v>1145</v>
      </c>
      <c r="I27" s="11" t="s">
        <v>1144</v>
      </c>
      <c r="J27" s="11" t="s">
        <v>1145</v>
      </c>
      <c r="K27" s="11" t="s">
        <v>766</v>
      </c>
      <c r="L27" s="11" t="n">
        <v>1</v>
      </c>
      <c r="O27" s="11" t="s">
        <v>3123</v>
      </c>
    </row>
    <row r="28" customFormat="false" ht="15" hidden="false" customHeight="false" outlineLevel="0" collapsed="false">
      <c r="A28" s="2" t="s">
        <v>3332</v>
      </c>
      <c r="B28" s="11" t="s">
        <v>2201</v>
      </c>
      <c r="C28" s="11" t="s">
        <v>1114</v>
      </c>
      <c r="D28" s="11" t="s">
        <v>750</v>
      </c>
      <c r="F28" s="11" t="s">
        <v>258</v>
      </c>
      <c r="G28" s="11" t="s">
        <v>1144</v>
      </c>
      <c r="H28" s="11" t="s">
        <v>1145</v>
      </c>
      <c r="I28" s="11" t="s">
        <v>1144</v>
      </c>
      <c r="J28" s="11" t="s">
        <v>1145</v>
      </c>
      <c r="K28" s="11" t="s">
        <v>766</v>
      </c>
      <c r="L28" s="11" t="n">
        <v>1</v>
      </c>
      <c r="O28" s="11" t="s">
        <v>3123</v>
      </c>
    </row>
    <row r="29" customFormat="false" ht="15" hidden="false" customHeight="false" outlineLevel="0" collapsed="false">
      <c r="A29" s="2" t="s">
        <v>3333</v>
      </c>
      <c r="B29" s="11" t="s">
        <v>2207</v>
      </c>
      <c r="C29" s="11" t="s">
        <v>1114</v>
      </c>
      <c r="D29" s="11" t="s">
        <v>750</v>
      </c>
      <c r="F29" s="11" t="s">
        <v>258</v>
      </c>
      <c r="G29" s="11" t="s">
        <v>1144</v>
      </c>
      <c r="H29" s="11" t="s">
        <v>1145</v>
      </c>
      <c r="I29" s="11" t="s">
        <v>1144</v>
      </c>
      <c r="J29" s="11" t="s">
        <v>1145</v>
      </c>
      <c r="K29" s="11" t="s">
        <v>766</v>
      </c>
      <c r="L29" s="11" t="n">
        <v>1</v>
      </c>
      <c r="O29" s="11" t="s">
        <v>3123</v>
      </c>
    </row>
    <row r="30" customFormat="false" ht="15" hidden="false" customHeight="false" outlineLevel="0" collapsed="false">
      <c r="A30" s="2" t="s">
        <v>3334</v>
      </c>
      <c r="B30" s="11" t="s">
        <v>1882</v>
      </c>
      <c r="C30" s="11" t="s">
        <v>1083</v>
      </c>
      <c r="D30" s="11" t="s">
        <v>750</v>
      </c>
      <c r="F30" s="11" t="s">
        <v>258</v>
      </c>
      <c r="G30" s="11" t="s">
        <v>1144</v>
      </c>
      <c r="H30" s="11" t="s">
        <v>1145</v>
      </c>
      <c r="I30" s="11" t="s">
        <v>1144</v>
      </c>
      <c r="J30" s="11" t="s">
        <v>1145</v>
      </c>
      <c r="K30" s="11" t="s">
        <v>766</v>
      </c>
      <c r="L30" s="11" t="n">
        <v>1</v>
      </c>
      <c r="O30" s="11" t="s">
        <v>3123</v>
      </c>
    </row>
    <row r="31" customFormat="false" ht="15" hidden="false" customHeight="false" outlineLevel="0" collapsed="false">
      <c r="A31" s="2" t="s">
        <v>3335</v>
      </c>
      <c r="B31" s="11" t="s">
        <v>2221</v>
      </c>
      <c r="C31" s="11" t="s">
        <v>1083</v>
      </c>
      <c r="D31" s="11" t="s">
        <v>750</v>
      </c>
      <c r="F31" s="11" t="s">
        <v>258</v>
      </c>
      <c r="G31" s="11" t="s">
        <v>1144</v>
      </c>
      <c r="H31" s="11" t="s">
        <v>1145</v>
      </c>
      <c r="I31" s="11" t="s">
        <v>1144</v>
      </c>
      <c r="J31" s="11" t="s">
        <v>1145</v>
      </c>
      <c r="K31" s="11" t="s">
        <v>766</v>
      </c>
      <c r="L31" s="11" t="n">
        <v>1</v>
      </c>
      <c r="O31" s="11" t="s">
        <v>3123</v>
      </c>
    </row>
    <row r="32" customFormat="false" ht="15" hidden="false" customHeight="false" outlineLevel="0" collapsed="false">
      <c r="A32" s="2" t="s">
        <v>3336</v>
      </c>
      <c r="B32" s="11" t="s">
        <v>2230</v>
      </c>
      <c r="C32" s="11" t="s">
        <v>1114</v>
      </c>
      <c r="D32" s="11" t="s">
        <v>750</v>
      </c>
      <c r="F32" s="11" t="s">
        <v>258</v>
      </c>
      <c r="G32" s="11" t="s">
        <v>1144</v>
      </c>
      <c r="H32" s="11" t="s">
        <v>1145</v>
      </c>
      <c r="I32" s="11" t="s">
        <v>1144</v>
      </c>
      <c r="J32" s="11" t="s">
        <v>1145</v>
      </c>
      <c r="K32" s="11" t="s">
        <v>766</v>
      </c>
      <c r="L32" s="11" t="n">
        <v>1</v>
      </c>
      <c r="O32" s="11" t="s">
        <v>3123</v>
      </c>
    </row>
    <row r="33" customFormat="false" ht="15" hidden="false" customHeight="false" outlineLevel="0" collapsed="false">
      <c r="A33" s="2" t="s">
        <v>3337</v>
      </c>
      <c r="B33" s="11" t="s">
        <v>2236</v>
      </c>
      <c r="C33" s="11" t="s">
        <v>1114</v>
      </c>
      <c r="D33" s="11" t="s">
        <v>750</v>
      </c>
      <c r="F33" s="11" t="s">
        <v>258</v>
      </c>
      <c r="G33" s="11" t="s">
        <v>1144</v>
      </c>
      <c r="H33" s="11" t="s">
        <v>1145</v>
      </c>
      <c r="I33" s="11" t="s">
        <v>1144</v>
      </c>
      <c r="J33" s="11" t="s">
        <v>1145</v>
      </c>
      <c r="K33" s="11" t="s">
        <v>766</v>
      </c>
      <c r="L33" s="11" t="n">
        <v>1</v>
      </c>
      <c r="O33" s="11" t="s">
        <v>3123</v>
      </c>
    </row>
    <row r="34" customFormat="false" ht="15" hidden="false" customHeight="false" outlineLevel="0" collapsed="false">
      <c r="A34" s="2" t="s">
        <v>3338</v>
      </c>
      <c r="B34" s="11" t="s">
        <v>2242</v>
      </c>
      <c r="C34" s="11" t="s">
        <v>1114</v>
      </c>
      <c r="D34" s="11" t="s">
        <v>750</v>
      </c>
      <c r="F34" s="11" t="s">
        <v>258</v>
      </c>
      <c r="G34" s="11" t="s">
        <v>1144</v>
      </c>
      <c r="H34" s="11" t="s">
        <v>1145</v>
      </c>
      <c r="I34" s="11" t="s">
        <v>1144</v>
      </c>
      <c r="J34" s="11" t="s">
        <v>1145</v>
      </c>
      <c r="K34" s="11" t="s">
        <v>766</v>
      </c>
      <c r="L34" s="11" t="n">
        <v>1</v>
      </c>
      <c r="O34" s="11" t="s">
        <v>3123</v>
      </c>
    </row>
    <row r="35" customFormat="false" ht="15" hidden="false" customHeight="false" outlineLevel="0" collapsed="false">
      <c r="A35" s="2" t="s">
        <v>3339</v>
      </c>
      <c r="B35" s="11" t="s">
        <v>2248</v>
      </c>
      <c r="C35" s="11" t="s">
        <v>1068</v>
      </c>
      <c r="D35" s="11" t="s">
        <v>750</v>
      </c>
      <c r="F35" s="11" t="s">
        <v>258</v>
      </c>
      <c r="G35" s="11" t="s">
        <v>1144</v>
      </c>
      <c r="H35" s="11" t="s">
        <v>1145</v>
      </c>
      <c r="I35" s="11" t="s">
        <v>1144</v>
      </c>
      <c r="J35" s="11" t="s">
        <v>1145</v>
      </c>
      <c r="K35" s="11" t="s">
        <v>766</v>
      </c>
      <c r="L35" s="11" t="n">
        <v>1</v>
      </c>
      <c r="O35" s="11" t="s">
        <v>3123</v>
      </c>
    </row>
    <row r="36" customFormat="false" ht="15" hidden="false" customHeight="false" outlineLevel="0" collapsed="false">
      <c r="A36" s="2" t="s">
        <v>3340</v>
      </c>
      <c r="B36" s="11" t="s">
        <v>2254</v>
      </c>
      <c r="C36" s="11" t="s">
        <v>1075</v>
      </c>
      <c r="D36" s="11" t="s">
        <v>750</v>
      </c>
      <c r="F36" s="11" t="s">
        <v>258</v>
      </c>
      <c r="G36" s="11" t="s">
        <v>1144</v>
      </c>
      <c r="H36" s="11" t="s">
        <v>1145</v>
      </c>
      <c r="I36" s="11" t="s">
        <v>1144</v>
      </c>
      <c r="J36" s="11" t="s">
        <v>1145</v>
      </c>
      <c r="K36" s="11" t="s">
        <v>766</v>
      </c>
      <c r="L36" s="11" t="n">
        <v>1</v>
      </c>
      <c r="O36" s="11" t="s">
        <v>3123</v>
      </c>
    </row>
    <row r="37" customFormat="false" ht="15" hidden="false" customHeight="false" outlineLevel="0" collapsed="false">
      <c r="A37" s="2" t="s">
        <v>3341</v>
      </c>
      <c r="B37" s="11" t="s">
        <v>2260</v>
      </c>
      <c r="C37" s="11" t="s">
        <v>1114</v>
      </c>
      <c r="D37" s="11" t="s">
        <v>750</v>
      </c>
      <c r="F37" s="11" t="s">
        <v>258</v>
      </c>
      <c r="G37" s="11" t="s">
        <v>1144</v>
      </c>
      <c r="H37" s="11" t="s">
        <v>1145</v>
      </c>
      <c r="I37" s="11" t="s">
        <v>1144</v>
      </c>
      <c r="J37" s="11" t="s">
        <v>1145</v>
      </c>
      <c r="K37" s="11" t="s">
        <v>766</v>
      </c>
      <c r="L37" s="11" t="n">
        <v>1</v>
      </c>
      <c r="O37" s="11" t="s">
        <v>3123</v>
      </c>
    </row>
    <row r="38" customFormat="false" ht="15" hidden="false" customHeight="false" outlineLevel="0" collapsed="false">
      <c r="A38" s="2" t="s">
        <v>3342</v>
      </c>
      <c r="B38" s="11" t="s">
        <v>2265</v>
      </c>
      <c r="C38" s="11" t="s">
        <v>1114</v>
      </c>
      <c r="D38" s="11" t="s">
        <v>750</v>
      </c>
      <c r="F38" s="11" t="s">
        <v>258</v>
      </c>
      <c r="G38" s="11" t="s">
        <v>1144</v>
      </c>
      <c r="H38" s="11" t="s">
        <v>1145</v>
      </c>
      <c r="I38" s="11" t="s">
        <v>1144</v>
      </c>
      <c r="J38" s="11" t="s">
        <v>1145</v>
      </c>
      <c r="K38" s="11" t="s">
        <v>766</v>
      </c>
      <c r="L38" s="11" t="n">
        <v>1</v>
      </c>
      <c r="O38" s="11" t="s">
        <v>3123</v>
      </c>
    </row>
    <row r="39" customFormat="false" ht="15" hidden="false" customHeight="false" outlineLevel="0" collapsed="false">
      <c r="A39" s="2" t="s">
        <v>3343</v>
      </c>
      <c r="B39" s="11" t="s">
        <v>2271</v>
      </c>
      <c r="C39" s="11" t="s">
        <v>1061</v>
      </c>
      <c r="D39" s="11" t="s">
        <v>750</v>
      </c>
      <c r="F39" s="11" t="s">
        <v>258</v>
      </c>
      <c r="G39" s="11" t="s">
        <v>1144</v>
      </c>
      <c r="H39" s="11" t="s">
        <v>1145</v>
      </c>
      <c r="I39" s="11" t="s">
        <v>1144</v>
      </c>
      <c r="J39" s="11" t="s">
        <v>1145</v>
      </c>
      <c r="K39" s="11" t="s">
        <v>766</v>
      </c>
      <c r="L39" s="11" t="n">
        <v>1</v>
      </c>
      <c r="O39" s="11" t="s">
        <v>3123</v>
      </c>
    </row>
    <row r="40" customFormat="false" ht="15" hidden="false" customHeight="false" outlineLevel="0" collapsed="false">
      <c r="A40" s="2" t="s">
        <v>3344</v>
      </c>
      <c r="B40" s="11" t="s">
        <v>2271</v>
      </c>
      <c r="C40" s="11" t="s">
        <v>1068</v>
      </c>
      <c r="D40" s="11" t="s">
        <v>776</v>
      </c>
      <c r="F40" s="11" t="s">
        <v>272</v>
      </c>
      <c r="G40" s="11" t="s">
        <v>1144</v>
      </c>
      <c r="H40" s="11" t="s">
        <v>1145</v>
      </c>
      <c r="I40" s="11" t="s">
        <v>1144</v>
      </c>
      <c r="J40" s="11" t="s">
        <v>1145</v>
      </c>
      <c r="K40" s="11" t="s">
        <v>766</v>
      </c>
      <c r="L40" s="11" t="n">
        <v>1</v>
      </c>
      <c r="O40" s="11" t="s">
        <v>3123</v>
      </c>
    </row>
    <row r="41" customFormat="false" ht="15" hidden="false" customHeight="false" outlineLevel="0" collapsed="false">
      <c r="A41" s="2" t="s">
        <v>3345</v>
      </c>
      <c r="B41" s="11" t="s">
        <v>2277</v>
      </c>
      <c r="C41" s="11" t="s">
        <v>1068</v>
      </c>
      <c r="D41" s="11" t="s">
        <v>750</v>
      </c>
      <c r="F41" s="11" t="s">
        <v>258</v>
      </c>
      <c r="G41" s="11" t="s">
        <v>1144</v>
      </c>
      <c r="H41" s="11" t="s">
        <v>1145</v>
      </c>
      <c r="I41" s="11" t="s">
        <v>1144</v>
      </c>
      <c r="J41" s="11" t="s">
        <v>1145</v>
      </c>
      <c r="K41" s="11" t="s">
        <v>766</v>
      </c>
      <c r="L41" s="11" t="n">
        <v>1</v>
      </c>
      <c r="O41" s="11" t="s">
        <v>3123</v>
      </c>
    </row>
    <row r="42" customFormat="false" ht="15" hidden="false" customHeight="false" outlineLevel="0" collapsed="false">
      <c r="A42" s="2" t="s">
        <v>3346</v>
      </c>
      <c r="B42" s="11" t="s">
        <v>1845</v>
      </c>
      <c r="C42" s="11" t="s">
        <v>1061</v>
      </c>
      <c r="D42" s="11" t="s">
        <v>750</v>
      </c>
      <c r="F42" s="11" t="s">
        <v>258</v>
      </c>
      <c r="G42" s="11" t="s">
        <v>1144</v>
      </c>
      <c r="H42" s="11" t="s">
        <v>1145</v>
      </c>
      <c r="I42" s="11" t="s">
        <v>1144</v>
      </c>
      <c r="J42" s="11" t="s">
        <v>1145</v>
      </c>
      <c r="K42" s="11" t="s">
        <v>766</v>
      </c>
      <c r="L42" s="11" t="n">
        <v>1</v>
      </c>
      <c r="O42" s="11" t="s">
        <v>3123</v>
      </c>
    </row>
    <row r="43" customFormat="false" ht="15" hidden="false" customHeight="false" outlineLevel="0" collapsed="false">
      <c r="A43" s="2" t="s">
        <v>3347</v>
      </c>
      <c r="B43" s="11" t="s">
        <v>1845</v>
      </c>
      <c r="C43" s="11" t="s">
        <v>1068</v>
      </c>
      <c r="D43" s="11" t="s">
        <v>776</v>
      </c>
      <c r="F43" s="11" t="s">
        <v>272</v>
      </c>
      <c r="G43" s="11" t="s">
        <v>1144</v>
      </c>
      <c r="H43" s="11" t="s">
        <v>1145</v>
      </c>
      <c r="I43" s="11" t="s">
        <v>1144</v>
      </c>
      <c r="J43" s="11" t="s">
        <v>1145</v>
      </c>
      <c r="K43" s="11" t="s">
        <v>766</v>
      </c>
      <c r="L43" s="11" t="n">
        <v>1</v>
      </c>
      <c r="O43" s="11" t="s">
        <v>3123</v>
      </c>
    </row>
    <row r="44" customFormat="false" ht="15" hidden="false" customHeight="false" outlineLevel="0" collapsed="false">
      <c r="A44" s="2" t="s">
        <v>3348</v>
      </c>
      <c r="B44" s="11" t="s">
        <v>2287</v>
      </c>
      <c r="C44" s="11" t="s">
        <v>1091</v>
      </c>
      <c r="D44" s="11" t="s">
        <v>750</v>
      </c>
      <c r="F44" s="11" t="s">
        <v>258</v>
      </c>
      <c r="G44" s="11" t="s">
        <v>1144</v>
      </c>
      <c r="H44" s="11" t="s">
        <v>1145</v>
      </c>
      <c r="I44" s="11" t="s">
        <v>1144</v>
      </c>
      <c r="J44" s="11" t="s">
        <v>1145</v>
      </c>
      <c r="K44" s="11" t="s">
        <v>766</v>
      </c>
      <c r="L44" s="11" t="n">
        <v>1</v>
      </c>
      <c r="O44" s="11" t="s">
        <v>3123</v>
      </c>
    </row>
    <row r="45" customFormat="false" ht="15" hidden="false" customHeight="false" outlineLevel="0" collapsed="false">
      <c r="A45" s="2" t="s">
        <v>3349</v>
      </c>
      <c r="B45" s="11" t="s">
        <v>2294</v>
      </c>
      <c r="C45" s="11" t="s">
        <v>1068</v>
      </c>
      <c r="D45" s="11" t="s">
        <v>750</v>
      </c>
      <c r="F45" s="11" t="s">
        <v>258</v>
      </c>
      <c r="G45" s="11" t="s">
        <v>1144</v>
      </c>
      <c r="H45" s="11" t="s">
        <v>1145</v>
      </c>
      <c r="I45" s="11" t="s">
        <v>1144</v>
      </c>
      <c r="J45" s="11" t="s">
        <v>1145</v>
      </c>
      <c r="K45" s="11" t="s">
        <v>766</v>
      </c>
      <c r="L45" s="11" t="n">
        <v>1</v>
      </c>
      <c r="O45" s="11" t="s">
        <v>3123</v>
      </c>
    </row>
    <row r="46" customFormat="false" ht="15" hidden="false" customHeight="false" outlineLevel="0" collapsed="false">
      <c r="A46" s="2" t="s">
        <v>3350</v>
      </c>
      <c r="B46" s="11" t="s">
        <v>2299</v>
      </c>
      <c r="C46" s="11" t="s">
        <v>1083</v>
      </c>
      <c r="D46" s="11" t="s">
        <v>750</v>
      </c>
      <c r="F46" s="11" t="s">
        <v>258</v>
      </c>
      <c r="G46" s="11" t="s">
        <v>1144</v>
      </c>
      <c r="H46" s="11" t="s">
        <v>1145</v>
      </c>
      <c r="I46" s="11" t="s">
        <v>1144</v>
      </c>
      <c r="J46" s="11" t="s">
        <v>1145</v>
      </c>
      <c r="K46" s="11" t="s">
        <v>766</v>
      </c>
      <c r="L46" s="11" t="n">
        <v>1</v>
      </c>
      <c r="O46" s="11" t="s">
        <v>3123</v>
      </c>
    </row>
    <row r="47" customFormat="false" ht="15" hidden="false" customHeight="false" outlineLevel="0" collapsed="false">
      <c r="A47" s="2" t="s">
        <v>3351</v>
      </c>
      <c r="B47" s="11" t="s">
        <v>2305</v>
      </c>
      <c r="C47" s="11" t="s">
        <v>1114</v>
      </c>
      <c r="D47" s="11" t="s">
        <v>750</v>
      </c>
      <c r="F47" s="11" t="s">
        <v>258</v>
      </c>
      <c r="G47" s="11" t="s">
        <v>1144</v>
      </c>
      <c r="H47" s="11" t="s">
        <v>1145</v>
      </c>
      <c r="I47" s="11" t="s">
        <v>1144</v>
      </c>
      <c r="J47" s="11" t="s">
        <v>1145</v>
      </c>
      <c r="K47" s="11" t="s">
        <v>766</v>
      </c>
      <c r="L47" s="11" t="n">
        <v>1</v>
      </c>
      <c r="O47" s="11" t="s">
        <v>3123</v>
      </c>
    </row>
    <row r="48" customFormat="false" ht="15" hidden="false" customHeight="false" outlineLevel="0" collapsed="false">
      <c r="A48" s="2" t="s">
        <v>3352</v>
      </c>
      <c r="B48" s="11" t="s">
        <v>2311</v>
      </c>
      <c r="C48" s="11" t="s">
        <v>1121</v>
      </c>
      <c r="D48" s="11" t="s">
        <v>750</v>
      </c>
      <c r="F48" s="11" t="s">
        <v>258</v>
      </c>
      <c r="G48" s="11" t="s">
        <v>1144</v>
      </c>
      <c r="H48" s="11" t="s">
        <v>1145</v>
      </c>
      <c r="I48" s="11" t="s">
        <v>1144</v>
      </c>
      <c r="J48" s="11" t="s">
        <v>1145</v>
      </c>
      <c r="K48" s="11" t="s">
        <v>766</v>
      </c>
      <c r="L48" s="11" t="n">
        <v>1</v>
      </c>
      <c r="O48" s="11" t="s">
        <v>3123</v>
      </c>
    </row>
    <row r="49" customFormat="false" ht="15" hidden="false" customHeight="false" outlineLevel="0" collapsed="false">
      <c r="A49" s="2" t="s">
        <v>3353</v>
      </c>
      <c r="B49" s="11" t="s">
        <v>2317</v>
      </c>
      <c r="C49" s="11" t="s">
        <v>1121</v>
      </c>
      <c r="D49" s="11" t="s">
        <v>750</v>
      </c>
      <c r="F49" s="11" t="s">
        <v>258</v>
      </c>
      <c r="G49" s="11" t="s">
        <v>1144</v>
      </c>
      <c r="H49" s="11" t="s">
        <v>1145</v>
      </c>
      <c r="I49" s="11" t="s">
        <v>1144</v>
      </c>
      <c r="J49" s="11" t="s">
        <v>1145</v>
      </c>
      <c r="K49" s="11" t="s">
        <v>766</v>
      </c>
      <c r="L49" s="11" t="n">
        <v>1</v>
      </c>
      <c r="O49" s="11" t="s">
        <v>3123</v>
      </c>
    </row>
    <row r="50" customFormat="false" ht="15" hidden="false" customHeight="false" outlineLevel="0" collapsed="false">
      <c r="A50" s="2" t="s">
        <v>3354</v>
      </c>
      <c r="B50" s="11" t="s">
        <v>2322</v>
      </c>
      <c r="C50" s="11" t="s">
        <v>1107</v>
      </c>
      <c r="D50" s="11" t="s">
        <v>750</v>
      </c>
      <c r="F50" s="11" t="s">
        <v>258</v>
      </c>
      <c r="G50" s="11" t="s">
        <v>1144</v>
      </c>
      <c r="H50" s="11" t="s">
        <v>1145</v>
      </c>
      <c r="I50" s="11" t="s">
        <v>1144</v>
      </c>
      <c r="J50" s="11" t="s">
        <v>1145</v>
      </c>
      <c r="K50" s="11" t="s">
        <v>766</v>
      </c>
      <c r="L50" s="11" t="n">
        <v>1</v>
      </c>
      <c r="O50" s="11" t="s">
        <v>3123</v>
      </c>
    </row>
    <row r="51" customFormat="false" ht="15" hidden="false" customHeight="false" outlineLevel="0" collapsed="false">
      <c r="A51" s="2" t="s">
        <v>3355</v>
      </c>
      <c r="B51" s="11" t="s">
        <v>2329</v>
      </c>
      <c r="C51" s="11" t="s">
        <v>1068</v>
      </c>
      <c r="D51" s="11" t="s">
        <v>750</v>
      </c>
      <c r="F51" s="11" t="s">
        <v>258</v>
      </c>
      <c r="G51" s="11" t="s">
        <v>1144</v>
      </c>
      <c r="H51" s="11" t="s">
        <v>1145</v>
      </c>
      <c r="I51" s="11" t="s">
        <v>1144</v>
      </c>
      <c r="J51" s="11" t="s">
        <v>1145</v>
      </c>
      <c r="K51" s="11" t="s">
        <v>766</v>
      </c>
      <c r="L51" s="11" t="n">
        <v>1</v>
      </c>
      <c r="O51" s="11" t="s">
        <v>3123</v>
      </c>
    </row>
    <row r="52" customFormat="false" ht="15" hidden="false" customHeight="false" outlineLevel="0" collapsed="false">
      <c r="A52" s="2" t="s">
        <v>3356</v>
      </c>
      <c r="B52" s="11" t="s">
        <v>2335</v>
      </c>
      <c r="C52" s="11" t="s">
        <v>1114</v>
      </c>
      <c r="D52" s="11" t="s">
        <v>750</v>
      </c>
      <c r="F52" s="11" t="s">
        <v>258</v>
      </c>
      <c r="G52" s="11" t="s">
        <v>1144</v>
      </c>
      <c r="H52" s="11" t="s">
        <v>1145</v>
      </c>
      <c r="I52" s="11" t="s">
        <v>1144</v>
      </c>
      <c r="J52" s="11" t="s">
        <v>1145</v>
      </c>
      <c r="K52" s="11" t="s">
        <v>766</v>
      </c>
      <c r="L52" s="11" t="n">
        <v>1</v>
      </c>
      <c r="O52" s="11" t="s">
        <v>3123</v>
      </c>
    </row>
    <row r="53" customFormat="false" ht="15" hidden="false" customHeight="false" outlineLevel="0" collapsed="false">
      <c r="A53" s="2" t="s">
        <v>3357</v>
      </c>
      <c r="B53" s="11" t="s">
        <v>2340</v>
      </c>
      <c r="C53" s="11" t="s">
        <v>1075</v>
      </c>
      <c r="D53" s="11" t="s">
        <v>750</v>
      </c>
      <c r="F53" s="11" t="s">
        <v>258</v>
      </c>
      <c r="G53" s="11" t="s">
        <v>1144</v>
      </c>
      <c r="H53" s="11" t="s">
        <v>1145</v>
      </c>
      <c r="I53" s="11" t="s">
        <v>1144</v>
      </c>
      <c r="J53" s="11" t="s">
        <v>1145</v>
      </c>
      <c r="K53" s="11" t="s">
        <v>766</v>
      </c>
      <c r="L53" s="11" t="n">
        <v>1</v>
      </c>
      <c r="O53" s="11" t="s">
        <v>3123</v>
      </c>
    </row>
    <row r="54" customFormat="false" ht="15" hidden="false" customHeight="false" outlineLevel="0" collapsed="false">
      <c r="A54" s="2" t="s">
        <v>3358</v>
      </c>
      <c r="B54" s="11" t="s">
        <v>2345</v>
      </c>
      <c r="C54" s="11" t="s">
        <v>1114</v>
      </c>
      <c r="D54" s="11" t="s">
        <v>750</v>
      </c>
      <c r="F54" s="11" t="s">
        <v>258</v>
      </c>
      <c r="G54" s="11" t="s">
        <v>1144</v>
      </c>
      <c r="H54" s="11" t="s">
        <v>1145</v>
      </c>
      <c r="I54" s="11" t="s">
        <v>1144</v>
      </c>
      <c r="J54" s="11" t="s">
        <v>1145</v>
      </c>
      <c r="K54" s="11" t="s">
        <v>766</v>
      </c>
      <c r="L54" s="11" t="n">
        <v>1</v>
      </c>
      <c r="O54" s="11" t="s">
        <v>3123</v>
      </c>
    </row>
    <row r="55" customFormat="false" ht="15" hidden="false" customHeight="false" outlineLevel="0" collapsed="false">
      <c r="A55" s="2" t="s">
        <v>3359</v>
      </c>
      <c r="B55" s="11" t="s">
        <v>2352</v>
      </c>
      <c r="C55" s="11" t="s">
        <v>1114</v>
      </c>
      <c r="D55" s="11" t="s">
        <v>750</v>
      </c>
      <c r="F55" s="11" t="s">
        <v>258</v>
      </c>
      <c r="G55" s="11" t="s">
        <v>1144</v>
      </c>
      <c r="H55" s="11" t="s">
        <v>1145</v>
      </c>
      <c r="I55" s="11" t="s">
        <v>1144</v>
      </c>
      <c r="J55" s="11" t="s">
        <v>1145</v>
      </c>
      <c r="K55" s="11" t="s">
        <v>766</v>
      </c>
      <c r="L55" s="11" t="n">
        <v>1</v>
      </c>
      <c r="O55" s="11" t="s">
        <v>3123</v>
      </c>
    </row>
    <row r="56" customFormat="false" ht="15" hidden="false" customHeight="false" outlineLevel="0" collapsed="false">
      <c r="A56" s="2" t="s">
        <v>3360</v>
      </c>
      <c r="B56" s="11" t="s">
        <v>2359</v>
      </c>
      <c r="C56" s="11" t="s">
        <v>1114</v>
      </c>
      <c r="D56" s="11" t="s">
        <v>750</v>
      </c>
      <c r="F56" s="11" t="s">
        <v>258</v>
      </c>
      <c r="G56" s="11" t="s">
        <v>1144</v>
      </c>
      <c r="H56" s="11" t="s">
        <v>1145</v>
      </c>
      <c r="I56" s="11" t="s">
        <v>1144</v>
      </c>
      <c r="J56" s="11" t="s">
        <v>1145</v>
      </c>
      <c r="K56" s="11" t="s">
        <v>766</v>
      </c>
      <c r="L56" s="11" t="n">
        <v>1</v>
      </c>
      <c r="O56" s="11" t="s">
        <v>3123</v>
      </c>
    </row>
    <row r="57" customFormat="false" ht="15" hidden="false" customHeight="false" outlineLevel="0" collapsed="false">
      <c r="A57" s="2" t="s">
        <v>3361</v>
      </c>
      <c r="B57" s="11" t="s">
        <v>2366</v>
      </c>
      <c r="C57" s="11" t="s">
        <v>1075</v>
      </c>
      <c r="D57" s="11" t="s">
        <v>750</v>
      </c>
      <c r="F57" s="11" t="s">
        <v>258</v>
      </c>
      <c r="G57" s="11" t="s">
        <v>1144</v>
      </c>
      <c r="H57" s="11" t="s">
        <v>1145</v>
      </c>
      <c r="I57" s="11" t="s">
        <v>1144</v>
      </c>
      <c r="J57" s="11" t="s">
        <v>1145</v>
      </c>
      <c r="K57" s="11" t="s">
        <v>766</v>
      </c>
      <c r="L57" s="11" t="n">
        <v>1</v>
      </c>
      <c r="O57" s="11" t="s">
        <v>3123</v>
      </c>
    </row>
    <row r="58" customFormat="false" ht="15" hidden="false" customHeight="false" outlineLevel="0" collapsed="false">
      <c r="A58" s="2" t="s">
        <v>3362</v>
      </c>
      <c r="B58" s="11" t="s">
        <v>2373</v>
      </c>
      <c r="C58" s="11" t="s">
        <v>1091</v>
      </c>
      <c r="D58" s="11" t="s">
        <v>750</v>
      </c>
      <c r="F58" s="11" t="s">
        <v>258</v>
      </c>
      <c r="G58" s="11" t="s">
        <v>1144</v>
      </c>
      <c r="H58" s="11" t="s">
        <v>1145</v>
      </c>
      <c r="I58" s="11" t="s">
        <v>1144</v>
      </c>
      <c r="J58" s="11" t="s">
        <v>1145</v>
      </c>
      <c r="K58" s="11" t="s">
        <v>766</v>
      </c>
      <c r="L58" s="11" t="n">
        <v>1</v>
      </c>
      <c r="O58" s="11" t="s">
        <v>3123</v>
      </c>
    </row>
    <row r="59" customFormat="false" ht="15" hidden="false" customHeight="false" outlineLevel="0" collapsed="false">
      <c r="A59" s="2" t="s">
        <v>3363</v>
      </c>
      <c r="B59" s="11" t="s">
        <v>2380</v>
      </c>
      <c r="C59" s="11" t="s">
        <v>1114</v>
      </c>
      <c r="D59" s="11" t="s">
        <v>750</v>
      </c>
      <c r="F59" s="11" t="s">
        <v>258</v>
      </c>
      <c r="G59" s="11" t="s">
        <v>1144</v>
      </c>
      <c r="H59" s="11" t="s">
        <v>1145</v>
      </c>
      <c r="I59" s="11" t="s">
        <v>1144</v>
      </c>
      <c r="J59" s="11" t="s">
        <v>1145</v>
      </c>
      <c r="K59" s="11" t="s">
        <v>766</v>
      </c>
      <c r="L59" s="11" t="n">
        <v>1</v>
      </c>
      <c r="O59" s="11" t="s">
        <v>3123</v>
      </c>
    </row>
    <row r="60" customFormat="false" ht="15" hidden="false" customHeight="false" outlineLevel="0" collapsed="false">
      <c r="A60" s="2" t="s">
        <v>3364</v>
      </c>
      <c r="B60" s="11" t="s">
        <v>2387</v>
      </c>
      <c r="C60" s="11" t="s">
        <v>1114</v>
      </c>
      <c r="D60" s="11" t="s">
        <v>750</v>
      </c>
      <c r="F60" s="11" t="s">
        <v>258</v>
      </c>
      <c r="G60" s="11" t="s">
        <v>1144</v>
      </c>
      <c r="H60" s="11" t="s">
        <v>1145</v>
      </c>
      <c r="I60" s="11" t="s">
        <v>1144</v>
      </c>
      <c r="J60" s="11" t="s">
        <v>1145</v>
      </c>
      <c r="K60" s="11" t="s">
        <v>766</v>
      </c>
      <c r="L60" s="11" t="n">
        <v>1</v>
      </c>
      <c r="O60" s="11" t="s">
        <v>3123</v>
      </c>
    </row>
    <row r="61" customFormat="false" ht="15" hidden="false" customHeight="false" outlineLevel="0" collapsed="false">
      <c r="A61" s="2" t="s">
        <v>3365</v>
      </c>
      <c r="B61" s="11" t="s">
        <v>2394</v>
      </c>
      <c r="C61" s="11" t="s">
        <v>1114</v>
      </c>
      <c r="D61" s="11" t="s">
        <v>750</v>
      </c>
      <c r="F61" s="11" t="s">
        <v>258</v>
      </c>
      <c r="G61" s="11" t="s">
        <v>1144</v>
      </c>
      <c r="H61" s="11" t="s">
        <v>1145</v>
      </c>
      <c r="I61" s="11" t="s">
        <v>1144</v>
      </c>
      <c r="J61" s="11" t="s">
        <v>1145</v>
      </c>
      <c r="K61" s="11" t="s">
        <v>766</v>
      </c>
      <c r="L61" s="11" t="n">
        <v>1</v>
      </c>
      <c r="O61" s="11" t="s">
        <v>3123</v>
      </c>
    </row>
    <row r="62" customFormat="false" ht="15" hidden="false" customHeight="false" outlineLevel="0" collapsed="false">
      <c r="A62" s="2" t="s">
        <v>3366</v>
      </c>
      <c r="B62" s="11" t="s">
        <v>2401</v>
      </c>
      <c r="C62" s="11" t="s">
        <v>1051</v>
      </c>
      <c r="D62" s="11" t="s">
        <v>750</v>
      </c>
      <c r="F62" s="11" t="s">
        <v>258</v>
      </c>
      <c r="G62" s="11" t="s">
        <v>1144</v>
      </c>
      <c r="H62" s="11" t="s">
        <v>1145</v>
      </c>
      <c r="I62" s="11" t="s">
        <v>1144</v>
      </c>
      <c r="J62" s="11" t="s">
        <v>1145</v>
      </c>
      <c r="K62" s="11" t="s">
        <v>766</v>
      </c>
      <c r="L62" s="11" t="n">
        <v>1</v>
      </c>
      <c r="O62" s="11" t="s">
        <v>3123</v>
      </c>
    </row>
    <row r="63" customFormat="false" ht="15" hidden="false" customHeight="false" outlineLevel="0" collapsed="false">
      <c r="A63" s="2" t="s">
        <v>3367</v>
      </c>
      <c r="B63" s="11" t="s">
        <v>2408</v>
      </c>
      <c r="C63" s="11" t="s">
        <v>1068</v>
      </c>
      <c r="D63" s="11" t="s">
        <v>750</v>
      </c>
      <c r="F63" s="11" t="s">
        <v>258</v>
      </c>
      <c r="G63" s="11" t="s">
        <v>1144</v>
      </c>
      <c r="H63" s="11" t="s">
        <v>1145</v>
      </c>
      <c r="I63" s="11" t="s">
        <v>1144</v>
      </c>
      <c r="J63" s="11" t="s">
        <v>1145</v>
      </c>
      <c r="K63" s="11" t="s">
        <v>766</v>
      </c>
      <c r="L63" s="11" t="n">
        <v>1</v>
      </c>
      <c r="O63" s="11" t="s">
        <v>3123</v>
      </c>
    </row>
    <row r="64" customFormat="false" ht="15" hidden="false" customHeight="false" outlineLevel="0" collapsed="false">
      <c r="A64" s="2" t="s">
        <v>3368</v>
      </c>
      <c r="B64" s="11" t="s">
        <v>2415</v>
      </c>
      <c r="C64" s="11" t="s">
        <v>1068</v>
      </c>
      <c r="D64" s="11" t="s">
        <v>750</v>
      </c>
      <c r="F64" s="11" t="s">
        <v>258</v>
      </c>
      <c r="G64" s="11" t="s">
        <v>1144</v>
      </c>
      <c r="H64" s="11" t="s">
        <v>1145</v>
      </c>
      <c r="I64" s="11" t="s">
        <v>1144</v>
      </c>
      <c r="J64" s="11" t="s">
        <v>1145</v>
      </c>
      <c r="K64" s="11" t="s">
        <v>766</v>
      </c>
      <c r="L64" s="11" t="n">
        <v>1</v>
      </c>
      <c r="O64" s="11" t="s">
        <v>3123</v>
      </c>
    </row>
    <row r="65" customFormat="false" ht="15" hidden="false" customHeight="false" outlineLevel="0" collapsed="false">
      <c r="A65" s="2" t="s">
        <v>3369</v>
      </c>
      <c r="B65" s="11" t="s">
        <v>2422</v>
      </c>
      <c r="C65" s="11" t="s">
        <v>1068</v>
      </c>
      <c r="D65" s="11" t="s">
        <v>750</v>
      </c>
      <c r="F65" s="11" t="s">
        <v>258</v>
      </c>
      <c r="G65" s="11" t="s">
        <v>1144</v>
      </c>
      <c r="H65" s="11" t="s">
        <v>1145</v>
      </c>
      <c r="I65" s="11" t="s">
        <v>1144</v>
      </c>
      <c r="J65" s="11" t="s">
        <v>1145</v>
      </c>
      <c r="K65" s="11" t="s">
        <v>766</v>
      </c>
      <c r="L65" s="11" t="n">
        <v>1</v>
      </c>
      <c r="O65" s="11" t="s">
        <v>3123</v>
      </c>
    </row>
    <row r="66" customFormat="false" ht="15" hidden="false" customHeight="false" outlineLevel="0" collapsed="false">
      <c r="A66" s="2" t="s">
        <v>3370</v>
      </c>
      <c r="B66" s="11" t="s">
        <v>2429</v>
      </c>
      <c r="C66" s="11" t="s">
        <v>1114</v>
      </c>
      <c r="D66" s="11" t="s">
        <v>750</v>
      </c>
      <c r="F66" s="11" t="s">
        <v>258</v>
      </c>
      <c r="G66" s="11" t="s">
        <v>1144</v>
      </c>
      <c r="H66" s="11" t="s">
        <v>1145</v>
      </c>
      <c r="I66" s="11" t="s">
        <v>1144</v>
      </c>
      <c r="J66" s="11" t="s">
        <v>1145</v>
      </c>
      <c r="K66" s="11" t="s">
        <v>766</v>
      </c>
      <c r="L66" s="11" t="n">
        <v>1</v>
      </c>
      <c r="O66" s="11" t="s">
        <v>3123</v>
      </c>
    </row>
    <row r="67" customFormat="false" ht="15" hidden="false" customHeight="false" outlineLevel="0" collapsed="false">
      <c r="A67" s="2" t="s">
        <v>3371</v>
      </c>
      <c r="B67" s="11" t="s">
        <v>2436</v>
      </c>
      <c r="C67" s="11" t="s">
        <v>1114</v>
      </c>
      <c r="D67" s="11" t="s">
        <v>750</v>
      </c>
      <c r="F67" s="11" t="s">
        <v>258</v>
      </c>
      <c r="G67" s="11" t="s">
        <v>1144</v>
      </c>
      <c r="H67" s="11" t="s">
        <v>1145</v>
      </c>
      <c r="I67" s="11" t="s">
        <v>1144</v>
      </c>
      <c r="J67" s="11" t="s">
        <v>1145</v>
      </c>
      <c r="K67" s="11" t="s">
        <v>766</v>
      </c>
      <c r="L67" s="11" t="n">
        <v>1</v>
      </c>
      <c r="O67" s="11" t="s">
        <v>3123</v>
      </c>
    </row>
    <row r="68" customFormat="false" ht="15" hidden="false" customHeight="false" outlineLevel="0" collapsed="false">
      <c r="A68" s="2" t="s">
        <v>3372</v>
      </c>
      <c r="B68" s="11" t="s">
        <v>2443</v>
      </c>
      <c r="C68" s="11" t="s">
        <v>1068</v>
      </c>
      <c r="D68" s="11" t="s">
        <v>750</v>
      </c>
      <c r="F68" s="11" t="s">
        <v>258</v>
      </c>
      <c r="G68" s="11" t="s">
        <v>1144</v>
      </c>
      <c r="H68" s="11" t="s">
        <v>1145</v>
      </c>
      <c r="I68" s="11" t="s">
        <v>1144</v>
      </c>
      <c r="J68" s="11" t="s">
        <v>1145</v>
      </c>
      <c r="K68" s="11" t="s">
        <v>766</v>
      </c>
      <c r="L68" s="11" t="n">
        <v>1</v>
      </c>
      <c r="O68" s="11" t="s">
        <v>3123</v>
      </c>
    </row>
    <row r="69" customFormat="false" ht="15" hidden="false" customHeight="false" outlineLevel="0" collapsed="false">
      <c r="A69" s="2" t="s">
        <v>3373</v>
      </c>
      <c r="B69" s="11" t="s">
        <v>2450</v>
      </c>
      <c r="C69" s="11" t="s">
        <v>1114</v>
      </c>
      <c r="D69" s="11" t="s">
        <v>750</v>
      </c>
      <c r="F69" s="11" t="s">
        <v>258</v>
      </c>
      <c r="G69" s="11" t="s">
        <v>1144</v>
      </c>
      <c r="H69" s="11" t="s">
        <v>1145</v>
      </c>
      <c r="I69" s="11" t="s">
        <v>1144</v>
      </c>
      <c r="J69" s="11" t="s">
        <v>1145</v>
      </c>
      <c r="K69" s="11" t="s">
        <v>766</v>
      </c>
      <c r="L69" s="11" t="n">
        <v>1</v>
      </c>
      <c r="O69" s="11" t="s">
        <v>3123</v>
      </c>
    </row>
    <row r="70" customFormat="false" ht="15" hidden="false" customHeight="false" outlineLevel="0" collapsed="false">
      <c r="A70" s="2" t="s">
        <v>3374</v>
      </c>
      <c r="B70" s="11" t="s">
        <v>2456</v>
      </c>
      <c r="C70" s="11" t="s">
        <v>1114</v>
      </c>
      <c r="D70" s="11" t="s">
        <v>750</v>
      </c>
      <c r="F70" s="11" t="s">
        <v>258</v>
      </c>
      <c r="G70" s="11" t="s">
        <v>1144</v>
      </c>
      <c r="H70" s="11" t="s">
        <v>1145</v>
      </c>
      <c r="I70" s="11" t="s">
        <v>1144</v>
      </c>
      <c r="J70" s="11" t="s">
        <v>1145</v>
      </c>
      <c r="K70" s="11" t="s">
        <v>766</v>
      </c>
      <c r="L70" s="11" t="n">
        <v>1</v>
      </c>
      <c r="O70" s="11" t="s">
        <v>3123</v>
      </c>
    </row>
    <row r="71" customFormat="false" ht="15" hidden="false" customHeight="false" outlineLevel="0" collapsed="false">
      <c r="A71" s="2" t="s">
        <v>3375</v>
      </c>
      <c r="B71" s="11" t="s">
        <v>2462</v>
      </c>
      <c r="C71" s="11" t="s">
        <v>1075</v>
      </c>
      <c r="D71" s="11" t="s">
        <v>750</v>
      </c>
      <c r="F71" s="11" t="s">
        <v>258</v>
      </c>
      <c r="G71" s="11" t="s">
        <v>1144</v>
      </c>
      <c r="H71" s="11" t="s">
        <v>1145</v>
      </c>
      <c r="I71" s="11" t="s">
        <v>1144</v>
      </c>
      <c r="J71" s="11" t="s">
        <v>1145</v>
      </c>
      <c r="K71" s="11" t="s">
        <v>766</v>
      </c>
      <c r="L71" s="11" t="n">
        <v>1</v>
      </c>
      <c r="O71" s="11" t="s">
        <v>3123</v>
      </c>
    </row>
    <row r="72" customFormat="false" ht="15" hidden="false" customHeight="false" outlineLevel="0" collapsed="false">
      <c r="A72" s="2" t="s">
        <v>3376</v>
      </c>
      <c r="B72" s="11" t="s">
        <v>2467</v>
      </c>
      <c r="C72" s="11" t="s">
        <v>1075</v>
      </c>
      <c r="D72" s="11" t="s">
        <v>750</v>
      </c>
      <c r="F72" s="11" t="s">
        <v>258</v>
      </c>
      <c r="G72" s="11" t="s">
        <v>1144</v>
      </c>
      <c r="H72" s="11" t="s">
        <v>1145</v>
      </c>
      <c r="I72" s="11" t="s">
        <v>1144</v>
      </c>
      <c r="J72" s="11" t="s">
        <v>1145</v>
      </c>
      <c r="K72" s="11" t="s">
        <v>766</v>
      </c>
      <c r="L72" s="11" t="n">
        <v>1</v>
      </c>
      <c r="O72" s="11" t="s">
        <v>3123</v>
      </c>
    </row>
    <row r="73" customFormat="false" ht="15" hidden="false" customHeight="false" outlineLevel="0" collapsed="false">
      <c r="A73" s="2" t="s">
        <v>3377</v>
      </c>
      <c r="B73" s="11" t="s">
        <v>2473</v>
      </c>
      <c r="C73" s="11" t="s">
        <v>1114</v>
      </c>
      <c r="D73" s="11" t="s">
        <v>750</v>
      </c>
      <c r="F73" s="11" t="s">
        <v>258</v>
      </c>
      <c r="G73" s="11" t="s">
        <v>1144</v>
      </c>
      <c r="H73" s="11" t="s">
        <v>1145</v>
      </c>
      <c r="I73" s="11" t="s">
        <v>1144</v>
      </c>
      <c r="J73" s="11" t="s">
        <v>1145</v>
      </c>
      <c r="K73" s="11" t="s">
        <v>766</v>
      </c>
      <c r="L73" s="11" t="n">
        <v>1</v>
      </c>
      <c r="O73" s="11" t="s">
        <v>3123</v>
      </c>
    </row>
    <row r="74" customFormat="false" ht="15" hidden="false" customHeight="false" outlineLevel="0" collapsed="false">
      <c r="A74" s="2" t="s">
        <v>3378</v>
      </c>
      <c r="B74" s="11" t="s">
        <v>2479</v>
      </c>
      <c r="C74" s="11" t="s">
        <v>1114</v>
      </c>
      <c r="D74" s="11" t="s">
        <v>750</v>
      </c>
      <c r="F74" s="11" t="s">
        <v>258</v>
      </c>
      <c r="G74" s="11" t="s">
        <v>1144</v>
      </c>
      <c r="H74" s="11" t="s">
        <v>1145</v>
      </c>
      <c r="I74" s="11" t="s">
        <v>1144</v>
      </c>
      <c r="J74" s="11" t="s">
        <v>1145</v>
      </c>
      <c r="K74" s="11" t="s">
        <v>766</v>
      </c>
      <c r="L74" s="11" t="n">
        <v>1</v>
      </c>
      <c r="O74" s="11" t="s">
        <v>3123</v>
      </c>
    </row>
    <row r="75" customFormat="false" ht="15" hidden="false" customHeight="false" outlineLevel="0" collapsed="false">
      <c r="A75" s="2" t="s">
        <v>3379</v>
      </c>
      <c r="B75" s="11" t="s">
        <v>2485</v>
      </c>
      <c r="C75" s="11" t="s">
        <v>1114</v>
      </c>
      <c r="D75" s="11" t="s">
        <v>750</v>
      </c>
      <c r="F75" s="11" t="s">
        <v>258</v>
      </c>
      <c r="G75" s="11" t="s">
        <v>1144</v>
      </c>
      <c r="H75" s="11" t="s">
        <v>1145</v>
      </c>
      <c r="I75" s="11" t="s">
        <v>1144</v>
      </c>
      <c r="J75" s="11" t="s">
        <v>1145</v>
      </c>
      <c r="K75" s="11" t="s">
        <v>766</v>
      </c>
      <c r="L75" s="11" t="n">
        <v>1</v>
      </c>
      <c r="O75" s="11" t="s">
        <v>3123</v>
      </c>
    </row>
    <row r="76" customFormat="false" ht="15" hidden="false" customHeight="false" outlineLevel="0" collapsed="false">
      <c r="A76" s="2" t="s">
        <v>3380</v>
      </c>
      <c r="B76" s="11" t="s">
        <v>2491</v>
      </c>
      <c r="C76" s="11" t="s">
        <v>1068</v>
      </c>
      <c r="D76" s="11" t="s">
        <v>750</v>
      </c>
      <c r="F76" s="11" t="s">
        <v>258</v>
      </c>
      <c r="G76" s="11" t="s">
        <v>1144</v>
      </c>
      <c r="H76" s="11" t="s">
        <v>1145</v>
      </c>
      <c r="I76" s="11" t="s">
        <v>1144</v>
      </c>
      <c r="J76" s="11" t="s">
        <v>1145</v>
      </c>
      <c r="K76" s="11" t="s">
        <v>766</v>
      </c>
      <c r="L76" s="11" t="n">
        <v>1</v>
      </c>
      <c r="O76" s="11" t="s">
        <v>3123</v>
      </c>
    </row>
    <row r="77" customFormat="false" ht="15" hidden="false" customHeight="false" outlineLevel="0" collapsed="false">
      <c r="A77" s="2" t="s">
        <v>3381</v>
      </c>
      <c r="B77" s="11" t="s">
        <v>2497</v>
      </c>
      <c r="C77" s="11" t="s">
        <v>1068</v>
      </c>
      <c r="D77" s="11" t="s">
        <v>750</v>
      </c>
      <c r="F77" s="11" t="s">
        <v>258</v>
      </c>
      <c r="G77" s="11" t="s">
        <v>1144</v>
      </c>
      <c r="H77" s="11" t="s">
        <v>1145</v>
      </c>
      <c r="I77" s="11" t="s">
        <v>1144</v>
      </c>
      <c r="J77" s="11" t="s">
        <v>1145</v>
      </c>
      <c r="K77" s="11" t="s">
        <v>766</v>
      </c>
      <c r="L77" s="11" t="n">
        <v>1</v>
      </c>
      <c r="O77" s="11" t="s">
        <v>3123</v>
      </c>
    </row>
    <row r="78" customFormat="false" ht="15" hidden="false" customHeight="false" outlineLevel="0" collapsed="false">
      <c r="A78" s="2" t="s">
        <v>3382</v>
      </c>
      <c r="B78" s="11" t="s">
        <v>2503</v>
      </c>
      <c r="C78" s="11" t="s">
        <v>1068</v>
      </c>
      <c r="D78" s="11" t="s">
        <v>750</v>
      </c>
      <c r="F78" s="11" t="s">
        <v>258</v>
      </c>
      <c r="G78" s="11" t="s">
        <v>1144</v>
      </c>
      <c r="H78" s="11" t="s">
        <v>1145</v>
      </c>
      <c r="I78" s="11" t="s">
        <v>1144</v>
      </c>
      <c r="J78" s="11" t="s">
        <v>1145</v>
      </c>
      <c r="K78" s="11" t="s">
        <v>766</v>
      </c>
      <c r="L78" s="11" t="n">
        <v>1</v>
      </c>
      <c r="O78" s="11" t="s">
        <v>3123</v>
      </c>
    </row>
    <row r="79" customFormat="false" ht="15" hidden="false" customHeight="false" outlineLevel="0" collapsed="false">
      <c r="A79" s="2" t="s">
        <v>3383</v>
      </c>
      <c r="B79" s="11" t="s">
        <v>2508</v>
      </c>
      <c r="C79" s="11" t="s">
        <v>1068</v>
      </c>
      <c r="D79" s="11" t="s">
        <v>750</v>
      </c>
      <c r="F79" s="11" t="s">
        <v>258</v>
      </c>
      <c r="G79" s="11" t="s">
        <v>1144</v>
      </c>
      <c r="H79" s="11" t="s">
        <v>1145</v>
      </c>
      <c r="I79" s="11" t="s">
        <v>1144</v>
      </c>
      <c r="J79" s="11" t="s">
        <v>1145</v>
      </c>
      <c r="K79" s="11" t="s">
        <v>766</v>
      </c>
      <c r="L79" s="11" t="n">
        <v>1</v>
      </c>
      <c r="O79" s="11" t="s">
        <v>3123</v>
      </c>
    </row>
    <row r="80" customFormat="false" ht="15" hidden="false" customHeight="false" outlineLevel="0" collapsed="false">
      <c r="A80" s="2" t="s">
        <v>3384</v>
      </c>
      <c r="B80" s="11" t="s">
        <v>2514</v>
      </c>
      <c r="C80" s="11" t="s">
        <v>1114</v>
      </c>
      <c r="D80" s="11" t="s">
        <v>750</v>
      </c>
      <c r="F80" s="11" t="s">
        <v>258</v>
      </c>
      <c r="G80" s="11" t="s">
        <v>1144</v>
      </c>
      <c r="H80" s="11" t="s">
        <v>1145</v>
      </c>
      <c r="I80" s="11" t="s">
        <v>1144</v>
      </c>
      <c r="J80" s="11" t="s">
        <v>1145</v>
      </c>
      <c r="K80" s="11" t="s">
        <v>766</v>
      </c>
      <c r="L80" s="11" t="n">
        <v>1</v>
      </c>
      <c r="O80" s="11" t="s">
        <v>3123</v>
      </c>
    </row>
  </sheetData>
  <autoFilter ref="A1:O80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80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80" type="list">
      <formula1>procesfase!$C$2:$C$2000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80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80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Q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9"/>
    <col collapsed="false" customWidth="true" hidden="false" outlineLevel="0" max="7" min="7" style="0" width="40"/>
    <col collapsed="false" customWidth="true" hidden="false" outlineLevel="0" max="12" min="8" style="0" width="14"/>
    <col collapsed="false" customWidth="true" hidden="false" outlineLevel="0" max="13" min="13" style="0" width="40"/>
    <col collapsed="false" customWidth="true" hidden="false" outlineLevel="0" max="14" min="14" style="0" width="17"/>
    <col collapsed="false" customWidth="true" hidden="false" outlineLevel="0" max="16" min="15" style="0" width="14"/>
    <col collapsed="false" customWidth="true" hidden="false" outlineLevel="0" max="17" min="17" style="0" width="40"/>
  </cols>
  <sheetData>
    <row r="1" customFormat="false" ht="15" hidden="false" customHeight="false" outlineLevel="0" collapsed="false">
      <c r="A1" s="13" t="s">
        <v>562</v>
      </c>
      <c r="B1" s="13" t="s">
        <v>469</v>
      </c>
      <c r="C1" s="13" t="s">
        <v>353</v>
      </c>
      <c r="D1" s="13" t="s">
        <v>563</v>
      </c>
      <c r="E1" s="13" t="s">
        <v>557</v>
      </c>
      <c r="F1" s="13" t="s">
        <v>565</v>
      </c>
      <c r="G1" s="14" t="s">
        <v>410</v>
      </c>
      <c r="H1" s="13" t="s">
        <v>554</v>
      </c>
      <c r="I1" s="15" t="s">
        <v>292</v>
      </c>
      <c r="J1" s="15" t="s">
        <v>295</v>
      </c>
      <c r="K1" s="15" t="s">
        <v>298</v>
      </c>
      <c r="L1" s="15" t="s">
        <v>300</v>
      </c>
      <c r="M1" s="15" t="s">
        <v>302</v>
      </c>
      <c r="N1" s="15" t="s">
        <v>305</v>
      </c>
      <c r="O1" s="15" t="s">
        <v>307</v>
      </c>
      <c r="P1" s="15" t="s">
        <v>310</v>
      </c>
      <c r="Q1" s="15" t="s">
        <v>312</v>
      </c>
    </row>
    <row r="2" customFormat="false" ht="15" hidden="false" customHeight="false" outlineLevel="0" collapsed="false">
      <c r="A2" s="2" t="s">
        <v>3385</v>
      </c>
      <c r="B2" s="11" t="s">
        <v>2008</v>
      </c>
      <c r="C2" s="11" t="s">
        <v>1277</v>
      </c>
      <c r="D2" s="11" t="s">
        <v>874</v>
      </c>
      <c r="E2" s="11" t="s">
        <v>750</v>
      </c>
      <c r="F2" s="11" t="s">
        <v>3386</v>
      </c>
      <c r="H2" s="11" t="s">
        <v>258</v>
      </c>
      <c r="I2" s="11" t="s">
        <v>1144</v>
      </c>
      <c r="J2" s="11" t="s">
        <v>1145</v>
      </c>
      <c r="K2" s="11" t="s">
        <v>1144</v>
      </c>
      <c r="L2" s="11" t="s">
        <v>1145</v>
      </c>
      <c r="M2" s="11" t="s">
        <v>766</v>
      </c>
      <c r="N2" s="11" t="n">
        <v>1</v>
      </c>
      <c r="Q2" s="11" t="s">
        <v>3123</v>
      </c>
    </row>
    <row r="3" customFormat="false" ht="15" hidden="false" customHeight="false" outlineLevel="0" collapsed="false">
      <c r="A3" s="2" t="s">
        <v>3387</v>
      </c>
      <c r="B3" s="11" t="s">
        <v>2023</v>
      </c>
      <c r="C3" s="11" t="s">
        <v>1277</v>
      </c>
      <c r="D3" s="11" t="s">
        <v>874</v>
      </c>
      <c r="E3" s="11" t="s">
        <v>750</v>
      </c>
      <c r="F3" s="11" t="s">
        <v>3386</v>
      </c>
      <c r="H3" s="11" t="s">
        <v>258</v>
      </c>
      <c r="I3" s="11" t="s">
        <v>1144</v>
      </c>
      <c r="J3" s="11" t="s">
        <v>1145</v>
      </c>
      <c r="K3" s="11" t="s">
        <v>1144</v>
      </c>
      <c r="L3" s="11" t="s">
        <v>1145</v>
      </c>
      <c r="M3" s="11" t="s">
        <v>766</v>
      </c>
      <c r="N3" s="11" t="n">
        <v>1</v>
      </c>
      <c r="Q3" s="11" t="s">
        <v>3123</v>
      </c>
    </row>
    <row r="4" customFormat="false" ht="15" hidden="false" customHeight="false" outlineLevel="0" collapsed="false">
      <c r="A4" s="2" t="s">
        <v>3388</v>
      </c>
      <c r="B4" s="11" t="s">
        <v>2030</v>
      </c>
      <c r="C4" s="11" t="s">
        <v>1277</v>
      </c>
      <c r="D4" s="11" t="s">
        <v>874</v>
      </c>
      <c r="E4" s="11" t="s">
        <v>750</v>
      </c>
      <c r="F4" s="11" t="s">
        <v>3386</v>
      </c>
      <c r="H4" s="11" t="s">
        <v>258</v>
      </c>
      <c r="I4" s="11" t="s">
        <v>1144</v>
      </c>
      <c r="J4" s="11" t="s">
        <v>1145</v>
      </c>
      <c r="K4" s="11" t="s">
        <v>1144</v>
      </c>
      <c r="L4" s="11" t="s">
        <v>1145</v>
      </c>
      <c r="M4" s="11" t="s">
        <v>766</v>
      </c>
      <c r="N4" s="11" t="n">
        <v>1</v>
      </c>
      <c r="Q4" s="11" t="s">
        <v>3123</v>
      </c>
    </row>
    <row r="5" customFormat="false" ht="15" hidden="false" customHeight="false" outlineLevel="0" collapsed="false">
      <c r="A5" s="2" t="s">
        <v>3389</v>
      </c>
      <c r="B5" s="11" t="s">
        <v>2036</v>
      </c>
      <c r="C5" s="11" t="s">
        <v>1257</v>
      </c>
      <c r="D5" s="11" t="s">
        <v>860</v>
      </c>
      <c r="E5" s="11" t="s">
        <v>750</v>
      </c>
      <c r="F5" s="11" t="s">
        <v>3386</v>
      </c>
      <c r="H5" s="11" t="s">
        <v>258</v>
      </c>
      <c r="I5" s="11" t="s">
        <v>1144</v>
      </c>
      <c r="J5" s="11" t="s">
        <v>1145</v>
      </c>
      <c r="K5" s="11" t="s">
        <v>1144</v>
      </c>
      <c r="L5" s="11" t="s">
        <v>1145</v>
      </c>
      <c r="M5" s="11" t="s">
        <v>766</v>
      </c>
      <c r="N5" s="11" t="n">
        <v>1</v>
      </c>
      <c r="Q5" s="11" t="s">
        <v>3123</v>
      </c>
    </row>
    <row r="6" customFormat="false" ht="15" hidden="false" customHeight="false" outlineLevel="0" collapsed="false">
      <c r="A6" s="2" t="s">
        <v>3390</v>
      </c>
      <c r="B6" s="11" t="s">
        <v>2045</v>
      </c>
      <c r="C6" s="11" t="s">
        <v>1277</v>
      </c>
      <c r="D6" s="11" t="s">
        <v>874</v>
      </c>
      <c r="E6" s="11" t="s">
        <v>750</v>
      </c>
      <c r="F6" s="11" t="s">
        <v>3386</v>
      </c>
      <c r="H6" s="11" t="s">
        <v>258</v>
      </c>
      <c r="I6" s="11" t="s">
        <v>1144</v>
      </c>
      <c r="J6" s="11" t="s">
        <v>1145</v>
      </c>
      <c r="K6" s="11" t="s">
        <v>1144</v>
      </c>
      <c r="L6" s="11" t="s">
        <v>1145</v>
      </c>
      <c r="M6" s="11" t="s">
        <v>766</v>
      </c>
      <c r="N6" s="11" t="n">
        <v>1</v>
      </c>
      <c r="Q6" s="11" t="s">
        <v>3123</v>
      </c>
    </row>
    <row r="7" customFormat="false" ht="15" hidden="false" customHeight="false" outlineLevel="0" collapsed="false">
      <c r="A7" s="2" t="s">
        <v>3391</v>
      </c>
      <c r="B7" s="11" t="s">
        <v>2051</v>
      </c>
      <c r="C7" s="11" t="s">
        <v>1202</v>
      </c>
      <c r="D7" s="11" t="s">
        <v>874</v>
      </c>
      <c r="E7" s="11" t="s">
        <v>750</v>
      </c>
      <c r="F7" s="11" t="s">
        <v>3386</v>
      </c>
      <c r="H7" s="11" t="s">
        <v>258</v>
      </c>
      <c r="I7" s="11" t="s">
        <v>1144</v>
      </c>
      <c r="J7" s="11" t="s">
        <v>1145</v>
      </c>
      <c r="K7" s="11" t="s">
        <v>1144</v>
      </c>
      <c r="L7" s="11" t="s">
        <v>1145</v>
      </c>
      <c r="M7" s="11" t="s">
        <v>766</v>
      </c>
      <c r="N7" s="11" t="n">
        <v>1</v>
      </c>
      <c r="Q7" s="11" t="s">
        <v>3123</v>
      </c>
    </row>
    <row r="8" customFormat="false" ht="15" hidden="false" customHeight="false" outlineLevel="0" collapsed="false">
      <c r="A8" s="2" t="s">
        <v>3392</v>
      </c>
      <c r="B8" s="11" t="s">
        <v>2060</v>
      </c>
      <c r="C8" s="11" t="s">
        <v>1277</v>
      </c>
      <c r="D8" s="11" t="s">
        <v>874</v>
      </c>
      <c r="E8" s="11" t="s">
        <v>750</v>
      </c>
      <c r="F8" s="11" t="s">
        <v>3386</v>
      </c>
      <c r="H8" s="11" t="s">
        <v>258</v>
      </c>
      <c r="I8" s="11" t="s">
        <v>1144</v>
      </c>
      <c r="J8" s="11" t="s">
        <v>1145</v>
      </c>
      <c r="K8" s="11" t="s">
        <v>1144</v>
      </c>
      <c r="L8" s="11" t="s">
        <v>1145</v>
      </c>
      <c r="M8" s="11" t="s">
        <v>766</v>
      </c>
      <c r="N8" s="11" t="n">
        <v>1</v>
      </c>
      <c r="Q8" s="11" t="s">
        <v>3123</v>
      </c>
    </row>
    <row r="9" customFormat="false" ht="15" hidden="false" customHeight="false" outlineLevel="0" collapsed="false">
      <c r="A9" s="2" t="s">
        <v>3393</v>
      </c>
      <c r="B9" s="11" t="s">
        <v>2065</v>
      </c>
      <c r="C9" s="11" t="s">
        <v>1163</v>
      </c>
      <c r="D9" s="11" t="s">
        <v>896</v>
      </c>
      <c r="E9" s="11" t="s">
        <v>750</v>
      </c>
      <c r="F9" s="11" t="s">
        <v>3386</v>
      </c>
      <c r="H9" s="11" t="s">
        <v>258</v>
      </c>
      <c r="I9" s="11" t="s">
        <v>1144</v>
      </c>
      <c r="J9" s="11" t="s">
        <v>1145</v>
      </c>
      <c r="K9" s="11" t="s">
        <v>1144</v>
      </c>
      <c r="L9" s="11" t="s">
        <v>1145</v>
      </c>
      <c r="M9" s="11" t="s">
        <v>766</v>
      </c>
      <c r="N9" s="11" t="n">
        <v>1</v>
      </c>
      <c r="Q9" s="11" t="s">
        <v>3123</v>
      </c>
    </row>
    <row r="10" customFormat="false" ht="15" hidden="false" customHeight="false" outlineLevel="0" collapsed="false">
      <c r="A10" s="2" t="s">
        <v>3394</v>
      </c>
      <c r="B10" s="11" t="s">
        <v>2075</v>
      </c>
      <c r="C10" s="11" t="s">
        <v>1202</v>
      </c>
      <c r="D10" s="11" t="s">
        <v>874</v>
      </c>
      <c r="E10" s="11" t="s">
        <v>750</v>
      </c>
      <c r="F10" s="11" t="s">
        <v>3386</v>
      </c>
      <c r="H10" s="11" t="s">
        <v>258</v>
      </c>
      <c r="I10" s="11" t="s">
        <v>1144</v>
      </c>
      <c r="J10" s="11" t="s">
        <v>1145</v>
      </c>
      <c r="K10" s="11" t="s">
        <v>1144</v>
      </c>
      <c r="L10" s="11" t="s">
        <v>1145</v>
      </c>
      <c r="M10" s="11" t="s">
        <v>766</v>
      </c>
      <c r="N10" s="11" t="n">
        <v>1</v>
      </c>
      <c r="Q10" s="11" t="s">
        <v>3123</v>
      </c>
    </row>
    <row r="11" customFormat="false" ht="15" hidden="false" customHeight="false" outlineLevel="0" collapsed="false">
      <c r="A11" s="2" t="s">
        <v>3395</v>
      </c>
      <c r="B11" s="11" t="s">
        <v>2084</v>
      </c>
      <c r="C11" s="11" t="s">
        <v>1277</v>
      </c>
      <c r="D11" s="11" t="s">
        <v>874</v>
      </c>
      <c r="E11" s="11" t="s">
        <v>750</v>
      </c>
      <c r="F11" s="11" t="s">
        <v>3386</v>
      </c>
      <c r="H11" s="11" t="s">
        <v>258</v>
      </c>
      <c r="I11" s="11" t="s">
        <v>1144</v>
      </c>
      <c r="J11" s="11" t="s">
        <v>1145</v>
      </c>
      <c r="K11" s="11" t="s">
        <v>1144</v>
      </c>
      <c r="L11" s="11" t="s">
        <v>1145</v>
      </c>
      <c r="M11" s="11" t="s">
        <v>766</v>
      </c>
      <c r="N11" s="11" t="n">
        <v>1</v>
      </c>
      <c r="Q11" s="11" t="s">
        <v>3123</v>
      </c>
    </row>
    <row r="12" customFormat="false" ht="15" hidden="false" customHeight="false" outlineLevel="0" collapsed="false">
      <c r="A12" s="2" t="s">
        <v>3396</v>
      </c>
      <c r="B12" s="11" t="s">
        <v>2089</v>
      </c>
      <c r="C12" s="11" t="s">
        <v>1173</v>
      </c>
      <c r="D12" s="11" t="s">
        <v>805</v>
      </c>
      <c r="E12" s="11" t="s">
        <v>750</v>
      </c>
      <c r="F12" s="11" t="s">
        <v>3386</v>
      </c>
      <c r="H12" s="11" t="s">
        <v>258</v>
      </c>
      <c r="I12" s="11" t="s">
        <v>1144</v>
      </c>
      <c r="J12" s="11" t="s">
        <v>1145</v>
      </c>
      <c r="K12" s="11" t="s">
        <v>1144</v>
      </c>
      <c r="L12" s="11" t="s">
        <v>1145</v>
      </c>
      <c r="M12" s="11" t="s">
        <v>766</v>
      </c>
      <c r="N12" s="11" t="n">
        <v>1</v>
      </c>
      <c r="Q12" s="11" t="s">
        <v>3123</v>
      </c>
    </row>
    <row r="13" customFormat="false" ht="15" hidden="false" customHeight="false" outlineLevel="0" collapsed="false">
      <c r="A13" s="2" t="s">
        <v>3397</v>
      </c>
      <c r="B13" s="11" t="s">
        <v>2099</v>
      </c>
      <c r="C13" s="11" t="s">
        <v>1277</v>
      </c>
      <c r="D13" s="11" t="s">
        <v>874</v>
      </c>
      <c r="E13" s="11" t="s">
        <v>750</v>
      </c>
      <c r="F13" s="11" t="s">
        <v>3386</v>
      </c>
      <c r="H13" s="11" t="s">
        <v>258</v>
      </c>
      <c r="I13" s="11" t="s">
        <v>1144</v>
      </c>
      <c r="J13" s="11" t="s">
        <v>1145</v>
      </c>
      <c r="K13" s="11" t="s">
        <v>1144</v>
      </c>
      <c r="L13" s="11" t="s">
        <v>1145</v>
      </c>
      <c r="M13" s="11" t="s">
        <v>766</v>
      </c>
      <c r="N13" s="11" t="n">
        <v>1</v>
      </c>
      <c r="Q13" s="11" t="s">
        <v>3123</v>
      </c>
    </row>
    <row r="14" customFormat="false" ht="15" hidden="false" customHeight="false" outlineLevel="0" collapsed="false">
      <c r="A14" s="2" t="s">
        <v>3398</v>
      </c>
      <c r="B14" s="11" t="s">
        <v>2107</v>
      </c>
      <c r="C14" s="11" t="s">
        <v>1202</v>
      </c>
      <c r="D14" s="11" t="s">
        <v>900</v>
      </c>
      <c r="E14" s="11" t="s">
        <v>750</v>
      </c>
      <c r="F14" s="11" t="s">
        <v>3386</v>
      </c>
      <c r="H14" s="11" t="s">
        <v>258</v>
      </c>
      <c r="I14" s="11" t="s">
        <v>1144</v>
      </c>
      <c r="J14" s="11" t="s">
        <v>1145</v>
      </c>
      <c r="K14" s="11" t="s">
        <v>1144</v>
      </c>
      <c r="L14" s="11" t="s">
        <v>1145</v>
      </c>
      <c r="M14" s="11" t="s">
        <v>766</v>
      </c>
      <c r="N14" s="11" t="n">
        <v>1</v>
      </c>
      <c r="Q14" s="11" t="s">
        <v>3123</v>
      </c>
    </row>
    <row r="15" customFormat="false" ht="15" hidden="false" customHeight="false" outlineLevel="0" collapsed="false">
      <c r="A15" s="2" t="s">
        <v>3399</v>
      </c>
      <c r="B15" s="11" t="s">
        <v>2117</v>
      </c>
      <c r="C15" s="11" t="s">
        <v>1257</v>
      </c>
      <c r="D15" s="11" t="s">
        <v>900</v>
      </c>
      <c r="E15" s="11" t="s">
        <v>750</v>
      </c>
      <c r="F15" s="11" t="s">
        <v>3386</v>
      </c>
      <c r="H15" s="11" t="s">
        <v>258</v>
      </c>
      <c r="I15" s="11" t="s">
        <v>1144</v>
      </c>
      <c r="J15" s="11" t="s">
        <v>1145</v>
      </c>
      <c r="K15" s="11" t="s">
        <v>1144</v>
      </c>
      <c r="L15" s="11" t="s">
        <v>1145</v>
      </c>
      <c r="M15" s="11" t="s">
        <v>766</v>
      </c>
      <c r="N15" s="11" t="n">
        <v>1</v>
      </c>
      <c r="Q15" s="11" t="s">
        <v>3123</v>
      </c>
    </row>
    <row r="16" customFormat="false" ht="15" hidden="false" customHeight="false" outlineLevel="0" collapsed="false">
      <c r="A16" s="2" t="s">
        <v>3400</v>
      </c>
      <c r="B16" s="11" t="s">
        <v>2122</v>
      </c>
      <c r="C16" s="11" t="s">
        <v>1202</v>
      </c>
      <c r="D16" s="11" t="s">
        <v>900</v>
      </c>
      <c r="E16" s="11" t="s">
        <v>750</v>
      </c>
      <c r="F16" s="11" t="s">
        <v>3386</v>
      </c>
      <c r="H16" s="11" t="s">
        <v>258</v>
      </c>
      <c r="I16" s="11" t="s">
        <v>1144</v>
      </c>
      <c r="J16" s="11" t="s">
        <v>1145</v>
      </c>
      <c r="K16" s="11" t="s">
        <v>1144</v>
      </c>
      <c r="L16" s="11" t="s">
        <v>1145</v>
      </c>
      <c r="M16" s="11" t="s">
        <v>766</v>
      </c>
      <c r="N16" s="11" t="n">
        <v>1</v>
      </c>
      <c r="Q16" s="11" t="s">
        <v>3123</v>
      </c>
    </row>
    <row r="17" customFormat="false" ht="15" hidden="false" customHeight="false" outlineLevel="0" collapsed="false">
      <c r="A17" s="2" t="s">
        <v>3401</v>
      </c>
      <c r="B17" s="11" t="s">
        <v>2127</v>
      </c>
      <c r="C17" s="11" t="s">
        <v>1202</v>
      </c>
      <c r="D17" s="11" t="s">
        <v>900</v>
      </c>
      <c r="E17" s="11" t="s">
        <v>750</v>
      </c>
      <c r="F17" s="11" t="s">
        <v>3386</v>
      </c>
      <c r="H17" s="11" t="s">
        <v>258</v>
      </c>
      <c r="I17" s="11" t="s">
        <v>1144</v>
      </c>
      <c r="J17" s="11" t="s">
        <v>1145</v>
      </c>
      <c r="K17" s="11" t="s">
        <v>1144</v>
      </c>
      <c r="L17" s="11" t="s">
        <v>1145</v>
      </c>
      <c r="M17" s="11" t="s">
        <v>766</v>
      </c>
      <c r="N17" s="11" t="n">
        <v>1</v>
      </c>
      <c r="Q17" s="11" t="s">
        <v>3123</v>
      </c>
    </row>
    <row r="18" customFormat="false" ht="15" hidden="false" customHeight="false" outlineLevel="0" collapsed="false">
      <c r="A18" s="2" t="s">
        <v>3402</v>
      </c>
      <c r="B18" s="11" t="s">
        <v>2133</v>
      </c>
      <c r="C18" s="11" t="s">
        <v>1257</v>
      </c>
      <c r="D18" s="11" t="s">
        <v>882</v>
      </c>
      <c r="E18" s="11" t="s">
        <v>750</v>
      </c>
      <c r="F18" s="11" t="s">
        <v>3386</v>
      </c>
      <c r="H18" s="11" t="s">
        <v>258</v>
      </c>
      <c r="I18" s="11" t="s">
        <v>1144</v>
      </c>
      <c r="J18" s="11" t="s">
        <v>1145</v>
      </c>
      <c r="K18" s="11" t="s">
        <v>1144</v>
      </c>
      <c r="L18" s="11" t="s">
        <v>1145</v>
      </c>
      <c r="M18" s="11" t="s">
        <v>766</v>
      </c>
      <c r="N18" s="11" t="n">
        <v>1</v>
      </c>
      <c r="Q18" s="11" t="s">
        <v>3123</v>
      </c>
    </row>
    <row r="19" customFormat="false" ht="15" hidden="false" customHeight="false" outlineLevel="0" collapsed="false">
      <c r="A19" s="2" t="s">
        <v>3403</v>
      </c>
      <c r="B19" s="11" t="s">
        <v>2141</v>
      </c>
      <c r="C19" s="11" t="s">
        <v>1191</v>
      </c>
      <c r="D19" s="11" t="s">
        <v>882</v>
      </c>
      <c r="E19" s="11" t="s">
        <v>750</v>
      </c>
      <c r="F19" s="11" t="s">
        <v>3386</v>
      </c>
      <c r="H19" s="11" t="s">
        <v>258</v>
      </c>
      <c r="I19" s="11" t="s">
        <v>1144</v>
      </c>
      <c r="J19" s="11" t="s">
        <v>1145</v>
      </c>
      <c r="K19" s="11" t="s">
        <v>1144</v>
      </c>
      <c r="L19" s="11" t="s">
        <v>1145</v>
      </c>
      <c r="M19" s="11" t="s">
        <v>766</v>
      </c>
      <c r="N19" s="11" t="n">
        <v>1</v>
      </c>
      <c r="Q19" s="11" t="s">
        <v>3123</v>
      </c>
    </row>
    <row r="20" customFormat="false" ht="15" hidden="false" customHeight="false" outlineLevel="0" collapsed="false">
      <c r="A20" s="2" t="s">
        <v>3404</v>
      </c>
      <c r="B20" s="11" t="s">
        <v>2147</v>
      </c>
      <c r="C20" s="11" t="s">
        <v>1191</v>
      </c>
      <c r="D20" s="11" t="s">
        <v>882</v>
      </c>
      <c r="E20" s="11" t="s">
        <v>750</v>
      </c>
      <c r="F20" s="11" t="s">
        <v>3386</v>
      </c>
      <c r="H20" s="11" t="s">
        <v>258</v>
      </c>
      <c r="I20" s="11" t="s">
        <v>1144</v>
      </c>
      <c r="J20" s="11" t="s">
        <v>1145</v>
      </c>
      <c r="K20" s="11" t="s">
        <v>1144</v>
      </c>
      <c r="L20" s="11" t="s">
        <v>1145</v>
      </c>
      <c r="M20" s="11" t="s">
        <v>766</v>
      </c>
      <c r="N20" s="11" t="n">
        <v>1</v>
      </c>
      <c r="Q20" s="11" t="s">
        <v>3123</v>
      </c>
    </row>
    <row r="21" customFormat="false" ht="15" hidden="false" customHeight="false" outlineLevel="0" collapsed="false">
      <c r="A21" s="2" t="s">
        <v>3405</v>
      </c>
      <c r="B21" s="11" t="s">
        <v>2152</v>
      </c>
      <c r="C21" s="11" t="s">
        <v>1191</v>
      </c>
      <c r="D21" s="11" t="s">
        <v>882</v>
      </c>
      <c r="E21" s="11" t="s">
        <v>750</v>
      </c>
      <c r="F21" s="11" t="s">
        <v>3386</v>
      </c>
      <c r="H21" s="11" t="s">
        <v>258</v>
      </c>
      <c r="I21" s="11" t="s">
        <v>1144</v>
      </c>
      <c r="J21" s="11" t="s">
        <v>1145</v>
      </c>
      <c r="K21" s="11" t="s">
        <v>1144</v>
      </c>
      <c r="L21" s="11" t="s">
        <v>1145</v>
      </c>
      <c r="M21" s="11" t="s">
        <v>766</v>
      </c>
      <c r="N21" s="11" t="n">
        <v>1</v>
      </c>
      <c r="Q21" s="11" t="s">
        <v>3123</v>
      </c>
    </row>
    <row r="22" customFormat="false" ht="15" hidden="false" customHeight="false" outlineLevel="0" collapsed="false">
      <c r="A22" s="2" t="s">
        <v>3406</v>
      </c>
      <c r="B22" s="11" t="s">
        <v>2158</v>
      </c>
      <c r="C22" s="11" t="s">
        <v>1191</v>
      </c>
      <c r="D22" s="11" t="s">
        <v>882</v>
      </c>
      <c r="E22" s="11" t="s">
        <v>750</v>
      </c>
      <c r="F22" s="11" t="s">
        <v>3386</v>
      </c>
      <c r="H22" s="11" t="s">
        <v>258</v>
      </c>
      <c r="I22" s="11" t="s">
        <v>1144</v>
      </c>
      <c r="J22" s="11" t="s">
        <v>1145</v>
      </c>
      <c r="K22" s="11" t="s">
        <v>1144</v>
      </c>
      <c r="L22" s="11" t="s">
        <v>1145</v>
      </c>
      <c r="M22" s="11" t="s">
        <v>766</v>
      </c>
      <c r="N22" s="11" t="n">
        <v>1</v>
      </c>
      <c r="Q22" s="11" t="s">
        <v>3123</v>
      </c>
    </row>
    <row r="23" customFormat="false" ht="15" hidden="false" customHeight="false" outlineLevel="0" collapsed="false">
      <c r="A23" s="2" t="s">
        <v>3407</v>
      </c>
      <c r="B23" s="11" t="s">
        <v>2166</v>
      </c>
      <c r="C23" s="11" t="s">
        <v>1257</v>
      </c>
      <c r="D23" s="11" t="s">
        <v>882</v>
      </c>
      <c r="E23" s="11" t="s">
        <v>750</v>
      </c>
      <c r="F23" s="11" t="s">
        <v>3386</v>
      </c>
      <c r="H23" s="11" t="s">
        <v>258</v>
      </c>
      <c r="I23" s="11" t="s">
        <v>1144</v>
      </c>
      <c r="J23" s="11" t="s">
        <v>1145</v>
      </c>
      <c r="K23" s="11" t="s">
        <v>1144</v>
      </c>
      <c r="L23" s="11" t="s">
        <v>1145</v>
      </c>
      <c r="M23" s="11" t="s">
        <v>766</v>
      </c>
      <c r="N23" s="11" t="n">
        <v>1</v>
      </c>
      <c r="Q23" s="11" t="s">
        <v>3123</v>
      </c>
    </row>
    <row r="24" customFormat="false" ht="15" hidden="false" customHeight="false" outlineLevel="0" collapsed="false">
      <c r="A24" s="2" t="s">
        <v>3408</v>
      </c>
      <c r="B24" s="11" t="s">
        <v>2171</v>
      </c>
      <c r="C24" s="11" t="s">
        <v>1182</v>
      </c>
      <c r="D24" s="11" t="s">
        <v>827</v>
      </c>
      <c r="E24" s="11" t="s">
        <v>750</v>
      </c>
      <c r="F24" s="11" t="s">
        <v>3386</v>
      </c>
      <c r="H24" s="11" t="s">
        <v>258</v>
      </c>
      <c r="I24" s="11" t="s">
        <v>1144</v>
      </c>
      <c r="J24" s="11" t="s">
        <v>1145</v>
      </c>
      <c r="K24" s="11" t="s">
        <v>1144</v>
      </c>
      <c r="L24" s="11" t="s">
        <v>1145</v>
      </c>
      <c r="M24" s="11" t="s">
        <v>766</v>
      </c>
      <c r="N24" s="11" t="n">
        <v>1</v>
      </c>
      <c r="Q24" s="11" t="s">
        <v>3123</v>
      </c>
    </row>
    <row r="25" customFormat="false" ht="15" hidden="false" customHeight="false" outlineLevel="0" collapsed="false">
      <c r="A25" s="2" t="s">
        <v>3409</v>
      </c>
      <c r="B25" s="11" t="s">
        <v>1841</v>
      </c>
      <c r="C25" s="11" t="s">
        <v>1182</v>
      </c>
      <c r="D25" s="11" t="s">
        <v>827</v>
      </c>
      <c r="E25" s="11" t="s">
        <v>750</v>
      </c>
      <c r="F25" s="11" t="s">
        <v>3386</v>
      </c>
      <c r="H25" s="11" t="s">
        <v>258</v>
      </c>
      <c r="I25" s="11" t="s">
        <v>1144</v>
      </c>
      <c r="J25" s="11" t="s">
        <v>1145</v>
      </c>
      <c r="K25" s="11" t="s">
        <v>1144</v>
      </c>
      <c r="L25" s="11" t="s">
        <v>1145</v>
      </c>
      <c r="M25" s="11" t="s">
        <v>766</v>
      </c>
      <c r="N25" s="11" t="n">
        <v>1</v>
      </c>
      <c r="Q25" s="11" t="s">
        <v>3123</v>
      </c>
    </row>
    <row r="26" customFormat="false" ht="15" hidden="false" customHeight="false" outlineLevel="0" collapsed="false">
      <c r="A26" s="2" t="s">
        <v>3410</v>
      </c>
      <c r="B26" s="11" t="s">
        <v>1832</v>
      </c>
      <c r="C26" s="11" t="s">
        <v>1182</v>
      </c>
      <c r="D26" s="11" t="s">
        <v>805</v>
      </c>
      <c r="E26" s="11" t="s">
        <v>750</v>
      </c>
      <c r="F26" s="11" t="s">
        <v>3386</v>
      </c>
      <c r="H26" s="11" t="s">
        <v>258</v>
      </c>
      <c r="I26" s="11" t="s">
        <v>1144</v>
      </c>
      <c r="J26" s="11" t="s">
        <v>1145</v>
      </c>
      <c r="K26" s="11" t="s">
        <v>1144</v>
      </c>
      <c r="L26" s="11" t="s">
        <v>1145</v>
      </c>
      <c r="M26" s="11" t="s">
        <v>766</v>
      </c>
      <c r="N26" s="11" t="n">
        <v>1</v>
      </c>
      <c r="Q26" s="11" t="s">
        <v>3123</v>
      </c>
    </row>
    <row r="27" customFormat="false" ht="15" hidden="false" customHeight="false" outlineLevel="0" collapsed="false">
      <c r="A27" s="2" t="s">
        <v>3411</v>
      </c>
      <c r="B27" s="11" t="s">
        <v>2193</v>
      </c>
      <c r="C27" s="11" t="s">
        <v>1257</v>
      </c>
      <c r="D27" s="11" t="s">
        <v>753</v>
      </c>
      <c r="E27" s="11" t="s">
        <v>750</v>
      </c>
      <c r="F27" s="11" t="s">
        <v>3386</v>
      </c>
      <c r="H27" s="11" t="s">
        <v>258</v>
      </c>
      <c r="I27" s="11" t="s">
        <v>1144</v>
      </c>
      <c r="J27" s="11" t="s">
        <v>1145</v>
      </c>
      <c r="K27" s="11" t="s">
        <v>1144</v>
      </c>
      <c r="L27" s="11" t="s">
        <v>1145</v>
      </c>
      <c r="M27" s="11" t="s">
        <v>766</v>
      </c>
      <c r="N27" s="11" t="n">
        <v>1</v>
      </c>
      <c r="Q27" s="11" t="s">
        <v>3123</v>
      </c>
    </row>
    <row r="28" customFormat="false" ht="15" hidden="false" customHeight="false" outlineLevel="0" collapsed="false">
      <c r="A28" s="2" t="s">
        <v>3412</v>
      </c>
      <c r="B28" s="11" t="s">
        <v>2201</v>
      </c>
      <c r="C28" s="11" t="s">
        <v>1257</v>
      </c>
      <c r="D28" s="11" t="s">
        <v>805</v>
      </c>
      <c r="E28" s="11" t="s">
        <v>750</v>
      </c>
      <c r="F28" s="11" t="s">
        <v>3386</v>
      </c>
      <c r="H28" s="11" t="s">
        <v>258</v>
      </c>
      <c r="I28" s="11" t="s">
        <v>1144</v>
      </c>
      <c r="J28" s="11" t="s">
        <v>1145</v>
      </c>
      <c r="K28" s="11" t="s">
        <v>1144</v>
      </c>
      <c r="L28" s="11" t="s">
        <v>1145</v>
      </c>
      <c r="M28" s="11" t="s">
        <v>766</v>
      </c>
      <c r="N28" s="11" t="n">
        <v>1</v>
      </c>
      <c r="Q28" s="11" t="s">
        <v>3123</v>
      </c>
    </row>
    <row r="29" customFormat="false" ht="15" hidden="false" customHeight="false" outlineLevel="0" collapsed="false">
      <c r="A29" s="2" t="s">
        <v>3413</v>
      </c>
      <c r="B29" s="11" t="s">
        <v>2207</v>
      </c>
      <c r="C29" s="11" t="s">
        <v>1277</v>
      </c>
      <c r="D29" s="11" t="s">
        <v>874</v>
      </c>
      <c r="E29" s="11" t="s">
        <v>750</v>
      </c>
      <c r="F29" s="11" t="s">
        <v>3386</v>
      </c>
      <c r="H29" s="11" t="s">
        <v>258</v>
      </c>
      <c r="I29" s="11" t="s">
        <v>1144</v>
      </c>
      <c r="J29" s="11" t="s">
        <v>1145</v>
      </c>
      <c r="K29" s="11" t="s">
        <v>1144</v>
      </c>
      <c r="L29" s="11" t="s">
        <v>1145</v>
      </c>
      <c r="M29" s="11" t="s">
        <v>766</v>
      </c>
      <c r="N29" s="11" t="n">
        <v>1</v>
      </c>
      <c r="Q29" s="11" t="s">
        <v>3123</v>
      </c>
    </row>
    <row r="30" customFormat="false" ht="15" hidden="false" customHeight="false" outlineLevel="0" collapsed="false">
      <c r="A30" s="2" t="s">
        <v>3414</v>
      </c>
      <c r="B30" s="11" t="s">
        <v>1882</v>
      </c>
      <c r="C30" s="11" t="s">
        <v>1213</v>
      </c>
      <c r="D30" s="11" t="s">
        <v>890</v>
      </c>
      <c r="E30" s="11" t="s">
        <v>750</v>
      </c>
      <c r="F30" s="11" t="s">
        <v>3386</v>
      </c>
      <c r="H30" s="11" t="s">
        <v>258</v>
      </c>
      <c r="I30" s="11" t="s">
        <v>1144</v>
      </c>
      <c r="J30" s="11" t="s">
        <v>1145</v>
      </c>
      <c r="K30" s="11" t="s">
        <v>1144</v>
      </c>
      <c r="L30" s="11" t="s">
        <v>1145</v>
      </c>
      <c r="M30" s="11" t="s">
        <v>766</v>
      </c>
      <c r="N30" s="11" t="n">
        <v>1</v>
      </c>
      <c r="Q30" s="11" t="s">
        <v>3123</v>
      </c>
    </row>
    <row r="31" customFormat="false" ht="15" hidden="false" customHeight="false" outlineLevel="0" collapsed="false">
      <c r="A31" s="2" t="s">
        <v>3415</v>
      </c>
      <c r="B31" s="11" t="s">
        <v>2221</v>
      </c>
      <c r="C31" s="11" t="s">
        <v>1213</v>
      </c>
      <c r="D31" s="11" t="s">
        <v>860</v>
      </c>
      <c r="E31" s="11" t="s">
        <v>750</v>
      </c>
      <c r="F31" s="11" t="s">
        <v>3386</v>
      </c>
      <c r="H31" s="11" t="s">
        <v>258</v>
      </c>
      <c r="I31" s="11" t="s">
        <v>1144</v>
      </c>
      <c r="J31" s="11" t="s">
        <v>1145</v>
      </c>
      <c r="K31" s="11" t="s">
        <v>1144</v>
      </c>
      <c r="L31" s="11" t="s">
        <v>1145</v>
      </c>
      <c r="M31" s="11" t="s">
        <v>766</v>
      </c>
      <c r="N31" s="11" t="n">
        <v>1</v>
      </c>
      <c r="Q31" s="11" t="s">
        <v>3123</v>
      </c>
    </row>
    <row r="32" customFormat="false" ht="15" hidden="false" customHeight="false" outlineLevel="0" collapsed="false">
      <c r="A32" s="2" t="s">
        <v>3416</v>
      </c>
      <c r="B32" s="11" t="s">
        <v>2230</v>
      </c>
      <c r="C32" s="11" t="s">
        <v>1277</v>
      </c>
      <c r="D32" s="11" t="s">
        <v>874</v>
      </c>
      <c r="E32" s="11" t="s">
        <v>750</v>
      </c>
      <c r="F32" s="11" t="s">
        <v>3386</v>
      </c>
      <c r="H32" s="11" t="s">
        <v>258</v>
      </c>
      <c r="I32" s="11" t="s">
        <v>1144</v>
      </c>
      <c r="J32" s="11" t="s">
        <v>1145</v>
      </c>
      <c r="K32" s="11" t="s">
        <v>1144</v>
      </c>
      <c r="L32" s="11" t="s">
        <v>1145</v>
      </c>
      <c r="M32" s="11" t="s">
        <v>766</v>
      </c>
      <c r="N32" s="11" t="n">
        <v>1</v>
      </c>
      <c r="Q32" s="11" t="s">
        <v>3123</v>
      </c>
    </row>
    <row r="33" customFormat="false" ht="15" hidden="false" customHeight="false" outlineLevel="0" collapsed="false">
      <c r="A33" s="2" t="s">
        <v>3417</v>
      </c>
      <c r="B33" s="11" t="s">
        <v>2236</v>
      </c>
      <c r="C33" s="11" t="s">
        <v>1277</v>
      </c>
      <c r="D33" s="11" t="s">
        <v>874</v>
      </c>
      <c r="E33" s="11" t="s">
        <v>750</v>
      </c>
      <c r="F33" s="11" t="s">
        <v>3386</v>
      </c>
      <c r="H33" s="11" t="s">
        <v>258</v>
      </c>
      <c r="I33" s="11" t="s">
        <v>1144</v>
      </c>
      <c r="J33" s="11" t="s">
        <v>1145</v>
      </c>
      <c r="K33" s="11" t="s">
        <v>1144</v>
      </c>
      <c r="L33" s="11" t="s">
        <v>1145</v>
      </c>
      <c r="M33" s="11" t="s">
        <v>766</v>
      </c>
      <c r="N33" s="11" t="n">
        <v>1</v>
      </c>
      <c r="Q33" s="11" t="s">
        <v>3123</v>
      </c>
    </row>
    <row r="34" customFormat="false" ht="15" hidden="false" customHeight="false" outlineLevel="0" collapsed="false">
      <c r="A34" s="2" t="s">
        <v>3418</v>
      </c>
      <c r="B34" s="11" t="s">
        <v>2242</v>
      </c>
      <c r="C34" s="11" t="s">
        <v>1277</v>
      </c>
      <c r="D34" s="11" t="s">
        <v>874</v>
      </c>
      <c r="E34" s="11" t="s">
        <v>750</v>
      </c>
      <c r="F34" s="11" t="s">
        <v>3386</v>
      </c>
      <c r="H34" s="11" t="s">
        <v>258</v>
      </c>
      <c r="I34" s="11" t="s">
        <v>1144</v>
      </c>
      <c r="J34" s="11" t="s">
        <v>1145</v>
      </c>
      <c r="K34" s="11" t="s">
        <v>1144</v>
      </c>
      <c r="L34" s="11" t="s">
        <v>1145</v>
      </c>
      <c r="M34" s="11" t="s">
        <v>766</v>
      </c>
      <c r="N34" s="11" t="n">
        <v>1</v>
      </c>
      <c r="Q34" s="11" t="s">
        <v>3123</v>
      </c>
    </row>
    <row r="35" customFormat="false" ht="15" hidden="false" customHeight="false" outlineLevel="0" collapsed="false">
      <c r="A35" s="2" t="s">
        <v>3419</v>
      </c>
      <c r="B35" s="11" t="s">
        <v>2248</v>
      </c>
      <c r="C35" s="11" t="s">
        <v>1191</v>
      </c>
      <c r="D35" s="11" t="s">
        <v>874</v>
      </c>
      <c r="E35" s="11" t="s">
        <v>750</v>
      </c>
      <c r="F35" s="11" t="s">
        <v>3386</v>
      </c>
      <c r="H35" s="11" t="s">
        <v>258</v>
      </c>
      <c r="I35" s="11" t="s">
        <v>1144</v>
      </c>
      <c r="J35" s="11" t="s">
        <v>1145</v>
      </c>
      <c r="K35" s="11" t="s">
        <v>1144</v>
      </c>
      <c r="L35" s="11" t="s">
        <v>1145</v>
      </c>
      <c r="M35" s="11" t="s">
        <v>766</v>
      </c>
      <c r="N35" s="11" t="n">
        <v>1</v>
      </c>
      <c r="Q35" s="11" t="s">
        <v>3123</v>
      </c>
    </row>
    <row r="36" customFormat="false" ht="15" hidden="false" customHeight="false" outlineLevel="0" collapsed="false">
      <c r="A36" s="2" t="s">
        <v>3420</v>
      </c>
      <c r="B36" s="11" t="s">
        <v>2254</v>
      </c>
      <c r="C36" s="11" t="s">
        <v>1202</v>
      </c>
      <c r="D36" s="11" t="s">
        <v>874</v>
      </c>
      <c r="E36" s="11" t="s">
        <v>750</v>
      </c>
      <c r="F36" s="11" t="s">
        <v>3386</v>
      </c>
      <c r="H36" s="11" t="s">
        <v>258</v>
      </c>
      <c r="I36" s="11" t="s">
        <v>1144</v>
      </c>
      <c r="J36" s="11" t="s">
        <v>1145</v>
      </c>
      <c r="K36" s="11" t="s">
        <v>1144</v>
      </c>
      <c r="L36" s="11" t="s">
        <v>1145</v>
      </c>
      <c r="M36" s="11" t="s">
        <v>766</v>
      </c>
      <c r="N36" s="11" t="n">
        <v>1</v>
      </c>
      <c r="Q36" s="11" t="s">
        <v>3123</v>
      </c>
    </row>
    <row r="37" customFormat="false" ht="15" hidden="false" customHeight="false" outlineLevel="0" collapsed="false">
      <c r="A37" s="2" t="s">
        <v>3421</v>
      </c>
      <c r="B37" s="11" t="s">
        <v>2260</v>
      </c>
      <c r="C37" s="11" t="s">
        <v>1277</v>
      </c>
      <c r="D37" s="11" t="s">
        <v>874</v>
      </c>
      <c r="E37" s="11" t="s">
        <v>750</v>
      </c>
      <c r="F37" s="11" t="s">
        <v>3386</v>
      </c>
      <c r="H37" s="11" t="s">
        <v>258</v>
      </c>
      <c r="I37" s="11" t="s">
        <v>1144</v>
      </c>
      <c r="J37" s="11" t="s">
        <v>1145</v>
      </c>
      <c r="K37" s="11" t="s">
        <v>1144</v>
      </c>
      <c r="L37" s="11" t="s">
        <v>1145</v>
      </c>
      <c r="M37" s="11" t="s">
        <v>766</v>
      </c>
      <c r="N37" s="11" t="n">
        <v>1</v>
      </c>
      <c r="Q37" s="11" t="s">
        <v>3123</v>
      </c>
    </row>
    <row r="38" customFormat="false" ht="15" hidden="false" customHeight="false" outlineLevel="0" collapsed="false">
      <c r="A38" s="2" t="s">
        <v>3422</v>
      </c>
      <c r="B38" s="11" t="s">
        <v>2265</v>
      </c>
      <c r="C38" s="11" t="s">
        <v>1277</v>
      </c>
      <c r="D38" s="11" t="s">
        <v>874</v>
      </c>
      <c r="E38" s="11" t="s">
        <v>750</v>
      </c>
      <c r="F38" s="11" t="s">
        <v>3386</v>
      </c>
      <c r="H38" s="11" t="s">
        <v>258</v>
      </c>
      <c r="I38" s="11" t="s">
        <v>1144</v>
      </c>
      <c r="J38" s="11" t="s">
        <v>1145</v>
      </c>
      <c r="K38" s="11" t="s">
        <v>1144</v>
      </c>
      <c r="L38" s="11" t="s">
        <v>1145</v>
      </c>
      <c r="M38" s="11" t="s">
        <v>766</v>
      </c>
      <c r="N38" s="11" t="n">
        <v>1</v>
      </c>
      <c r="Q38" s="11" t="s">
        <v>3123</v>
      </c>
    </row>
    <row r="39" customFormat="false" ht="15" hidden="false" customHeight="false" outlineLevel="0" collapsed="false">
      <c r="A39" s="2" t="s">
        <v>3423</v>
      </c>
      <c r="B39" s="11" t="s">
        <v>2271</v>
      </c>
      <c r="C39" s="11" t="s">
        <v>1173</v>
      </c>
      <c r="D39" s="11" t="s">
        <v>753</v>
      </c>
      <c r="E39" s="11" t="s">
        <v>750</v>
      </c>
      <c r="F39" s="11" t="s">
        <v>3386</v>
      </c>
      <c r="H39" s="11" t="s">
        <v>258</v>
      </c>
      <c r="I39" s="11" t="s">
        <v>1144</v>
      </c>
      <c r="J39" s="11" t="s">
        <v>1145</v>
      </c>
      <c r="K39" s="11" t="s">
        <v>1144</v>
      </c>
      <c r="L39" s="11" t="s">
        <v>1145</v>
      </c>
      <c r="M39" s="11" t="s">
        <v>766</v>
      </c>
      <c r="N39" s="11" t="n">
        <v>1</v>
      </c>
      <c r="Q39" s="11" t="s">
        <v>3123</v>
      </c>
    </row>
    <row r="40" customFormat="false" ht="15" hidden="false" customHeight="false" outlineLevel="0" collapsed="false">
      <c r="A40" s="2" t="s">
        <v>3424</v>
      </c>
      <c r="B40" s="11" t="s">
        <v>2271</v>
      </c>
      <c r="C40" s="11" t="s">
        <v>1182</v>
      </c>
      <c r="D40" s="11" t="s">
        <v>753</v>
      </c>
      <c r="E40" s="11" t="s">
        <v>776</v>
      </c>
      <c r="F40" s="11" t="s">
        <v>3386</v>
      </c>
      <c r="H40" s="11" t="s">
        <v>272</v>
      </c>
      <c r="I40" s="11" t="s">
        <v>1144</v>
      </c>
      <c r="J40" s="11" t="s">
        <v>1145</v>
      </c>
      <c r="K40" s="11" t="s">
        <v>1144</v>
      </c>
      <c r="L40" s="11" t="s">
        <v>1145</v>
      </c>
      <c r="M40" s="11" t="s">
        <v>766</v>
      </c>
      <c r="N40" s="11" t="n">
        <v>1</v>
      </c>
      <c r="Q40" s="11" t="s">
        <v>3123</v>
      </c>
    </row>
    <row r="41" customFormat="false" ht="15" hidden="false" customHeight="false" outlineLevel="0" collapsed="false">
      <c r="A41" s="2" t="s">
        <v>3425</v>
      </c>
      <c r="B41" s="11" t="s">
        <v>2277</v>
      </c>
      <c r="C41" s="11" t="s">
        <v>1182</v>
      </c>
      <c r="D41" s="11" t="s">
        <v>753</v>
      </c>
      <c r="E41" s="11" t="s">
        <v>750</v>
      </c>
      <c r="F41" s="11" t="s">
        <v>3386</v>
      </c>
      <c r="H41" s="11" t="s">
        <v>258</v>
      </c>
      <c r="I41" s="11" t="s">
        <v>1144</v>
      </c>
      <c r="J41" s="11" t="s">
        <v>1145</v>
      </c>
      <c r="K41" s="11" t="s">
        <v>1144</v>
      </c>
      <c r="L41" s="11" t="s">
        <v>1145</v>
      </c>
      <c r="M41" s="11" t="s">
        <v>766</v>
      </c>
      <c r="N41" s="11" t="n">
        <v>1</v>
      </c>
      <c r="Q41" s="11" t="s">
        <v>3123</v>
      </c>
    </row>
    <row r="42" customFormat="false" ht="15" hidden="false" customHeight="false" outlineLevel="0" collapsed="false">
      <c r="A42" s="2" t="s">
        <v>3426</v>
      </c>
      <c r="B42" s="11" t="s">
        <v>1845</v>
      </c>
      <c r="C42" s="11" t="s">
        <v>1173</v>
      </c>
      <c r="D42" s="11" t="s">
        <v>805</v>
      </c>
      <c r="E42" s="11" t="s">
        <v>750</v>
      </c>
      <c r="F42" s="11" t="s">
        <v>3386</v>
      </c>
      <c r="H42" s="11" t="s">
        <v>258</v>
      </c>
      <c r="I42" s="11" t="s">
        <v>1144</v>
      </c>
      <c r="J42" s="11" t="s">
        <v>1145</v>
      </c>
      <c r="K42" s="11" t="s">
        <v>1144</v>
      </c>
      <c r="L42" s="11" t="s">
        <v>1145</v>
      </c>
      <c r="M42" s="11" t="s">
        <v>766</v>
      </c>
      <c r="N42" s="11" t="n">
        <v>1</v>
      </c>
      <c r="Q42" s="11" t="s">
        <v>3123</v>
      </c>
    </row>
    <row r="43" customFormat="false" ht="15" hidden="false" customHeight="false" outlineLevel="0" collapsed="false">
      <c r="A43" s="2" t="s">
        <v>3427</v>
      </c>
      <c r="B43" s="11" t="s">
        <v>1845</v>
      </c>
      <c r="C43" s="11" t="s">
        <v>1182</v>
      </c>
      <c r="D43" s="11" t="s">
        <v>805</v>
      </c>
      <c r="E43" s="11" t="s">
        <v>776</v>
      </c>
      <c r="F43" s="11" t="s">
        <v>3386</v>
      </c>
      <c r="H43" s="11" t="s">
        <v>272</v>
      </c>
      <c r="I43" s="11" t="s">
        <v>1144</v>
      </c>
      <c r="J43" s="11" t="s">
        <v>1145</v>
      </c>
      <c r="K43" s="11" t="s">
        <v>1144</v>
      </c>
      <c r="L43" s="11" t="s">
        <v>1145</v>
      </c>
      <c r="M43" s="11" t="s">
        <v>766</v>
      </c>
      <c r="N43" s="11" t="n">
        <v>1</v>
      </c>
      <c r="Q43" s="11" t="s">
        <v>3123</v>
      </c>
    </row>
    <row r="44" customFormat="false" ht="15" hidden="false" customHeight="false" outlineLevel="0" collapsed="false">
      <c r="A44" s="2" t="s">
        <v>3428</v>
      </c>
      <c r="B44" s="11" t="s">
        <v>2287</v>
      </c>
      <c r="C44" s="11" t="s">
        <v>1233</v>
      </c>
      <c r="D44" s="11" t="s">
        <v>805</v>
      </c>
      <c r="E44" s="11" t="s">
        <v>750</v>
      </c>
      <c r="F44" s="11" t="s">
        <v>3386</v>
      </c>
      <c r="H44" s="11" t="s">
        <v>258</v>
      </c>
      <c r="I44" s="11" t="s">
        <v>1144</v>
      </c>
      <c r="J44" s="11" t="s">
        <v>1145</v>
      </c>
      <c r="K44" s="11" t="s">
        <v>1144</v>
      </c>
      <c r="L44" s="11" t="s">
        <v>1145</v>
      </c>
      <c r="M44" s="11" t="s">
        <v>766</v>
      </c>
      <c r="N44" s="11" t="n">
        <v>1</v>
      </c>
      <c r="Q44" s="11" t="s">
        <v>3123</v>
      </c>
    </row>
    <row r="45" customFormat="false" ht="15" hidden="false" customHeight="false" outlineLevel="0" collapsed="false">
      <c r="A45" s="2" t="s">
        <v>3429</v>
      </c>
      <c r="B45" s="11" t="s">
        <v>2294</v>
      </c>
      <c r="C45" s="11" t="s">
        <v>1182</v>
      </c>
      <c r="D45" s="11" t="s">
        <v>827</v>
      </c>
      <c r="E45" s="11" t="s">
        <v>750</v>
      </c>
      <c r="F45" s="11" t="s">
        <v>3386</v>
      </c>
      <c r="H45" s="11" t="s">
        <v>258</v>
      </c>
      <c r="I45" s="11" t="s">
        <v>1144</v>
      </c>
      <c r="J45" s="11" t="s">
        <v>1145</v>
      </c>
      <c r="K45" s="11" t="s">
        <v>1144</v>
      </c>
      <c r="L45" s="11" t="s">
        <v>1145</v>
      </c>
      <c r="M45" s="11" t="s">
        <v>766</v>
      </c>
      <c r="N45" s="11" t="n">
        <v>1</v>
      </c>
      <c r="Q45" s="11" t="s">
        <v>3123</v>
      </c>
    </row>
    <row r="46" customFormat="false" ht="15" hidden="false" customHeight="false" outlineLevel="0" collapsed="false">
      <c r="A46" s="2" t="s">
        <v>3430</v>
      </c>
      <c r="B46" s="11" t="s">
        <v>2299</v>
      </c>
      <c r="C46" s="11" t="s">
        <v>1213</v>
      </c>
      <c r="D46" s="11" t="s">
        <v>805</v>
      </c>
      <c r="E46" s="11" t="s">
        <v>750</v>
      </c>
      <c r="F46" s="11" t="s">
        <v>3386</v>
      </c>
      <c r="H46" s="11" t="s">
        <v>258</v>
      </c>
      <c r="I46" s="11" t="s">
        <v>1144</v>
      </c>
      <c r="J46" s="11" t="s">
        <v>1145</v>
      </c>
      <c r="K46" s="11" t="s">
        <v>1144</v>
      </c>
      <c r="L46" s="11" t="s">
        <v>1145</v>
      </c>
      <c r="M46" s="11" t="s">
        <v>766</v>
      </c>
      <c r="N46" s="11" t="n">
        <v>1</v>
      </c>
      <c r="Q46" s="11" t="s">
        <v>3123</v>
      </c>
    </row>
    <row r="47" customFormat="false" ht="15" hidden="false" customHeight="false" outlineLevel="0" collapsed="false">
      <c r="A47" s="2" t="s">
        <v>3431</v>
      </c>
      <c r="B47" s="11" t="s">
        <v>2305</v>
      </c>
      <c r="C47" s="11" t="s">
        <v>1257</v>
      </c>
      <c r="D47" s="11" t="s">
        <v>890</v>
      </c>
      <c r="E47" s="11" t="s">
        <v>750</v>
      </c>
      <c r="F47" s="11" t="s">
        <v>3386</v>
      </c>
      <c r="H47" s="11" t="s">
        <v>258</v>
      </c>
      <c r="I47" s="11" t="s">
        <v>1144</v>
      </c>
      <c r="J47" s="11" t="s">
        <v>1145</v>
      </c>
      <c r="K47" s="11" t="s">
        <v>1144</v>
      </c>
      <c r="L47" s="11" t="s">
        <v>1145</v>
      </c>
      <c r="M47" s="11" t="s">
        <v>766</v>
      </c>
      <c r="N47" s="11" t="n">
        <v>1</v>
      </c>
      <c r="Q47" s="11" t="s">
        <v>3123</v>
      </c>
    </row>
    <row r="48" customFormat="false" ht="15" hidden="false" customHeight="false" outlineLevel="0" collapsed="false">
      <c r="A48" s="2" t="s">
        <v>3432</v>
      </c>
      <c r="B48" s="11" t="s">
        <v>2311</v>
      </c>
      <c r="C48" s="11" t="s">
        <v>1285</v>
      </c>
      <c r="D48" s="11" t="s">
        <v>860</v>
      </c>
      <c r="E48" s="11" t="s">
        <v>750</v>
      </c>
      <c r="F48" s="11" t="s">
        <v>3386</v>
      </c>
      <c r="H48" s="11" t="s">
        <v>258</v>
      </c>
      <c r="I48" s="11" t="s">
        <v>1144</v>
      </c>
      <c r="J48" s="11" t="s">
        <v>1145</v>
      </c>
      <c r="K48" s="11" t="s">
        <v>1144</v>
      </c>
      <c r="L48" s="11" t="s">
        <v>1145</v>
      </c>
      <c r="M48" s="11" t="s">
        <v>766</v>
      </c>
      <c r="N48" s="11" t="n">
        <v>1</v>
      </c>
      <c r="Q48" s="11" t="s">
        <v>3123</v>
      </c>
    </row>
    <row r="49" customFormat="false" ht="15" hidden="false" customHeight="false" outlineLevel="0" collapsed="false">
      <c r="A49" s="2" t="s">
        <v>3433</v>
      </c>
      <c r="B49" s="11" t="s">
        <v>2317</v>
      </c>
      <c r="C49" s="11" t="s">
        <v>1285</v>
      </c>
      <c r="D49" s="11" t="s">
        <v>860</v>
      </c>
      <c r="E49" s="11" t="s">
        <v>750</v>
      </c>
      <c r="F49" s="11" t="s">
        <v>3386</v>
      </c>
      <c r="H49" s="11" t="s">
        <v>258</v>
      </c>
      <c r="I49" s="11" t="s">
        <v>1144</v>
      </c>
      <c r="J49" s="11" t="s">
        <v>1145</v>
      </c>
      <c r="K49" s="11" t="s">
        <v>1144</v>
      </c>
      <c r="L49" s="11" t="s">
        <v>1145</v>
      </c>
      <c r="M49" s="11" t="s">
        <v>766</v>
      </c>
      <c r="N49" s="11" t="n">
        <v>1</v>
      </c>
      <c r="Q49" s="11" t="s">
        <v>3123</v>
      </c>
    </row>
    <row r="50" customFormat="false" ht="15" hidden="false" customHeight="false" outlineLevel="0" collapsed="false">
      <c r="A50" s="2" t="s">
        <v>3434</v>
      </c>
      <c r="B50" s="11" t="s">
        <v>2322</v>
      </c>
      <c r="C50" s="11" t="s">
        <v>1249</v>
      </c>
      <c r="D50" s="11" t="s">
        <v>890</v>
      </c>
      <c r="E50" s="11" t="s">
        <v>750</v>
      </c>
      <c r="F50" s="11" t="s">
        <v>3386</v>
      </c>
      <c r="H50" s="11" t="s">
        <v>258</v>
      </c>
      <c r="I50" s="11" t="s">
        <v>1144</v>
      </c>
      <c r="J50" s="11" t="s">
        <v>1145</v>
      </c>
      <c r="K50" s="11" t="s">
        <v>1144</v>
      </c>
      <c r="L50" s="11" t="s">
        <v>1145</v>
      </c>
      <c r="M50" s="11" t="s">
        <v>766</v>
      </c>
      <c r="N50" s="11" t="n">
        <v>1</v>
      </c>
      <c r="Q50" s="11" t="s">
        <v>3123</v>
      </c>
    </row>
    <row r="51" customFormat="false" ht="15" hidden="false" customHeight="false" outlineLevel="0" collapsed="false">
      <c r="A51" s="2" t="s">
        <v>3435</v>
      </c>
      <c r="B51" s="11" t="s">
        <v>2329</v>
      </c>
      <c r="C51" s="11" t="s">
        <v>1191</v>
      </c>
      <c r="D51" s="11" t="s">
        <v>882</v>
      </c>
      <c r="E51" s="11" t="s">
        <v>750</v>
      </c>
      <c r="F51" s="11" t="s">
        <v>3386</v>
      </c>
      <c r="H51" s="11" t="s">
        <v>258</v>
      </c>
      <c r="I51" s="11" t="s">
        <v>1144</v>
      </c>
      <c r="J51" s="11" t="s">
        <v>1145</v>
      </c>
      <c r="K51" s="11" t="s">
        <v>1144</v>
      </c>
      <c r="L51" s="11" t="s">
        <v>1145</v>
      </c>
      <c r="M51" s="11" t="s">
        <v>766</v>
      </c>
      <c r="N51" s="11" t="n">
        <v>1</v>
      </c>
      <c r="Q51" s="11" t="s">
        <v>3123</v>
      </c>
    </row>
    <row r="52" customFormat="false" ht="15" hidden="false" customHeight="false" outlineLevel="0" collapsed="false">
      <c r="A52" s="2" t="s">
        <v>3436</v>
      </c>
      <c r="B52" s="11" t="s">
        <v>2335</v>
      </c>
      <c r="C52" s="11" t="s">
        <v>1257</v>
      </c>
      <c r="D52" s="11" t="s">
        <v>753</v>
      </c>
      <c r="E52" s="11" t="s">
        <v>750</v>
      </c>
      <c r="F52" s="11" t="s">
        <v>3386</v>
      </c>
      <c r="H52" s="11" t="s">
        <v>258</v>
      </c>
      <c r="I52" s="11" t="s">
        <v>1144</v>
      </c>
      <c r="J52" s="11" t="s">
        <v>1145</v>
      </c>
      <c r="K52" s="11" t="s">
        <v>1144</v>
      </c>
      <c r="L52" s="11" t="s">
        <v>1145</v>
      </c>
      <c r="M52" s="11" t="s">
        <v>766</v>
      </c>
      <c r="N52" s="11" t="n">
        <v>1</v>
      </c>
      <c r="Q52" s="11" t="s">
        <v>3123</v>
      </c>
    </row>
    <row r="53" customFormat="false" ht="15" hidden="false" customHeight="false" outlineLevel="0" collapsed="false">
      <c r="A53" s="2" t="s">
        <v>3437</v>
      </c>
      <c r="B53" s="11" t="s">
        <v>2340</v>
      </c>
      <c r="C53" s="11" t="s">
        <v>1202</v>
      </c>
      <c r="D53" s="11" t="s">
        <v>753</v>
      </c>
      <c r="E53" s="11" t="s">
        <v>750</v>
      </c>
      <c r="F53" s="11" t="s">
        <v>3386</v>
      </c>
      <c r="H53" s="11" t="s">
        <v>258</v>
      </c>
      <c r="I53" s="11" t="s">
        <v>1144</v>
      </c>
      <c r="J53" s="11" t="s">
        <v>1145</v>
      </c>
      <c r="K53" s="11" t="s">
        <v>1144</v>
      </c>
      <c r="L53" s="11" t="s">
        <v>1145</v>
      </c>
      <c r="M53" s="11" t="s">
        <v>766</v>
      </c>
      <c r="N53" s="11" t="n">
        <v>1</v>
      </c>
      <c r="Q53" s="11" t="s">
        <v>3123</v>
      </c>
    </row>
    <row r="54" customFormat="false" ht="15" hidden="false" customHeight="false" outlineLevel="0" collapsed="false">
      <c r="A54" s="2" t="s">
        <v>3438</v>
      </c>
      <c r="B54" s="11" t="s">
        <v>2345</v>
      </c>
      <c r="C54" s="11" t="s">
        <v>1277</v>
      </c>
      <c r="D54" s="11" t="s">
        <v>874</v>
      </c>
      <c r="E54" s="11" t="s">
        <v>750</v>
      </c>
      <c r="F54" s="11" t="s">
        <v>3386</v>
      </c>
      <c r="H54" s="11" t="s">
        <v>258</v>
      </c>
      <c r="I54" s="11" t="s">
        <v>1144</v>
      </c>
      <c r="J54" s="11" t="s">
        <v>1145</v>
      </c>
      <c r="K54" s="11" t="s">
        <v>1144</v>
      </c>
      <c r="L54" s="11" t="s">
        <v>1145</v>
      </c>
      <c r="M54" s="11" t="s">
        <v>766</v>
      </c>
      <c r="N54" s="11" t="n">
        <v>1</v>
      </c>
      <c r="Q54" s="11" t="s">
        <v>3123</v>
      </c>
    </row>
    <row r="55" customFormat="false" ht="15" hidden="false" customHeight="false" outlineLevel="0" collapsed="false">
      <c r="A55" s="2" t="s">
        <v>3439</v>
      </c>
      <c r="B55" s="11" t="s">
        <v>2352</v>
      </c>
      <c r="C55" s="11" t="s">
        <v>1277</v>
      </c>
      <c r="D55" s="11" t="s">
        <v>874</v>
      </c>
      <c r="E55" s="11" t="s">
        <v>750</v>
      </c>
      <c r="F55" s="11" t="s">
        <v>3386</v>
      </c>
      <c r="H55" s="11" t="s">
        <v>258</v>
      </c>
      <c r="I55" s="11" t="s">
        <v>1144</v>
      </c>
      <c r="J55" s="11" t="s">
        <v>1145</v>
      </c>
      <c r="K55" s="11" t="s">
        <v>1144</v>
      </c>
      <c r="L55" s="11" t="s">
        <v>1145</v>
      </c>
      <c r="M55" s="11" t="s">
        <v>766</v>
      </c>
      <c r="N55" s="11" t="n">
        <v>1</v>
      </c>
      <c r="Q55" s="11" t="s">
        <v>3123</v>
      </c>
    </row>
    <row r="56" customFormat="false" ht="15" hidden="false" customHeight="false" outlineLevel="0" collapsed="false">
      <c r="A56" s="2" t="s">
        <v>3440</v>
      </c>
      <c r="B56" s="11" t="s">
        <v>2359</v>
      </c>
      <c r="C56" s="11" t="s">
        <v>1277</v>
      </c>
      <c r="D56" s="11" t="s">
        <v>874</v>
      </c>
      <c r="E56" s="11" t="s">
        <v>750</v>
      </c>
      <c r="F56" s="11" t="s">
        <v>3386</v>
      </c>
      <c r="H56" s="11" t="s">
        <v>258</v>
      </c>
      <c r="I56" s="11" t="s">
        <v>1144</v>
      </c>
      <c r="J56" s="11" t="s">
        <v>1145</v>
      </c>
      <c r="K56" s="11" t="s">
        <v>1144</v>
      </c>
      <c r="L56" s="11" t="s">
        <v>1145</v>
      </c>
      <c r="M56" s="11" t="s">
        <v>766</v>
      </c>
      <c r="N56" s="11" t="n">
        <v>1</v>
      </c>
      <c r="Q56" s="11" t="s">
        <v>3123</v>
      </c>
    </row>
    <row r="57" customFormat="false" ht="15" hidden="false" customHeight="false" outlineLevel="0" collapsed="false">
      <c r="A57" s="2" t="s">
        <v>3441</v>
      </c>
      <c r="B57" s="11" t="s">
        <v>2366</v>
      </c>
      <c r="C57" s="11" t="s">
        <v>1202</v>
      </c>
      <c r="D57" s="11" t="s">
        <v>874</v>
      </c>
      <c r="E57" s="11" t="s">
        <v>750</v>
      </c>
      <c r="F57" s="11" t="s">
        <v>3386</v>
      </c>
      <c r="H57" s="11" t="s">
        <v>258</v>
      </c>
      <c r="I57" s="11" t="s">
        <v>1144</v>
      </c>
      <c r="J57" s="11" t="s">
        <v>1145</v>
      </c>
      <c r="K57" s="11" t="s">
        <v>1144</v>
      </c>
      <c r="L57" s="11" t="s">
        <v>1145</v>
      </c>
      <c r="M57" s="11" t="s">
        <v>766</v>
      </c>
      <c r="N57" s="11" t="n">
        <v>1</v>
      </c>
      <c r="Q57" s="11" t="s">
        <v>3123</v>
      </c>
    </row>
    <row r="58" customFormat="false" ht="15" hidden="false" customHeight="false" outlineLevel="0" collapsed="false">
      <c r="A58" s="2" t="s">
        <v>3442</v>
      </c>
      <c r="B58" s="11" t="s">
        <v>2373</v>
      </c>
      <c r="C58" s="11" t="s">
        <v>1233</v>
      </c>
      <c r="D58" s="11" t="s">
        <v>896</v>
      </c>
      <c r="E58" s="11" t="s">
        <v>750</v>
      </c>
      <c r="F58" s="11" t="s">
        <v>3386</v>
      </c>
      <c r="H58" s="11" t="s">
        <v>258</v>
      </c>
      <c r="I58" s="11" t="s">
        <v>1144</v>
      </c>
      <c r="J58" s="11" t="s">
        <v>1145</v>
      </c>
      <c r="K58" s="11" t="s">
        <v>1144</v>
      </c>
      <c r="L58" s="11" t="s">
        <v>1145</v>
      </c>
      <c r="M58" s="11" t="s">
        <v>766</v>
      </c>
      <c r="N58" s="11" t="n">
        <v>1</v>
      </c>
      <c r="Q58" s="11" t="s">
        <v>3123</v>
      </c>
    </row>
    <row r="59" customFormat="false" ht="15" hidden="false" customHeight="false" outlineLevel="0" collapsed="false">
      <c r="A59" s="2" t="s">
        <v>3443</v>
      </c>
      <c r="B59" s="11" t="s">
        <v>2380</v>
      </c>
      <c r="C59" s="11" t="s">
        <v>1277</v>
      </c>
      <c r="D59" s="11" t="s">
        <v>874</v>
      </c>
      <c r="E59" s="11" t="s">
        <v>750</v>
      </c>
      <c r="F59" s="11" t="s">
        <v>3386</v>
      </c>
      <c r="H59" s="11" t="s">
        <v>258</v>
      </c>
      <c r="I59" s="11" t="s">
        <v>1144</v>
      </c>
      <c r="J59" s="11" t="s">
        <v>1145</v>
      </c>
      <c r="K59" s="11" t="s">
        <v>1144</v>
      </c>
      <c r="L59" s="11" t="s">
        <v>1145</v>
      </c>
      <c r="M59" s="11" t="s">
        <v>766</v>
      </c>
      <c r="N59" s="11" t="n">
        <v>1</v>
      </c>
      <c r="Q59" s="11" t="s">
        <v>3123</v>
      </c>
    </row>
    <row r="60" customFormat="false" ht="15" hidden="false" customHeight="false" outlineLevel="0" collapsed="false">
      <c r="A60" s="2" t="s">
        <v>3444</v>
      </c>
      <c r="B60" s="11" t="s">
        <v>2387</v>
      </c>
      <c r="C60" s="11" t="s">
        <v>1277</v>
      </c>
      <c r="D60" s="11" t="s">
        <v>874</v>
      </c>
      <c r="E60" s="11" t="s">
        <v>750</v>
      </c>
      <c r="F60" s="11" t="s">
        <v>3386</v>
      </c>
      <c r="H60" s="11" t="s">
        <v>258</v>
      </c>
      <c r="I60" s="11" t="s">
        <v>1144</v>
      </c>
      <c r="J60" s="11" t="s">
        <v>1145</v>
      </c>
      <c r="K60" s="11" t="s">
        <v>1144</v>
      </c>
      <c r="L60" s="11" t="s">
        <v>1145</v>
      </c>
      <c r="M60" s="11" t="s">
        <v>766</v>
      </c>
      <c r="N60" s="11" t="n">
        <v>1</v>
      </c>
      <c r="Q60" s="11" t="s">
        <v>3123</v>
      </c>
    </row>
    <row r="61" customFormat="false" ht="15" hidden="false" customHeight="false" outlineLevel="0" collapsed="false">
      <c r="A61" s="2" t="s">
        <v>3445</v>
      </c>
      <c r="B61" s="11" t="s">
        <v>2394</v>
      </c>
      <c r="C61" s="11" t="s">
        <v>1257</v>
      </c>
      <c r="D61" s="11" t="s">
        <v>900</v>
      </c>
      <c r="E61" s="11" t="s">
        <v>750</v>
      </c>
      <c r="F61" s="11" t="s">
        <v>3386</v>
      </c>
      <c r="H61" s="11" t="s">
        <v>258</v>
      </c>
      <c r="I61" s="11" t="s">
        <v>1144</v>
      </c>
      <c r="J61" s="11" t="s">
        <v>1145</v>
      </c>
      <c r="K61" s="11" t="s">
        <v>1144</v>
      </c>
      <c r="L61" s="11" t="s">
        <v>1145</v>
      </c>
      <c r="M61" s="11" t="s">
        <v>766</v>
      </c>
      <c r="N61" s="11" t="n">
        <v>1</v>
      </c>
      <c r="Q61" s="11" t="s">
        <v>3123</v>
      </c>
    </row>
    <row r="62" customFormat="false" ht="15" hidden="false" customHeight="false" outlineLevel="0" collapsed="false">
      <c r="A62" s="2" t="s">
        <v>3446</v>
      </c>
      <c r="B62" s="11" t="s">
        <v>2401</v>
      </c>
      <c r="C62" s="11" t="s">
        <v>1163</v>
      </c>
      <c r="D62" s="11" t="s">
        <v>882</v>
      </c>
      <c r="E62" s="11" t="s">
        <v>750</v>
      </c>
      <c r="F62" s="11" t="s">
        <v>3386</v>
      </c>
      <c r="H62" s="11" t="s">
        <v>258</v>
      </c>
      <c r="I62" s="11" t="s">
        <v>1144</v>
      </c>
      <c r="J62" s="11" t="s">
        <v>1145</v>
      </c>
      <c r="K62" s="11" t="s">
        <v>1144</v>
      </c>
      <c r="L62" s="11" t="s">
        <v>1145</v>
      </c>
      <c r="M62" s="11" t="s">
        <v>766</v>
      </c>
      <c r="N62" s="11" t="n">
        <v>1</v>
      </c>
      <c r="Q62" s="11" t="s">
        <v>3123</v>
      </c>
    </row>
    <row r="63" customFormat="false" ht="15" hidden="false" customHeight="false" outlineLevel="0" collapsed="false">
      <c r="A63" s="2" t="s">
        <v>3447</v>
      </c>
      <c r="B63" s="11" t="s">
        <v>2408</v>
      </c>
      <c r="C63" s="11" t="s">
        <v>1191</v>
      </c>
      <c r="D63" s="11" t="s">
        <v>882</v>
      </c>
      <c r="E63" s="11" t="s">
        <v>750</v>
      </c>
      <c r="F63" s="11" t="s">
        <v>3386</v>
      </c>
      <c r="H63" s="11" t="s">
        <v>258</v>
      </c>
      <c r="I63" s="11" t="s">
        <v>1144</v>
      </c>
      <c r="J63" s="11" t="s">
        <v>1145</v>
      </c>
      <c r="K63" s="11" t="s">
        <v>1144</v>
      </c>
      <c r="L63" s="11" t="s">
        <v>1145</v>
      </c>
      <c r="M63" s="11" t="s">
        <v>766</v>
      </c>
      <c r="N63" s="11" t="n">
        <v>1</v>
      </c>
      <c r="Q63" s="11" t="s">
        <v>3123</v>
      </c>
    </row>
    <row r="64" customFormat="false" ht="15" hidden="false" customHeight="false" outlineLevel="0" collapsed="false">
      <c r="A64" s="2" t="s">
        <v>3448</v>
      </c>
      <c r="B64" s="11" t="s">
        <v>2415</v>
      </c>
      <c r="C64" s="11" t="s">
        <v>1182</v>
      </c>
      <c r="D64" s="11" t="s">
        <v>805</v>
      </c>
      <c r="E64" s="11" t="s">
        <v>750</v>
      </c>
      <c r="F64" s="11" t="s">
        <v>3386</v>
      </c>
      <c r="H64" s="11" t="s">
        <v>258</v>
      </c>
      <c r="I64" s="11" t="s">
        <v>1144</v>
      </c>
      <c r="J64" s="11" t="s">
        <v>1145</v>
      </c>
      <c r="K64" s="11" t="s">
        <v>1144</v>
      </c>
      <c r="L64" s="11" t="s">
        <v>1145</v>
      </c>
      <c r="M64" s="11" t="s">
        <v>766</v>
      </c>
      <c r="N64" s="11" t="n">
        <v>1</v>
      </c>
      <c r="Q64" s="11" t="s">
        <v>3123</v>
      </c>
    </row>
    <row r="65" customFormat="false" ht="15" hidden="false" customHeight="false" outlineLevel="0" collapsed="false">
      <c r="A65" s="2" t="s">
        <v>3449</v>
      </c>
      <c r="B65" s="11" t="s">
        <v>2422</v>
      </c>
      <c r="C65" s="11" t="s">
        <v>1182</v>
      </c>
      <c r="D65" s="11" t="s">
        <v>805</v>
      </c>
      <c r="E65" s="11" t="s">
        <v>750</v>
      </c>
      <c r="F65" s="11" t="s">
        <v>3386</v>
      </c>
      <c r="H65" s="11" t="s">
        <v>258</v>
      </c>
      <c r="I65" s="11" t="s">
        <v>1144</v>
      </c>
      <c r="J65" s="11" t="s">
        <v>1145</v>
      </c>
      <c r="K65" s="11" t="s">
        <v>1144</v>
      </c>
      <c r="L65" s="11" t="s">
        <v>1145</v>
      </c>
      <c r="M65" s="11" t="s">
        <v>766</v>
      </c>
      <c r="N65" s="11" t="n">
        <v>1</v>
      </c>
      <c r="Q65" s="11" t="s">
        <v>3123</v>
      </c>
    </row>
    <row r="66" customFormat="false" ht="15" hidden="false" customHeight="false" outlineLevel="0" collapsed="false">
      <c r="A66" s="2" t="s">
        <v>3450</v>
      </c>
      <c r="B66" s="11" t="s">
        <v>2429</v>
      </c>
      <c r="C66" s="11" t="s">
        <v>1257</v>
      </c>
      <c r="D66" s="11" t="s">
        <v>805</v>
      </c>
      <c r="E66" s="11" t="s">
        <v>750</v>
      </c>
      <c r="F66" s="11" t="s">
        <v>3386</v>
      </c>
      <c r="H66" s="11" t="s">
        <v>258</v>
      </c>
      <c r="I66" s="11" t="s">
        <v>1144</v>
      </c>
      <c r="J66" s="11" t="s">
        <v>1145</v>
      </c>
      <c r="K66" s="11" t="s">
        <v>1144</v>
      </c>
      <c r="L66" s="11" t="s">
        <v>1145</v>
      </c>
      <c r="M66" s="11" t="s">
        <v>766</v>
      </c>
      <c r="N66" s="11" t="n">
        <v>1</v>
      </c>
      <c r="Q66" s="11" t="s">
        <v>3123</v>
      </c>
    </row>
    <row r="67" customFormat="false" ht="15" hidden="false" customHeight="false" outlineLevel="0" collapsed="false">
      <c r="A67" s="2" t="s">
        <v>3451</v>
      </c>
      <c r="B67" s="11" t="s">
        <v>2436</v>
      </c>
      <c r="C67" s="11" t="s">
        <v>1257</v>
      </c>
      <c r="D67" s="11" t="s">
        <v>805</v>
      </c>
      <c r="E67" s="11" t="s">
        <v>750</v>
      </c>
      <c r="F67" s="11" t="s">
        <v>3386</v>
      </c>
      <c r="H67" s="11" t="s">
        <v>258</v>
      </c>
      <c r="I67" s="11" t="s">
        <v>1144</v>
      </c>
      <c r="J67" s="11" t="s">
        <v>1145</v>
      </c>
      <c r="K67" s="11" t="s">
        <v>1144</v>
      </c>
      <c r="L67" s="11" t="s">
        <v>1145</v>
      </c>
      <c r="M67" s="11" t="s">
        <v>766</v>
      </c>
      <c r="N67" s="11" t="n">
        <v>1</v>
      </c>
      <c r="Q67" s="11" t="s">
        <v>3123</v>
      </c>
    </row>
    <row r="68" customFormat="false" ht="15" hidden="false" customHeight="false" outlineLevel="0" collapsed="false">
      <c r="A68" s="2" t="s">
        <v>3452</v>
      </c>
      <c r="B68" s="11" t="s">
        <v>2443</v>
      </c>
      <c r="C68" s="11" t="s">
        <v>1191</v>
      </c>
      <c r="D68" s="11" t="s">
        <v>882</v>
      </c>
      <c r="E68" s="11" t="s">
        <v>750</v>
      </c>
      <c r="F68" s="11" t="s">
        <v>3386</v>
      </c>
      <c r="H68" s="11" t="s">
        <v>258</v>
      </c>
      <c r="I68" s="11" t="s">
        <v>1144</v>
      </c>
      <c r="J68" s="11" t="s">
        <v>1145</v>
      </c>
      <c r="K68" s="11" t="s">
        <v>1144</v>
      </c>
      <c r="L68" s="11" t="s">
        <v>1145</v>
      </c>
      <c r="M68" s="11" t="s">
        <v>766</v>
      </c>
      <c r="N68" s="11" t="n">
        <v>1</v>
      </c>
      <c r="Q68" s="11" t="s">
        <v>3123</v>
      </c>
    </row>
    <row r="69" customFormat="false" ht="15" hidden="false" customHeight="false" outlineLevel="0" collapsed="false">
      <c r="A69" s="2" t="s">
        <v>3453</v>
      </c>
      <c r="B69" s="11" t="s">
        <v>2450</v>
      </c>
      <c r="C69" s="11" t="s">
        <v>1257</v>
      </c>
      <c r="D69" s="11" t="s">
        <v>860</v>
      </c>
      <c r="E69" s="11" t="s">
        <v>750</v>
      </c>
      <c r="F69" s="11" t="s">
        <v>3386</v>
      </c>
      <c r="H69" s="11" t="s">
        <v>258</v>
      </c>
      <c r="I69" s="11" t="s">
        <v>1144</v>
      </c>
      <c r="J69" s="11" t="s">
        <v>1145</v>
      </c>
      <c r="K69" s="11" t="s">
        <v>1144</v>
      </c>
      <c r="L69" s="11" t="s">
        <v>1145</v>
      </c>
      <c r="M69" s="11" t="s">
        <v>766</v>
      </c>
      <c r="N69" s="11" t="n">
        <v>1</v>
      </c>
      <c r="Q69" s="11" t="s">
        <v>3123</v>
      </c>
    </row>
    <row r="70" customFormat="false" ht="15" hidden="false" customHeight="false" outlineLevel="0" collapsed="false">
      <c r="A70" s="2" t="s">
        <v>3454</v>
      </c>
      <c r="B70" s="11" t="s">
        <v>2456</v>
      </c>
      <c r="C70" s="11" t="s">
        <v>1257</v>
      </c>
      <c r="D70" s="11" t="s">
        <v>882</v>
      </c>
      <c r="E70" s="11" t="s">
        <v>750</v>
      </c>
      <c r="F70" s="11" t="s">
        <v>3386</v>
      </c>
      <c r="H70" s="11" t="s">
        <v>258</v>
      </c>
      <c r="I70" s="11" t="s">
        <v>1144</v>
      </c>
      <c r="J70" s="11" t="s">
        <v>1145</v>
      </c>
      <c r="K70" s="11" t="s">
        <v>1144</v>
      </c>
      <c r="L70" s="11" t="s">
        <v>1145</v>
      </c>
      <c r="M70" s="11" t="s">
        <v>766</v>
      </c>
      <c r="N70" s="11" t="n">
        <v>1</v>
      </c>
      <c r="Q70" s="11" t="s">
        <v>3123</v>
      </c>
    </row>
    <row r="71" customFormat="false" ht="15" hidden="false" customHeight="false" outlineLevel="0" collapsed="false">
      <c r="A71" s="2" t="s">
        <v>3455</v>
      </c>
      <c r="B71" s="11" t="s">
        <v>2462</v>
      </c>
      <c r="C71" s="11" t="s">
        <v>1202</v>
      </c>
      <c r="D71" s="11" t="s">
        <v>874</v>
      </c>
      <c r="E71" s="11" t="s">
        <v>750</v>
      </c>
      <c r="F71" s="11" t="s">
        <v>3386</v>
      </c>
      <c r="H71" s="11" t="s">
        <v>258</v>
      </c>
      <c r="I71" s="11" t="s">
        <v>1144</v>
      </c>
      <c r="J71" s="11" t="s">
        <v>1145</v>
      </c>
      <c r="K71" s="11" t="s">
        <v>1144</v>
      </c>
      <c r="L71" s="11" t="s">
        <v>1145</v>
      </c>
      <c r="M71" s="11" t="s">
        <v>766</v>
      </c>
      <c r="N71" s="11" t="n">
        <v>1</v>
      </c>
      <c r="Q71" s="11" t="s">
        <v>3123</v>
      </c>
    </row>
    <row r="72" customFormat="false" ht="15" hidden="false" customHeight="false" outlineLevel="0" collapsed="false">
      <c r="A72" s="2" t="s">
        <v>3456</v>
      </c>
      <c r="B72" s="11" t="s">
        <v>2467</v>
      </c>
      <c r="C72" s="11" t="s">
        <v>1202</v>
      </c>
      <c r="D72" s="11" t="s">
        <v>900</v>
      </c>
      <c r="E72" s="11" t="s">
        <v>750</v>
      </c>
      <c r="F72" s="11" t="s">
        <v>3386</v>
      </c>
      <c r="H72" s="11" t="s">
        <v>258</v>
      </c>
      <c r="I72" s="11" t="s">
        <v>1144</v>
      </c>
      <c r="J72" s="11" t="s">
        <v>1145</v>
      </c>
      <c r="K72" s="11" t="s">
        <v>1144</v>
      </c>
      <c r="L72" s="11" t="s">
        <v>1145</v>
      </c>
      <c r="M72" s="11" t="s">
        <v>766</v>
      </c>
      <c r="N72" s="11" t="n">
        <v>1</v>
      </c>
      <c r="Q72" s="11" t="s">
        <v>3123</v>
      </c>
    </row>
    <row r="73" customFormat="false" ht="15" hidden="false" customHeight="false" outlineLevel="0" collapsed="false">
      <c r="A73" s="2" t="s">
        <v>3457</v>
      </c>
      <c r="B73" s="11" t="s">
        <v>2473</v>
      </c>
      <c r="C73" s="11" t="s">
        <v>1277</v>
      </c>
      <c r="D73" s="11" t="s">
        <v>874</v>
      </c>
      <c r="E73" s="11" t="s">
        <v>750</v>
      </c>
      <c r="F73" s="11" t="s">
        <v>3386</v>
      </c>
      <c r="H73" s="11" t="s">
        <v>258</v>
      </c>
      <c r="I73" s="11" t="s">
        <v>1144</v>
      </c>
      <c r="J73" s="11" t="s">
        <v>1145</v>
      </c>
      <c r="K73" s="11" t="s">
        <v>1144</v>
      </c>
      <c r="L73" s="11" t="s">
        <v>1145</v>
      </c>
      <c r="M73" s="11" t="s">
        <v>766</v>
      </c>
      <c r="N73" s="11" t="n">
        <v>1</v>
      </c>
      <c r="Q73" s="11" t="s">
        <v>3123</v>
      </c>
    </row>
    <row r="74" customFormat="false" ht="15" hidden="false" customHeight="false" outlineLevel="0" collapsed="false">
      <c r="A74" s="2" t="s">
        <v>3458</v>
      </c>
      <c r="B74" s="11" t="s">
        <v>2479</v>
      </c>
      <c r="C74" s="11" t="s">
        <v>1277</v>
      </c>
      <c r="D74" s="11" t="s">
        <v>874</v>
      </c>
      <c r="E74" s="11" t="s">
        <v>750</v>
      </c>
      <c r="F74" s="11" t="s">
        <v>3386</v>
      </c>
      <c r="H74" s="11" t="s">
        <v>258</v>
      </c>
      <c r="I74" s="11" t="s">
        <v>1144</v>
      </c>
      <c r="J74" s="11" t="s">
        <v>1145</v>
      </c>
      <c r="K74" s="11" t="s">
        <v>1144</v>
      </c>
      <c r="L74" s="11" t="s">
        <v>1145</v>
      </c>
      <c r="M74" s="11" t="s">
        <v>766</v>
      </c>
      <c r="N74" s="11" t="n">
        <v>1</v>
      </c>
      <c r="Q74" s="11" t="s">
        <v>3123</v>
      </c>
    </row>
    <row r="75" customFormat="false" ht="15" hidden="false" customHeight="false" outlineLevel="0" collapsed="false">
      <c r="A75" s="2" t="s">
        <v>3459</v>
      </c>
      <c r="B75" s="11" t="s">
        <v>2485</v>
      </c>
      <c r="C75" s="11" t="s">
        <v>1277</v>
      </c>
      <c r="D75" s="11" t="s">
        <v>874</v>
      </c>
      <c r="E75" s="11" t="s">
        <v>750</v>
      </c>
      <c r="F75" s="11" t="s">
        <v>3386</v>
      </c>
      <c r="H75" s="11" t="s">
        <v>258</v>
      </c>
      <c r="I75" s="11" t="s">
        <v>1144</v>
      </c>
      <c r="J75" s="11" t="s">
        <v>1145</v>
      </c>
      <c r="K75" s="11" t="s">
        <v>1144</v>
      </c>
      <c r="L75" s="11" t="s">
        <v>1145</v>
      </c>
      <c r="M75" s="11" t="s">
        <v>766</v>
      </c>
      <c r="N75" s="11" t="n">
        <v>1</v>
      </c>
      <c r="Q75" s="11" t="s">
        <v>3123</v>
      </c>
    </row>
    <row r="76" customFormat="false" ht="15" hidden="false" customHeight="false" outlineLevel="0" collapsed="false">
      <c r="A76" s="2" t="s">
        <v>3460</v>
      </c>
      <c r="B76" s="11" t="s">
        <v>2491</v>
      </c>
      <c r="C76" s="11" t="s">
        <v>1191</v>
      </c>
      <c r="D76" s="11" t="s">
        <v>874</v>
      </c>
      <c r="E76" s="11" t="s">
        <v>750</v>
      </c>
      <c r="F76" s="11" t="s">
        <v>3386</v>
      </c>
      <c r="H76" s="11" t="s">
        <v>258</v>
      </c>
      <c r="I76" s="11" t="s">
        <v>1144</v>
      </c>
      <c r="J76" s="11" t="s">
        <v>1145</v>
      </c>
      <c r="K76" s="11" t="s">
        <v>1144</v>
      </c>
      <c r="L76" s="11" t="s">
        <v>1145</v>
      </c>
      <c r="M76" s="11" t="s">
        <v>766</v>
      </c>
      <c r="N76" s="11" t="n">
        <v>1</v>
      </c>
      <c r="Q76" s="11" t="s">
        <v>3123</v>
      </c>
    </row>
    <row r="77" customFormat="false" ht="15" hidden="false" customHeight="false" outlineLevel="0" collapsed="false">
      <c r="A77" s="2" t="s">
        <v>3461</v>
      </c>
      <c r="B77" s="11" t="s">
        <v>2497</v>
      </c>
      <c r="C77" s="11" t="s">
        <v>1191</v>
      </c>
      <c r="D77" s="11" t="s">
        <v>882</v>
      </c>
      <c r="E77" s="11" t="s">
        <v>750</v>
      </c>
      <c r="F77" s="11" t="s">
        <v>3386</v>
      </c>
      <c r="H77" s="11" t="s">
        <v>258</v>
      </c>
      <c r="I77" s="11" t="s">
        <v>1144</v>
      </c>
      <c r="J77" s="11" t="s">
        <v>1145</v>
      </c>
      <c r="K77" s="11" t="s">
        <v>1144</v>
      </c>
      <c r="L77" s="11" t="s">
        <v>1145</v>
      </c>
      <c r="M77" s="11" t="s">
        <v>766</v>
      </c>
      <c r="N77" s="11" t="n">
        <v>1</v>
      </c>
      <c r="Q77" s="11" t="s">
        <v>3123</v>
      </c>
    </row>
    <row r="78" customFormat="false" ht="15" hidden="false" customHeight="false" outlineLevel="0" collapsed="false">
      <c r="A78" s="2" t="s">
        <v>3462</v>
      </c>
      <c r="B78" s="11" t="s">
        <v>2503</v>
      </c>
      <c r="C78" s="11" t="s">
        <v>1191</v>
      </c>
      <c r="D78" s="11" t="s">
        <v>882</v>
      </c>
      <c r="E78" s="11" t="s">
        <v>750</v>
      </c>
      <c r="F78" s="11" t="s">
        <v>3386</v>
      </c>
      <c r="H78" s="11" t="s">
        <v>258</v>
      </c>
      <c r="I78" s="11" t="s">
        <v>1144</v>
      </c>
      <c r="J78" s="11" t="s">
        <v>1145</v>
      </c>
      <c r="K78" s="11" t="s">
        <v>1144</v>
      </c>
      <c r="L78" s="11" t="s">
        <v>1145</v>
      </c>
      <c r="M78" s="11" t="s">
        <v>766</v>
      </c>
      <c r="N78" s="11" t="n">
        <v>1</v>
      </c>
      <c r="Q78" s="11" t="s">
        <v>3123</v>
      </c>
    </row>
    <row r="79" customFormat="false" ht="15" hidden="false" customHeight="false" outlineLevel="0" collapsed="false">
      <c r="A79" s="2" t="s">
        <v>3463</v>
      </c>
      <c r="B79" s="11" t="s">
        <v>2508</v>
      </c>
      <c r="C79" s="11" t="s">
        <v>1191</v>
      </c>
      <c r="D79" s="11" t="s">
        <v>882</v>
      </c>
      <c r="E79" s="11" t="s">
        <v>750</v>
      </c>
      <c r="F79" s="11" t="s">
        <v>3386</v>
      </c>
      <c r="H79" s="11" t="s">
        <v>258</v>
      </c>
      <c r="I79" s="11" t="s">
        <v>1144</v>
      </c>
      <c r="J79" s="11" t="s">
        <v>1145</v>
      </c>
      <c r="K79" s="11" t="s">
        <v>1144</v>
      </c>
      <c r="L79" s="11" t="s">
        <v>1145</v>
      </c>
      <c r="M79" s="11" t="s">
        <v>766</v>
      </c>
      <c r="N79" s="11" t="n">
        <v>1</v>
      </c>
      <c r="Q79" s="11" t="s">
        <v>3123</v>
      </c>
    </row>
    <row r="80" customFormat="false" ht="15" hidden="false" customHeight="false" outlineLevel="0" collapsed="false">
      <c r="A80" s="2" t="s">
        <v>3464</v>
      </c>
      <c r="B80" s="11" t="s">
        <v>2514</v>
      </c>
      <c r="C80" s="11" t="s">
        <v>1277</v>
      </c>
      <c r="D80" s="11" t="s">
        <v>874</v>
      </c>
      <c r="E80" s="11" t="s">
        <v>750</v>
      </c>
      <c r="F80" s="11" t="s">
        <v>3386</v>
      </c>
      <c r="H80" s="11" t="s">
        <v>258</v>
      </c>
      <c r="I80" s="11" t="s">
        <v>1144</v>
      </c>
      <c r="J80" s="11" t="s">
        <v>1145</v>
      </c>
      <c r="K80" s="11" t="s">
        <v>1144</v>
      </c>
      <c r="L80" s="11" t="s">
        <v>1145</v>
      </c>
      <c r="M80" s="11" t="s">
        <v>766</v>
      </c>
      <c r="N80" s="11" t="n">
        <v>1</v>
      </c>
      <c r="Q80" s="11" t="s">
        <v>3123</v>
      </c>
    </row>
  </sheetData>
  <autoFilter ref="A1:Q80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80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80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80" type="list">
      <formula1>Keuzelijsten!$O$5:$O$60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H2:H1080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M2:M1080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566</v>
      </c>
      <c r="B1" s="13" t="s">
        <v>469</v>
      </c>
      <c r="C1" s="13" t="s">
        <v>256</v>
      </c>
      <c r="D1" s="13" t="s">
        <v>557</v>
      </c>
      <c r="E1" s="14" t="s">
        <v>410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3465</v>
      </c>
      <c r="B2" s="11" t="s">
        <v>2008</v>
      </c>
      <c r="C2" s="11" t="s">
        <v>1009</v>
      </c>
      <c r="D2" s="11" t="s">
        <v>750</v>
      </c>
      <c r="F2" s="11" t="s">
        <v>1144</v>
      </c>
      <c r="G2" s="11" t="s">
        <v>1145</v>
      </c>
      <c r="H2" s="11" t="s">
        <v>1144</v>
      </c>
      <c r="I2" s="11" t="s">
        <v>1145</v>
      </c>
      <c r="J2" s="11" t="s">
        <v>766</v>
      </c>
      <c r="K2" s="11" t="n">
        <v>1</v>
      </c>
      <c r="N2" s="11" t="s">
        <v>27</v>
      </c>
    </row>
    <row r="3" customFormat="false" ht="15" hidden="false" customHeight="false" outlineLevel="0" collapsed="false">
      <c r="A3" s="2" t="s">
        <v>3466</v>
      </c>
      <c r="B3" s="11" t="s">
        <v>2008</v>
      </c>
      <c r="C3" s="11" t="s">
        <v>1014</v>
      </c>
      <c r="D3" s="11" t="s">
        <v>776</v>
      </c>
      <c r="F3" s="11" t="s">
        <v>1144</v>
      </c>
      <c r="G3" s="11" t="s">
        <v>1145</v>
      </c>
      <c r="H3" s="11" t="s">
        <v>1144</v>
      </c>
      <c r="I3" s="11" t="s">
        <v>1145</v>
      </c>
      <c r="J3" s="11" t="s">
        <v>766</v>
      </c>
      <c r="K3" s="11" t="n">
        <v>1</v>
      </c>
      <c r="N3" s="11" t="s">
        <v>27</v>
      </c>
    </row>
    <row r="4" customFormat="false" ht="15" hidden="false" customHeight="false" outlineLevel="0" collapsed="false">
      <c r="A4" s="2" t="s">
        <v>3467</v>
      </c>
      <c r="B4" s="11" t="s">
        <v>2023</v>
      </c>
      <c r="C4" s="11" t="s">
        <v>1009</v>
      </c>
      <c r="D4" s="11" t="s">
        <v>750</v>
      </c>
      <c r="F4" s="11" t="s">
        <v>1144</v>
      </c>
      <c r="G4" s="11" t="s">
        <v>1145</v>
      </c>
      <c r="H4" s="11" t="s">
        <v>1144</v>
      </c>
      <c r="I4" s="11" t="s">
        <v>1145</v>
      </c>
      <c r="J4" s="11" t="s">
        <v>766</v>
      </c>
      <c r="K4" s="11" t="n">
        <v>1</v>
      </c>
      <c r="N4" s="11" t="s">
        <v>27</v>
      </c>
    </row>
    <row r="5" customFormat="false" ht="15" hidden="false" customHeight="false" outlineLevel="0" collapsed="false">
      <c r="A5" s="2" t="s">
        <v>3468</v>
      </c>
      <c r="B5" s="11" t="s">
        <v>2023</v>
      </c>
      <c r="C5" s="11" t="s">
        <v>1014</v>
      </c>
      <c r="D5" s="11" t="s">
        <v>776</v>
      </c>
      <c r="F5" s="11" t="s">
        <v>1144</v>
      </c>
      <c r="G5" s="11" t="s">
        <v>1145</v>
      </c>
      <c r="H5" s="11" t="s">
        <v>1144</v>
      </c>
      <c r="I5" s="11" t="s">
        <v>1145</v>
      </c>
      <c r="J5" s="11" t="s">
        <v>766</v>
      </c>
      <c r="K5" s="11" t="n">
        <v>1</v>
      </c>
      <c r="N5" s="11" t="s">
        <v>27</v>
      </c>
    </row>
    <row r="6" customFormat="false" ht="15" hidden="false" customHeight="false" outlineLevel="0" collapsed="false">
      <c r="A6" s="2" t="s">
        <v>3469</v>
      </c>
      <c r="B6" s="11" t="s">
        <v>2030</v>
      </c>
      <c r="C6" s="11" t="s">
        <v>1009</v>
      </c>
      <c r="D6" s="11" t="s">
        <v>750</v>
      </c>
      <c r="F6" s="11" t="s">
        <v>1144</v>
      </c>
      <c r="G6" s="11" t="s">
        <v>1145</v>
      </c>
      <c r="H6" s="11" t="s">
        <v>1144</v>
      </c>
      <c r="I6" s="11" t="s">
        <v>1145</v>
      </c>
      <c r="J6" s="11" t="s">
        <v>766</v>
      </c>
      <c r="K6" s="11" t="n">
        <v>1</v>
      </c>
      <c r="N6" s="11" t="s">
        <v>27</v>
      </c>
    </row>
    <row r="7" customFormat="false" ht="15" hidden="false" customHeight="false" outlineLevel="0" collapsed="false">
      <c r="A7" s="2" t="s">
        <v>3470</v>
      </c>
      <c r="B7" s="11" t="s">
        <v>2030</v>
      </c>
      <c r="C7" s="11" t="s">
        <v>1014</v>
      </c>
      <c r="D7" s="11" t="s">
        <v>776</v>
      </c>
      <c r="F7" s="11" t="s">
        <v>1144</v>
      </c>
      <c r="G7" s="11" t="s">
        <v>1145</v>
      </c>
      <c r="H7" s="11" t="s">
        <v>1144</v>
      </c>
      <c r="I7" s="11" t="s">
        <v>1145</v>
      </c>
      <c r="J7" s="11" t="s">
        <v>766</v>
      </c>
      <c r="K7" s="11" t="n">
        <v>1</v>
      </c>
      <c r="N7" s="11" t="s">
        <v>27</v>
      </c>
    </row>
    <row r="8" customFormat="false" ht="15" hidden="false" customHeight="false" outlineLevel="0" collapsed="false">
      <c r="A8" s="2" t="s">
        <v>3471</v>
      </c>
      <c r="B8" s="11" t="s">
        <v>2036</v>
      </c>
      <c r="C8" s="11" t="s">
        <v>1009</v>
      </c>
      <c r="D8" s="11" t="s">
        <v>750</v>
      </c>
      <c r="F8" s="11" t="s">
        <v>1144</v>
      </c>
      <c r="G8" s="11" t="s">
        <v>1145</v>
      </c>
      <c r="H8" s="11" t="s">
        <v>1144</v>
      </c>
      <c r="I8" s="11" t="s">
        <v>1145</v>
      </c>
      <c r="J8" s="11" t="s">
        <v>766</v>
      </c>
      <c r="K8" s="11" t="n">
        <v>1</v>
      </c>
      <c r="N8" s="11" t="s">
        <v>27</v>
      </c>
    </row>
    <row r="9" customFormat="false" ht="15" hidden="false" customHeight="false" outlineLevel="0" collapsed="false">
      <c r="A9" s="2" t="s">
        <v>3472</v>
      </c>
      <c r="B9" s="11" t="s">
        <v>2036</v>
      </c>
      <c r="C9" s="11" t="s">
        <v>1014</v>
      </c>
      <c r="D9" s="11" t="s">
        <v>776</v>
      </c>
      <c r="F9" s="11" t="s">
        <v>1144</v>
      </c>
      <c r="G9" s="11" t="s">
        <v>1145</v>
      </c>
      <c r="H9" s="11" t="s">
        <v>1144</v>
      </c>
      <c r="I9" s="11" t="s">
        <v>1145</v>
      </c>
      <c r="J9" s="11" t="s">
        <v>766</v>
      </c>
      <c r="K9" s="11" t="n">
        <v>1</v>
      </c>
      <c r="N9" s="11" t="s">
        <v>27</v>
      </c>
    </row>
    <row r="10" customFormat="false" ht="15" hidden="false" customHeight="false" outlineLevel="0" collapsed="false">
      <c r="A10" s="2" t="s">
        <v>3473</v>
      </c>
      <c r="B10" s="11" t="s">
        <v>2045</v>
      </c>
      <c r="C10" s="11" t="s">
        <v>1009</v>
      </c>
      <c r="D10" s="11" t="s">
        <v>750</v>
      </c>
      <c r="F10" s="11" t="s">
        <v>1144</v>
      </c>
      <c r="G10" s="11" t="s">
        <v>1145</v>
      </c>
      <c r="H10" s="11" t="s">
        <v>1144</v>
      </c>
      <c r="I10" s="11" t="s">
        <v>1145</v>
      </c>
      <c r="J10" s="11" t="s">
        <v>766</v>
      </c>
      <c r="K10" s="11" t="n">
        <v>1</v>
      </c>
      <c r="N10" s="11" t="s">
        <v>27</v>
      </c>
    </row>
    <row r="11" customFormat="false" ht="15" hidden="false" customHeight="false" outlineLevel="0" collapsed="false">
      <c r="A11" s="2" t="s">
        <v>3474</v>
      </c>
      <c r="B11" s="11" t="s">
        <v>2045</v>
      </c>
      <c r="C11" s="11" t="s">
        <v>1014</v>
      </c>
      <c r="D11" s="11" t="s">
        <v>776</v>
      </c>
      <c r="F11" s="11" t="s">
        <v>1144</v>
      </c>
      <c r="G11" s="11" t="s">
        <v>1145</v>
      </c>
      <c r="H11" s="11" t="s">
        <v>1144</v>
      </c>
      <c r="I11" s="11" t="s">
        <v>1145</v>
      </c>
      <c r="J11" s="11" t="s">
        <v>766</v>
      </c>
      <c r="K11" s="11" t="n">
        <v>1</v>
      </c>
      <c r="N11" s="11" t="s">
        <v>27</v>
      </c>
    </row>
    <row r="12" customFormat="false" ht="15" hidden="false" customHeight="false" outlineLevel="0" collapsed="false">
      <c r="A12" s="2" t="s">
        <v>3475</v>
      </c>
      <c r="B12" s="11" t="s">
        <v>2051</v>
      </c>
      <c r="C12" s="11" t="s">
        <v>994</v>
      </c>
      <c r="D12" s="11" t="s">
        <v>750</v>
      </c>
      <c r="F12" s="11" t="s">
        <v>1144</v>
      </c>
      <c r="G12" s="11" t="s">
        <v>1145</v>
      </c>
      <c r="H12" s="11" t="s">
        <v>1144</v>
      </c>
      <c r="I12" s="11" t="s">
        <v>1145</v>
      </c>
      <c r="J12" s="11" t="s">
        <v>766</v>
      </c>
      <c r="K12" s="11" t="n">
        <v>1</v>
      </c>
      <c r="N12" s="11" t="s">
        <v>27</v>
      </c>
    </row>
    <row r="13" customFormat="false" ht="15" hidden="false" customHeight="false" outlineLevel="0" collapsed="false">
      <c r="A13" s="2" t="s">
        <v>3476</v>
      </c>
      <c r="B13" s="11" t="s">
        <v>2051</v>
      </c>
      <c r="C13" s="11" t="s">
        <v>1014</v>
      </c>
      <c r="D13" s="11" t="s">
        <v>776</v>
      </c>
      <c r="F13" s="11" t="s">
        <v>1144</v>
      </c>
      <c r="G13" s="11" t="s">
        <v>1145</v>
      </c>
      <c r="H13" s="11" t="s">
        <v>1144</v>
      </c>
      <c r="I13" s="11" t="s">
        <v>1145</v>
      </c>
      <c r="J13" s="11" t="s">
        <v>766</v>
      </c>
      <c r="K13" s="11" t="n">
        <v>1</v>
      </c>
      <c r="N13" s="11" t="s">
        <v>27</v>
      </c>
    </row>
    <row r="14" customFormat="false" ht="15" hidden="false" customHeight="false" outlineLevel="0" collapsed="false">
      <c r="A14" s="2" t="s">
        <v>3477</v>
      </c>
      <c r="B14" s="11" t="s">
        <v>2060</v>
      </c>
      <c r="C14" s="11" t="s">
        <v>1009</v>
      </c>
      <c r="D14" s="11" t="s">
        <v>750</v>
      </c>
      <c r="F14" s="11" t="s">
        <v>1144</v>
      </c>
      <c r="G14" s="11" t="s">
        <v>1145</v>
      </c>
      <c r="H14" s="11" t="s">
        <v>1144</v>
      </c>
      <c r="I14" s="11" t="s">
        <v>1145</v>
      </c>
      <c r="J14" s="11" t="s">
        <v>766</v>
      </c>
      <c r="K14" s="11" t="n">
        <v>1</v>
      </c>
      <c r="N14" s="11" t="s">
        <v>27</v>
      </c>
    </row>
    <row r="15" customFormat="false" ht="15" hidden="false" customHeight="false" outlineLevel="0" collapsed="false">
      <c r="A15" s="2" t="s">
        <v>3478</v>
      </c>
      <c r="B15" s="11" t="s">
        <v>2060</v>
      </c>
      <c r="C15" s="11" t="s">
        <v>1014</v>
      </c>
      <c r="D15" s="11" t="s">
        <v>776</v>
      </c>
      <c r="F15" s="11" t="s">
        <v>1144</v>
      </c>
      <c r="G15" s="11" t="s">
        <v>1145</v>
      </c>
      <c r="H15" s="11" t="s">
        <v>1144</v>
      </c>
      <c r="I15" s="11" t="s">
        <v>1145</v>
      </c>
      <c r="J15" s="11" t="s">
        <v>766</v>
      </c>
      <c r="K15" s="11" t="n">
        <v>1</v>
      </c>
      <c r="N15" s="11" t="s">
        <v>27</v>
      </c>
    </row>
    <row r="16" customFormat="false" ht="15" hidden="false" customHeight="false" outlineLevel="0" collapsed="false">
      <c r="A16" s="2" t="s">
        <v>3479</v>
      </c>
      <c r="B16" s="11" t="s">
        <v>2065</v>
      </c>
      <c r="C16" s="11" t="s">
        <v>1029</v>
      </c>
      <c r="D16" s="11" t="s">
        <v>750</v>
      </c>
      <c r="F16" s="11" t="s">
        <v>1144</v>
      </c>
      <c r="G16" s="11" t="s">
        <v>1145</v>
      </c>
      <c r="H16" s="11" t="s">
        <v>1144</v>
      </c>
      <c r="I16" s="11" t="s">
        <v>1145</v>
      </c>
      <c r="J16" s="11" t="s">
        <v>766</v>
      </c>
      <c r="K16" s="11" t="n">
        <v>1</v>
      </c>
      <c r="N16" s="11" t="s">
        <v>27</v>
      </c>
    </row>
    <row r="17" customFormat="false" ht="15" hidden="false" customHeight="false" outlineLevel="0" collapsed="false">
      <c r="A17" s="2" t="s">
        <v>3480</v>
      </c>
      <c r="B17" s="11" t="s">
        <v>2065</v>
      </c>
      <c r="C17" s="11" t="s">
        <v>981</v>
      </c>
      <c r="D17" s="11" t="s">
        <v>776</v>
      </c>
      <c r="F17" s="11" t="s">
        <v>1144</v>
      </c>
      <c r="G17" s="11" t="s">
        <v>1145</v>
      </c>
      <c r="H17" s="11" t="s">
        <v>1144</v>
      </c>
      <c r="I17" s="11" t="s">
        <v>1145</v>
      </c>
      <c r="J17" s="11" t="s">
        <v>766</v>
      </c>
      <c r="K17" s="11" t="n">
        <v>1</v>
      </c>
      <c r="N17" s="11" t="s">
        <v>27</v>
      </c>
    </row>
    <row r="18" customFormat="false" ht="15" hidden="false" customHeight="false" outlineLevel="0" collapsed="false">
      <c r="A18" s="2" t="s">
        <v>3481</v>
      </c>
      <c r="B18" s="11" t="s">
        <v>2075</v>
      </c>
      <c r="C18" s="11" t="s">
        <v>994</v>
      </c>
      <c r="D18" s="11" t="s">
        <v>750</v>
      </c>
      <c r="F18" s="11" t="s">
        <v>1144</v>
      </c>
      <c r="G18" s="11" t="s">
        <v>1145</v>
      </c>
      <c r="H18" s="11" t="s">
        <v>1144</v>
      </c>
      <c r="I18" s="11" t="s">
        <v>1145</v>
      </c>
      <c r="J18" s="11" t="s">
        <v>766</v>
      </c>
      <c r="K18" s="11" t="n">
        <v>1</v>
      </c>
      <c r="N18" s="11" t="s">
        <v>27</v>
      </c>
    </row>
    <row r="19" customFormat="false" ht="15" hidden="false" customHeight="false" outlineLevel="0" collapsed="false">
      <c r="A19" s="2" t="s">
        <v>3482</v>
      </c>
      <c r="B19" s="11" t="s">
        <v>2075</v>
      </c>
      <c r="C19" s="11" t="s">
        <v>1014</v>
      </c>
      <c r="D19" s="11" t="s">
        <v>776</v>
      </c>
      <c r="F19" s="11" t="s">
        <v>1144</v>
      </c>
      <c r="G19" s="11" t="s">
        <v>1145</v>
      </c>
      <c r="H19" s="11" t="s">
        <v>1144</v>
      </c>
      <c r="I19" s="11" t="s">
        <v>1145</v>
      </c>
      <c r="J19" s="11" t="s">
        <v>766</v>
      </c>
      <c r="K19" s="11" t="n">
        <v>1</v>
      </c>
      <c r="N19" s="11" t="s">
        <v>27</v>
      </c>
    </row>
    <row r="20" customFormat="false" ht="15" hidden="false" customHeight="false" outlineLevel="0" collapsed="false">
      <c r="A20" s="2" t="s">
        <v>3483</v>
      </c>
      <c r="B20" s="11" t="s">
        <v>2084</v>
      </c>
      <c r="C20" s="11" t="s">
        <v>1009</v>
      </c>
      <c r="D20" s="11" t="s">
        <v>750</v>
      </c>
      <c r="F20" s="11" t="s">
        <v>1144</v>
      </c>
      <c r="G20" s="11" t="s">
        <v>1145</v>
      </c>
      <c r="H20" s="11" t="s">
        <v>1144</v>
      </c>
      <c r="I20" s="11" t="s">
        <v>1145</v>
      </c>
      <c r="J20" s="11" t="s">
        <v>766</v>
      </c>
      <c r="K20" s="11" t="n">
        <v>1</v>
      </c>
      <c r="N20" s="11" t="s">
        <v>27</v>
      </c>
    </row>
    <row r="21" customFormat="false" ht="15" hidden="false" customHeight="false" outlineLevel="0" collapsed="false">
      <c r="A21" s="2" t="s">
        <v>3484</v>
      </c>
      <c r="B21" s="11" t="s">
        <v>2084</v>
      </c>
      <c r="C21" s="11" t="s">
        <v>1014</v>
      </c>
      <c r="D21" s="11" t="s">
        <v>776</v>
      </c>
      <c r="F21" s="11" t="s">
        <v>1144</v>
      </c>
      <c r="G21" s="11" t="s">
        <v>1145</v>
      </c>
      <c r="H21" s="11" t="s">
        <v>1144</v>
      </c>
      <c r="I21" s="11" t="s">
        <v>1145</v>
      </c>
      <c r="J21" s="11" t="s">
        <v>766</v>
      </c>
      <c r="K21" s="11" t="n">
        <v>1</v>
      </c>
      <c r="N21" s="11" t="s">
        <v>27</v>
      </c>
    </row>
    <row r="22" customFormat="false" ht="15" hidden="false" customHeight="false" outlineLevel="0" collapsed="false">
      <c r="A22" s="2" t="s">
        <v>3485</v>
      </c>
      <c r="B22" s="11" t="s">
        <v>2089</v>
      </c>
      <c r="C22" s="11" t="s">
        <v>981</v>
      </c>
      <c r="D22" s="11" t="s">
        <v>750</v>
      </c>
      <c r="F22" s="11" t="s">
        <v>1144</v>
      </c>
      <c r="G22" s="11" t="s">
        <v>1145</v>
      </c>
      <c r="H22" s="11" t="s">
        <v>1144</v>
      </c>
      <c r="I22" s="11" t="s">
        <v>1145</v>
      </c>
      <c r="J22" s="11" t="s">
        <v>766</v>
      </c>
      <c r="K22" s="11" t="n">
        <v>1</v>
      </c>
      <c r="N22" s="11" t="s">
        <v>27</v>
      </c>
    </row>
    <row r="23" customFormat="false" ht="15" hidden="false" customHeight="false" outlineLevel="0" collapsed="false">
      <c r="A23" s="2" t="s">
        <v>3486</v>
      </c>
      <c r="B23" s="11" t="s">
        <v>2089</v>
      </c>
      <c r="C23" s="11" t="s">
        <v>989</v>
      </c>
      <c r="D23" s="11" t="s">
        <v>776</v>
      </c>
      <c r="F23" s="11" t="s">
        <v>1144</v>
      </c>
      <c r="G23" s="11" t="s">
        <v>1145</v>
      </c>
      <c r="H23" s="11" t="s">
        <v>1144</v>
      </c>
      <c r="I23" s="11" t="s">
        <v>1145</v>
      </c>
      <c r="J23" s="11" t="s">
        <v>766</v>
      </c>
      <c r="K23" s="11" t="n">
        <v>1</v>
      </c>
      <c r="N23" s="11" t="s">
        <v>27</v>
      </c>
    </row>
    <row r="24" customFormat="false" ht="15" hidden="false" customHeight="false" outlineLevel="0" collapsed="false">
      <c r="A24" s="2" t="s">
        <v>3487</v>
      </c>
      <c r="B24" s="11" t="s">
        <v>2099</v>
      </c>
      <c r="C24" s="11" t="s">
        <v>1009</v>
      </c>
      <c r="D24" s="11" t="s">
        <v>750</v>
      </c>
      <c r="F24" s="11" t="s">
        <v>1144</v>
      </c>
      <c r="G24" s="11" t="s">
        <v>1145</v>
      </c>
      <c r="H24" s="11" t="s">
        <v>1144</v>
      </c>
      <c r="I24" s="11" t="s">
        <v>1145</v>
      </c>
      <c r="J24" s="11" t="s">
        <v>766</v>
      </c>
      <c r="K24" s="11" t="n">
        <v>1</v>
      </c>
      <c r="N24" s="11" t="s">
        <v>27</v>
      </c>
    </row>
    <row r="25" customFormat="false" ht="15" hidden="false" customHeight="false" outlineLevel="0" collapsed="false">
      <c r="A25" s="2" t="s">
        <v>3488</v>
      </c>
      <c r="B25" s="11" t="s">
        <v>2099</v>
      </c>
      <c r="C25" s="11" t="s">
        <v>1014</v>
      </c>
      <c r="D25" s="11" t="s">
        <v>776</v>
      </c>
      <c r="F25" s="11" t="s">
        <v>1144</v>
      </c>
      <c r="G25" s="11" t="s">
        <v>1145</v>
      </c>
      <c r="H25" s="11" t="s">
        <v>1144</v>
      </c>
      <c r="I25" s="11" t="s">
        <v>1145</v>
      </c>
      <c r="J25" s="11" t="s">
        <v>766</v>
      </c>
      <c r="K25" s="11" t="n">
        <v>1</v>
      </c>
      <c r="N25" s="11" t="s">
        <v>27</v>
      </c>
    </row>
    <row r="26" customFormat="false" ht="15" hidden="false" customHeight="false" outlineLevel="0" collapsed="false">
      <c r="A26" s="2" t="s">
        <v>3489</v>
      </c>
      <c r="B26" s="11" t="s">
        <v>2107</v>
      </c>
      <c r="C26" s="11" t="s">
        <v>994</v>
      </c>
      <c r="D26" s="11" t="s">
        <v>750</v>
      </c>
      <c r="F26" s="11" t="s">
        <v>1144</v>
      </c>
      <c r="G26" s="11" t="s">
        <v>1145</v>
      </c>
      <c r="H26" s="11" t="s">
        <v>1144</v>
      </c>
      <c r="I26" s="11" t="s">
        <v>1145</v>
      </c>
      <c r="J26" s="11" t="s">
        <v>766</v>
      </c>
      <c r="K26" s="11" t="n">
        <v>1</v>
      </c>
      <c r="N26" s="11" t="s">
        <v>27</v>
      </c>
    </row>
    <row r="27" customFormat="false" ht="15" hidden="false" customHeight="false" outlineLevel="0" collapsed="false">
      <c r="A27" s="2" t="s">
        <v>3490</v>
      </c>
      <c r="B27" s="11" t="s">
        <v>2107</v>
      </c>
      <c r="C27" s="11" t="s">
        <v>1014</v>
      </c>
      <c r="D27" s="11" t="s">
        <v>776</v>
      </c>
      <c r="F27" s="11" t="s">
        <v>1144</v>
      </c>
      <c r="G27" s="11" t="s">
        <v>1145</v>
      </c>
      <c r="H27" s="11" t="s">
        <v>1144</v>
      </c>
      <c r="I27" s="11" t="s">
        <v>1145</v>
      </c>
      <c r="J27" s="11" t="s">
        <v>766</v>
      </c>
      <c r="K27" s="11" t="n">
        <v>1</v>
      </c>
      <c r="N27" s="11" t="s">
        <v>27</v>
      </c>
    </row>
    <row r="28" customFormat="false" ht="15" hidden="false" customHeight="false" outlineLevel="0" collapsed="false">
      <c r="A28" s="2" t="s">
        <v>3491</v>
      </c>
      <c r="B28" s="11" t="s">
        <v>2117</v>
      </c>
      <c r="C28" s="11" t="s">
        <v>1009</v>
      </c>
      <c r="D28" s="11" t="s">
        <v>750</v>
      </c>
      <c r="F28" s="11" t="s">
        <v>1144</v>
      </c>
      <c r="G28" s="11" t="s">
        <v>1145</v>
      </c>
      <c r="H28" s="11" t="s">
        <v>1144</v>
      </c>
      <c r="I28" s="11" t="s">
        <v>1145</v>
      </c>
      <c r="J28" s="11" t="s">
        <v>766</v>
      </c>
      <c r="K28" s="11" t="n">
        <v>1</v>
      </c>
      <c r="N28" s="11" t="s">
        <v>27</v>
      </c>
    </row>
    <row r="29" customFormat="false" ht="15" hidden="false" customHeight="false" outlineLevel="0" collapsed="false">
      <c r="A29" s="2" t="s">
        <v>3492</v>
      </c>
      <c r="B29" s="11" t="s">
        <v>2117</v>
      </c>
      <c r="C29" s="11" t="s">
        <v>1014</v>
      </c>
      <c r="D29" s="11" t="s">
        <v>776</v>
      </c>
      <c r="F29" s="11" t="s">
        <v>1144</v>
      </c>
      <c r="G29" s="11" t="s">
        <v>1145</v>
      </c>
      <c r="H29" s="11" t="s">
        <v>1144</v>
      </c>
      <c r="I29" s="11" t="s">
        <v>1145</v>
      </c>
      <c r="J29" s="11" t="s">
        <v>766</v>
      </c>
      <c r="K29" s="11" t="n">
        <v>1</v>
      </c>
      <c r="N29" s="11" t="s">
        <v>27</v>
      </c>
    </row>
    <row r="30" customFormat="false" ht="15" hidden="false" customHeight="false" outlineLevel="0" collapsed="false">
      <c r="A30" s="2" t="s">
        <v>3493</v>
      </c>
      <c r="B30" s="11" t="s">
        <v>2122</v>
      </c>
      <c r="C30" s="11" t="s">
        <v>994</v>
      </c>
      <c r="D30" s="11" t="s">
        <v>750</v>
      </c>
      <c r="F30" s="11" t="s">
        <v>1144</v>
      </c>
      <c r="G30" s="11" t="s">
        <v>1145</v>
      </c>
      <c r="H30" s="11" t="s">
        <v>1144</v>
      </c>
      <c r="I30" s="11" t="s">
        <v>1145</v>
      </c>
      <c r="J30" s="11" t="s">
        <v>766</v>
      </c>
      <c r="K30" s="11" t="n">
        <v>1</v>
      </c>
      <c r="N30" s="11" t="s">
        <v>27</v>
      </c>
    </row>
    <row r="31" customFormat="false" ht="15" hidden="false" customHeight="false" outlineLevel="0" collapsed="false">
      <c r="A31" s="2" t="s">
        <v>3494</v>
      </c>
      <c r="B31" s="11" t="s">
        <v>2122</v>
      </c>
      <c r="C31" s="11" t="s">
        <v>1014</v>
      </c>
      <c r="D31" s="11" t="s">
        <v>776</v>
      </c>
      <c r="F31" s="11" t="s">
        <v>1144</v>
      </c>
      <c r="G31" s="11" t="s">
        <v>1145</v>
      </c>
      <c r="H31" s="11" t="s">
        <v>1144</v>
      </c>
      <c r="I31" s="11" t="s">
        <v>1145</v>
      </c>
      <c r="J31" s="11" t="s">
        <v>766</v>
      </c>
      <c r="K31" s="11" t="n">
        <v>1</v>
      </c>
      <c r="N31" s="11" t="s">
        <v>27</v>
      </c>
    </row>
    <row r="32" customFormat="false" ht="15" hidden="false" customHeight="false" outlineLevel="0" collapsed="false">
      <c r="A32" s="2" t="s">
        <v>3495</v>
      </c>
      <c r="B32" s="11" t="s">
        <v>2127</v>
      </c>
      <c r="C32" s="11" t="s">
        <v>994</v>
      </c>
      <c r="D32" s="11" t="s">
        <v>750</v>
      </c>
      <c r="F32" s="11" t="s">
        <v>1144</v>
      </c>
      <c r="G32" s="11" t="s">
        <v>1145</v>
      </c>
      <c r="H32" s="11" t="s">
        <v>1144</v>
      </c>
      <c r="I32" s="11" t="s">
        <v>1145</v>
      </c>
      <c r="J32" s="11" t="s">
        <v>766</v>
      </c>
      <c r="K32" s="11" t="n">
        <v>1</v>
      </c>
      <c r="N32" s="11" t="s">
        <v>27</v>
      </c>
    </row>
    <row r="33" customFormat="false" ht="15" hidden="false" customHeight="false" outlineLevel="0" collapsed="false">
      <c r="A33" s="2" t="s">
        <v>3496</v>
      </c>
      <c r="B33" s="11" t="s">
        <v>2127</v>
      </c>
      <c r="C33" s="11" t="s">
        <v>1014</v>
      </c>
      <c r="D33" s="11" t="s">
        <v>776</v>
      </c>
      <c r="F33" s="11" t="s">
        <v>1144</v>
      </c>
      <c r="G33" s="11" t="s">
        <v>1145</v>
      </c>
      <c r="H33" s="11" t="s">
        <v>1144</v>
      </c>
      <c r="I33" s="11" t="s">
        <v>1145</v>
      </c>
      <c r="J33" s="11" t="s">
        <v>766</v>
      </c>
      <c r="K33" s="11" t="n">
        <v>1</v>
      </c>
      <c r="N33" s="11" t="s">
        <v>27</v>
      </c>
    </row>
    <row r="34" customFormat="false" ht="15" hidden="false" customHeight="false" outlineLevel="0" collapsed="false">
      <c r="A34" s="2" t="s">
        <v>3497</v>
      </c>
      <c r="B34" s="11" t="s">
        <v>2133</v>
      </c>
      <c r="C34" s="11" t="s">
        <v>1009</v>
      </c>
      <c r="D34" s="11" t="s">
        <v>750</v>
      </c>
      <c r="F34" s="11" t="s">
        <v>1144</v>
      </c>
      <c r="G34" s="11" t="s">
        <v>1145</v>
      </c>
      <c r="H34" s="11" t="s">
        <v>1144</v>
      </c>
      <c r="I34" s="11" t="s">
        <v>1145</v>
      </c>
      <c r="J34" s="11" t="s">
        <v>766</v>
      </c>
      <c r="K34" s="11" t="n">
        <v>1</v>
      </c>
      <c r="N34" s="11" t="s">
        <v>27</v>
      </c>
    </row>
    <row r="35" customFormat="false" ht="15" hidden="false" customHeight="false" outlineLevel="0" collapsed="false">
      <c r="A35" s="2" t="s">
        <v>3498</v>
      </c>
      <c r="B35" s="11" t="s">
        <v>2133</v>
      </c>
      <c r="C35" s="11" t="s">
        <v>1014</v>
      </c>
      <c r="D35" s="11" t="s">
        <v>776</v>
      </c>
      <c r="F35" s="11" t="s">
        <v>1144</v>
      </c>
      <c r="G35" s="11" t="s">
        <v>1145</v>
      </c>
      <c r="H35" s="11" t="s">
        <v>1144</v>
      </c>
      <c r="I35" s="11" t="s">
        <v>1145</v>
      </c>
      <c r="J35" s="11" t="s">
        <v>766</v>
      </c>
      <c r="K35" s="11" t="n">
        <v>1</v>
      </c>
      <c r="N35" s="11" t="s">
        <v>27</v>
      </c>
    </row>
    <row r="36" customFormat="false" ht="15" hidden="false" customHeight="false" outlineLevel="0" collapsed="false">
      <c r="A36" s="2" t="s">
        <v>3499</v>
      </c>
      <c r="B36" s="11" t="s">
        <v>2141</v>
      </c>
      <c r="C36" s="11" t="s">
        <v>989</v>
      </c>
      <c r="D36" s="11" t="s">
        <v>750</v>
      </c>
      <c r="F36" s="11" t="s">
        <v>1144</v>
      </c>
      <c r="G36" s="11" t="s">
        <v>1145</v>
      </c>
      <c r="H36" s="11" t="s">
        <v>1144</v>
      </c>
      <c r="I36" s="11" t="s">
        <v>1145</v>
      </c>
      <c r="J36" s="11" t="s">
        <v>766</v>
      </c>
      <c r="K36" s="11" t="n">
        <v>1</v>
      </c>
      <c r="N36" s="11" t="s">
        <v>27</v>
      </c>
    </row>
    <row r="37" customFormat="false" ht="15" hidden="false" customHeight="false" outlineLevel="0" collapsed="false">
      <c r="A37" s="2" t="s">
        <v>3500</v>
      </c>
      <c r="B37" s="11" t="s">
        <v>2141</v>
      </c>
      <c r="C37" s="11" t="s">
        <v>994</v>
      </c>
      <c r="D37" s="11" t="s">
        <v>776</v>
      </c>
      <c r="F37" s="11" t="s">
        <v>1144</v>
      </c>
      <c r="G37" s="11" t="s">
        <v>1145</v>
      </c>
      <c r="H37" s="11" t="s">
        <v>1144</v>
      </c>
      <c r="I37" s="11" t="s">
        <v>1145</v>
      </c>
      <c r="J37" s="11" t="s">
        <v>766</v>
      </c>
      <c r="K37" s="11" t="n">
        <v>1</v>
      </c>
      <c r="N37" s="11" t="s">
        <v>27</v>
      </c>
    </row>
    <row r="38" customFormat="false" ht="15" hidden="false" customHeight="false" outlineLevel="0" collapsed="false">
      <c r="A38" s="2" t="s">
        <v>3501</v>
      </c>
      <c r="B38" s="11" t="s">
        <v>2147</v>
      </c>
      <c r="C38" s="11" t="s">
        <v>989</v>
      </c>
      <c r="D38" s="11" t="s">
        <v>750</v>
      </c>
      <c r="F38" s="11" t="s">
        <v>1144</v>
      </c>
      <c r="G38" s="11" t="s">
        <v>1145</v>
      </c>
      <c r="H38" s="11" t="s">
        <v>1144</v>
      </c>
      <c r="I38" s="11" t="s">
        <v>1145</v>
      </c>
      <c r="J38" s="11" t="s">
        <v>766</v>
      </c>
      <c r="K38" s="11" t="n">
        <v>1</v>
      </c>
      <c r="N38" s="11" t="s">
        <v>27</v>
      </c>
    </row>
    <row r="39" customFormat="false" ht="15" hidden="false" customHeight="false" outlineLevel="0" collapsed="false">
      <c r="A39" s="2" t="s">
        <v>3502</v>
      </c>
      <c r="B39" s="11" t="s">
        <v>2147</v>
      </c>
      <c r="C39" s="11" t="s">
        <v>994</v>
      </c>
      <c r="D39" s="11" t="s">
        <v>776</v>
      </c>
      <c r="F39" s="11" t="s">
        <v>1144</v>
      </c>
      <c r="G39" s="11" t="s">
        <v>1145</v>
      </c>
      <c r="H39" s="11" t="s">
        <v>1144</v>
      </c>
      <c r="I39" s="11" t="s">
        <v>1145</v>
      </c>
      <c r="J39" s="11" t="s">
        <v>766</v>
      </c>
      <c r="K39" s="11" t="n">
        <v>1</v>
      </c>
      <c r="N39" s="11" t="s">
        <v>27</v>
      </c>
    </row>
    <row r="40" customFormat="false" ht="15" hidden="false" customHeight="false" outlineLevel="0" collapsed="false">
      <c r="A40" s="2" t="s">
        <v>3503</v>
      </c>
      <c r="B40" s="11" t="s">
        <v>2152</v>
      </c>
      <c r="C40" s="11" t="s">
        <v>989</v>
      </c>
      <c r="D40" s="11" t="s">
        <v>750</v>
      </c>
      <c r="F40" s="11" t="s">
        <v>1144</v>
      </c>
      <c r="G40" s="11" t="s">
        <v>1145</v>
      </c>
      <c r="H40" s="11" t="s">
        <v>1144</v>
      </c>
      <c r="I40" s="11" t="s">
        <v>1145</v>
      </c>
      <c r="J40" s="11" t="s">
        <v>766</v>
      </c>
      <c r="K40" s="11" t="n">
        <v>1</v>
      </c>
      <c r="N40" s="11" t="s">
        <v>27</v>
      </c>
    </row>
    <row r="41" customFormat="false" ht="15" hidden="false" customHeight="false" outlineLevel="0" collapsed="false">
      <c r="A41" s="2" t="s">
        <v>3504</v>
      </c>
      <c r="B41" s="11" t="s">
        <v>2152</v>
      </c>
      <c r="C41" s="11" t="s">
        <v>994</v>
      </c>
      <c r="D41" s="11" t="s">
        <v>776</v>
      </c>
      <c r="F41" s="11" t="s">
        <v>1144</v>
      </c>
      <c r="G41" s="11" t="s">
        <v>1145</v>
      </c>
      <c r="H41" s="11" t="s">
        <v>1144</v>
      </c>
      <c r="I41" s="11" t="s">
        <v>1145</v>
      </c>
      <c r="J41" s="11" t="s">
        <v>766</v>
      </c>
      <c r="K41" s="11" t="n">
        <v>1</v>
      </c>
      <c r="N41" s="11" t="s">
        <v>27</v>
      </c>
    </row>
    <row r="42" customFormat="false" ht="15" hidden="false" customHeight="false" outlineLevel="0" collapsed="false">
      <c r="A42" s="2" t="s">
        <v>3505</v>
      </c>
      <c r="B42" s="11" t="s">
        <v>2158</v>
      </c>
      <c r="C42" s="11" t="s">
        <v>989</v>
      </c>
      <c r="D42" s="11" t="s">
        <v>750</v>
      </c>
      <c r="F42" s="11" t="s">
        <v>1144</v>
      </c>
      <c r="G42" s="11" t="s">
        <v>1145</v>
      </c>
      <c r="H42" s="11" t="s">
        <v>1144</v>
      </c>
      <c r="I42" s="11" t="s">
        <v>1145</v>
      </c>
      <c r="J42" s="11" t="s">
        <v>766</v>
      </c>
      <c r="K42" s="11" t="n">
        <v>1</v>
      </c>
      <c r="N42" s="11" t="s">
        <v>27</v>
      </c>
    </row>
    <row r="43" customFormat="false" ht="15" hidden="false" customHeight="false" outlineLevel="0" collapsed="false">
      <c r="A43" s="2" t="s">
        <v>3506</v>
      </c>
      <c r="B43" s="11" t="s">
        <v>2158</v>
      </c>
      <c r="C43" s="11" t="s">
        <v>994</v>
      </c>
      <c r="D43" s="11" t="s">
        <v>776</v>
      </c>
      <c r="F43" s="11" t="s">
        <v>1144</v>
      </c>
      <c r="G43" s="11" t="s">
        <v>1145</v>
      </c>
      <c r="H43" s="11" t="s">
        <v>1144</v>
      </c>
      <c r="I43" s="11" t="s">
        <v>1145</v>
      </c>
      <c r="J43" s="11" t="s">
        <v>766</v>
      </c>
      <c r="K43" s="11" t="n">
        <v>1</v>
      </c>
      <c r="N43" s="11" t="s">
        <v>27</v>
      </c>
    </row>
    <row r="44" customFormat="false" ht="15" hidden="false" customHeight="false" outlineLevel="0" collapsed="false">
      <c r="A44" s="2" t="s">
        <v>3507</v>
      </c>
      <c r="B44" s="11" t="s">
        <v>2166</v>
      </c>
      <c r="C44" s="11" t="s">
        <v>1009</v>
      </c>
      <c r="D44" s="11" t="s">
        <v>750</v>
      </c>
      <c r="F44" s="11" t="s">
        <v>1144</v>
      </c>
      <c r="G44" s="11" t="s">
        <v>1145</v>
      </c>
      <c r="H44" s="11" t="s">
        <v>1144</v>
      </c>
      <c r="I44" s="11" t="s">
        <v>1145</v>
      </c>
      <c r="J44" s="11" t="s">
        <v>766</v>
      </c>
      <c r="K44" s="11" t="n">
        <v>1</v>
      </c>
      <c r="N44" s="11" t="s">
        <v>27</v>
      </c>
    </row>
    <row r="45" customFormat="false" ht="15" hidden="false" customHeight="false" outlineLevel="0" collapsed="false">
      <c r="A45" s="2" t="s">
        <v>3508</v>
      </c>
      <c r="B45" s="11" t="s">
        <v>2166</v>
      </c>
      <c r="C45" s="11" t="s">
        <v>1014</v>
      </c>
      <c r="D45" s="11" t="s">
        <v>776</v>
      </c>
      <c r="F45" s="11" t="s">
        <v>1144</v>
      </c>
      <c r="G45" s="11" t="s">
        <v>1145</v>
      </c>
      <c r="H45" s="11" t="s">
        <v>1144</v>
      </c>
      <c r="I45" s="11" t="s">
        <v>1145</v>
      </c>
      <c r="J45" s="11" t="s">
        <v>766</v>
      </c>
      <c r="K45" s="11" t="n">
        <v>1</v>
      </c>
      <c r="N45" s="11" t="s">
        <v>27</v>
      </c>
    </row>
    <row r="46" customFormat="false" ht="15" hidden="false" customHeight="false" outlineLevel="0" collapsed="false">
      <c r="A46" s="2" t="s">
        <v>3509</v>
      </c>
      <c r="B46" s="11" t="s">
        <v>2171</v>
      </c>
      <c r="C46" s="11" t="s">
        <v>989</v>
      </c>
      <c r="D46" s="11" t="s">
        <v>750</v>
      </c>
      <c r="F46" s="11" t="s">
        <v>1144</v>
      </c>
      <c r="G46" s="11" t="s">
        <v>1145</v>
      </c>
      <c r="H46" s="11" t="s">
        <v>1144</v>
      </c>
      <c r="I46" s="11" t="s">
        <v>1145</v>
      </c>
      <c r="J46" s="11" t="s">
        <v>766</v>
      </c>
      <c r="K46" s="11" t="n">
        <v>1</v>
      </c>
      <c r="N46" s="11" t="s">
        <v>27</v>
      </c>
    </row>
    <row r="47" customFormat="false" ht="15" hidden="false" customHeight="false" outlineLevel="0" collapsed="false">
      <c r="A47" s="2" t="s">
        <v>3510</v>
      </c>
      <c r="B47" s="11" t="s">
        <v>2171</v>
      </c>
      <c r="C47" s="11" t="s">
        <v>994</v>
      </c>
      <c r="D47" s="11" t="s">
        <v>776</v>
      </c>
      <c r="F47" s="11" t="s">
        <v>1144</v>
      </c>
      <c r="G47" s="11" t="s">
        <v>1145</v>
      </c>
      <c r="H47" s="11" t="s">
        <v>1144</v>
      </c>
      <c r="I47" s="11" t="s">
        <v>1145</v>
      </c>
      <c r="J47" s="11" t="s">
        <v>766</v>
      </c>
      <c r="K47" s="11" t="n">
        <v>1</v>
      </c>
      <c r="N47" s="11" t="s">
        <v>27</v>
      </c>
    </row>
    <row r="48" customFormat="false" ht="15" hidden="false" customHeight="false" outlineLevel="0" collapsed="false">
      <c r="A48" s="2" t="s">
        <v>3511</v>
      </c>
      <c r="B48" s="11" t="s">
        <v>1841</v>
      </c>
      <c r="C48" s="11" t="s">
        <v>989</v>
      </c>
      <c r="D48" s="11" t="s">
        <v>750</v>
      </c>
      <c r="F48" s="11" t="s">
        <v>1144</v>
      </c>
      <c r="G48" s="11" t="s">
        <v>1145</v>
      </c>
      <c r="H48" s="11" t="s">
        <v>1144</v>
      </c>
      <c r="I48" s="11" t="s">
        <v>1145</v>
      </c>
      <c r="J48" s="11" t="s">
        <v>766</v>
      </c>
      <c r="K48" s="11" t="n">
        <v>1</v>
      </c>
      <c r="N48" s="11" t="s">
        <v>27</v>
      </c>
    </row>
    <row r="49" customFormat="false" ht="15" hidden="false" customHeight="false" outlineLevel="0" collapsed="false">
      <c r="A49" s="2" t="s">
        <v>3512</v>
      </c>
      <c r="B49" s="11" t="s">
        <v>1841</v>
      </c>
      <c r="C49" s="11" t="s">
        <v>994</v>
      </c>
      <c r="D49" s="11" t="s">
        <v>776</v>
      </c>
      <c r="F49" s="11" t="s">
        <v>1144</v>
      </c>
      <c r="G49" s="11" t="s">
        <v>1145</v>
      </c>
      <c r="H49" s="11" t="s">
        <v>1144</v>
      </c>
      <c r="I49" s="11" t="s">
        <v>1145</v>
      </c>
      <c r="J49" s="11" t="s">
        <v>766</v>
      </c>
      <c r="K49" s="11" t="n">
        <v>1</v>
      </c>
      <c r="N49" s="11" t="s">
        <v>27</v>
      </c>
    </row>
    <row r="50" customFormat="false" ht="15" hidden="false" customHeight="false" outlineLevel="0" collapsed="false">
      <c r="A50" s="2" t="s">
        <v>3513</v>
      </c>
      <c r="B50" s="11" t="s">
        <v>1832</v>
      </c>
      <c r="C50" s="11" t="s">
        <v>989</v>
      </c>
      <c r="D50" s="11" t="s">
        <v>750</v>
      </c>
      <c r="F50" s="11" t="s">
        <v>1144</v>
      </c>
      <c r="G50" s="11" t="s">
        <v>1145</v>
      </c>
      <c r="H50" s="11" t="s">
        <v>1144</v>
      </c>
      <c r="I50" s="11" t="s">
        <v>1145</v>
      </c>
      <c r="J50" s="11" t="s">
        <v>766</v>
      </c>
      <c r="K50" s="11" t="n">
        <v>1</v>
      </c>
      <c r="N50" s="11" t="s">
        <v>27</v>
      </c>
    </row>
    <row r="51" customFormat="false" ht="15" hidden="false" customHeight="false" outlineLevel="0" collapsed="false">
      <c r="A51" s="2" t="s">
        <v>3514</v>
      </c>
      <c r="B51" s="11" t="s">
        <v>1832</v>
      </c>
      <c r="C51" s="11" t="s">
        <v>994</v>
      </c>
      <c r="D51" s="11" t="s">
        <v>776</v>
      </c>
      <c r="F51" s="11" t="s">
        <v>1144</v>
      </c>
      <c r="G51" s="11" t="s">
        <v>1145</v>
      </c>
      <c r="H51" s="11" t="s">
        <v>1144</v>
      </c>
      <c r="I51" s="11" t="s">
        <v>1145</v>
      </c>
      <c r="J51" s="11" t="s">
        <v>766</v>
      </c>
      <c r="K51" s="11" t="n">
        <v>1</v>
      </c>
      <c r="N51" s="11" t="s">
        <v>27</v>
      </c>
    </row>
    <row r="52" customFormat="false" ht="15" hidden="false" customHeight="false" outlineLevel="0" collapsed="false">
      <c r="A52" s="2" t="s">
        <v>3515</v>
      </c>
      <c r="B52" s="11" t="s">
        <v>2193</v>
      </c>
      <c r="C52" s="11" t="s">
        <v>1009</v>
      </c>
      <c r="D52" s="11" t="s">
        <v>750</v>
      </c>
      <c r="F52" s="11" t="s">
        <v>1144</v>
      </c>
      <c r="G52" s="11" t="s">
        <v>1145</v>
      </c>
      <c r="H52" s="11" t="s">
        <v>1144</v>
      </c>
      <c r="I52" s="11" t="s">
        <v>1145</v>
      </c>
      <c r="J52" s="11" t="s">
        <v>766</v>
      </c>
      <c r="K52" s="11" t="n">
        <v>1</v>
      </c>
      <c r="N52" s="11" t="s">
        <v>27</v>
      </c>
    </row>
    <row r="53" customFormat="false" ht="15" hidden="false" customHeight="false" outlineLevel="0" collapsed="false">
      <c r="A53" s="2" t="s">
        <v>3516</v>
      </c>
      <c r="B53" s="11" t="s">
        <v>2193</v>
      </c>
      <c r="C53" s="11" t="s">
        <v>1014</v>
      </c>
      <c r="D53" s="11" t="s">
        <v>776</v>
      </c>
      <c r="F53" s="11" t="s">
        <v>1144</v>
      </c>
      <c r="G53" s="11" t="s">
        <v>1145</v>
      </c>
      <c r="H53" s="11" t="s">
        <v>1144</v>
      </c>
      <c r="I53" s="11" t="s">
        <v>1145</v>
      </c>
      <c r="J53" s="11" t="s">
        <v>766</v>
      </c>
      <c r="K53" s="11" t="n">
        <v>1</v>
      </c>
      <c r="N53" s="11" t="s">
        <v>27</v>
      </c>
    </row>
    <row r="54" customFormat="false" ht="15" hidden="false" customHeight="false" outlineLevel="0" collapsed="false">
      <c r="A54" s="2" t="s">
        <v>3517</v>
      </c>
      <c r="B54" s="11" t="s">
        <v>2201</v>
      </c>
      <c r="C54" s="11" t="s">
        <v>1009</v>
      </c>
      <c r="D54" s="11" t="s">
        <v>750</v>
      </c>
      <c r="F54" s="11" t="s">
        <v>1144</v>
      </c>
      <c r="G54" s="11" t="s">
        <v>1145</v>
      </c>
      <c r="H54" s="11" t="s">
        <v>1144</v>
      </c>
      <c r="I54" s="11" t="s">
        <v>1145</v>
      </c>
      <c r="J54" s="11" t="s">
        <v>766</v>
      </c>
      <c r="K54" s="11" t="n">
        <v>1</v>
      </c>
      <c r="N54" s="11" t="s">
        <v>27</v>
      </c>
    </row>
    <row r="55" customFormat="false" ht="15" hidden="false" customHeight="false" outlineLevel="0" collapsed="false">
      <c r="A55" s="2" t="s">
        <v>3518</v>
      </c>
      <c r="B55" s="11" t="s">
        <v>2201</v>
      </c>
      <c r="C55" s="11" t="s">
        <v>1014</v>
      </c>
      <c r="D55" s="11" t="s">
        <v>776</v>
      </c>
      <c r="F55" s="11" t="s">
        <v>1144</v>
      </c>
      <c r="G55" s="11" t="s">
        <v>1145</v>
      </c>
      <c r="H55" s="11" t="s">
        <v>1144</v>
      </c>
      <c r="I55" s="11" t="s">
        <v>1145</v>
      </c>
      <c r="J55" s="11" t="s">
        <v>766</v>
      </c>
      <c r="K55" s="11" t="n">
        <v>1</v>
      </c>
      <c r="N55" s="11" t="s">
        <v>27</v>
      </c>
    </row>
    <row r="56" customFormat="false" ht="15" hidden="false" customHeight="false" outlineLevel="0" collapsed="false">
      <c r="A56" s="2" t="s">
        <v>3519</v>
      </c>
      <c r="B56" s="11" t="s">
        <v>2207</v>
      </c>
      <c r="C56" s="11" t="s">
        <v>1009</v>
      </c>
      <c r="D56" s="11" t="s">
        <v>750</v>
      </c>
      <c r="F56" s="11" t="s">
        <v>1144</v>
      </c>
      <c r="G56" s="11" t="s">
        <v>1145</v>
      </c>
      <c r="H56" s="11" t="s">
        <v>1144</v>
      </c>
      <c r="I56" s="11" t="s">
        <v>1145</v>
      </c>
      <c r="J56" s="11" t="s">
        <v>766</v>
      </c>
      <c r="K56" s="11" t="n">
        <v>1</v>
      </c>
      <c r="N56" s="11" t="s">
        <v>27</v>
      </c>
    </row>
    <row r="57" customFormat="false" ht="15" hidden="false" customHeight="false" outlineLevel="0" collapsed="false">
      <c r="A57" s="2" t="s">
        <v>3520</v>
      </c>
      <c r="B57" s="11" t="s">
        <v>2207</v>
      </c>
      <c r="C57" s="11" t="s">
        <v>1014</v>
      </c>
      <c r="D57" s="11" t="s">
        <v>776</v>
      </c>
      <c r="F57" s="11" t="s">
        <v>1144</v>
      </c>
      <c r="G57" s="11" t="s">
        <v>1145</v>
      </c>
      <c r="H57" s="11" t="s">
        <v>1144</v>
      </c>
      <c r="I57" s="11" t="s">
        <v>1145</v>
      </c>
      <c r="J57" s="11" t="s">
        <v>766</v>
      </c>
      <c r="K57" s="11" t="n">
        <v>1</v>
      </c>
      <c r="N57" s="11" t="s">
        <v>27</v>
      </c>
    </row>
    <row r="58" customFormat="false" ht="15" hidden="false" customHeight="false" outlineLevel="0" collapsed="false">
      <c r="A58" s="2" t="s">
        <v>3521</v>
      </c>
      <c r="B58" s="11" t="s">
        <v>1882</v>
      </c>
      <c r="C58" s="11" t="s">
        <v>1024</v>
      </c>
      <c r="D58" s="11" t="s">
        <v>750</v>
      </c>
      <c r="F58" s="11" t="s">
        <v>1144</v>
      </c>
      <c r="G58" s="11" t="s">
        <v>1145</v>
      </c>
      <c r="H58" s="11" t="s">
        <v>1144</v>
      </c>
      <c r="I58" s="11" t="s">
        <v>1145</v>
      </c>
      <c r="J58" s="11" t="s">
        <v>766</v>
      </c>
      <c r="K58" s="11" t="n">
        <v>1</v>
      </c>
      <c r="N58" s="11" t="s">
        <v>27</v>
      </c>
    </row>
    <row r="59" customFormat="false" ht="15" hidden="false" customHeight="false" outlineLevel="0" collapsed="false">
      <c r="A59" s="2" t="s">
        <v>3522</v>
      </c>
      <c r="B59" s="11" t="s">
        <v>1882</v>
      </c>
      <c r="C59" s="11" t="s">
        <v>1029</v>
      </c>
      <c r="D59" s="11" t="s">
        <v>776</v>
      </c>
      <c r="F59" s="11" t="s">
        <v>1144</v>
      </c>
      <c r="G59" s="11" t="s">
        <v>1145</v>
      </c>
      <c r="H59" s="11" t="s">
        <v>1144</v>
      </c>
      <c r="I59" s="11" t="s">
        <v>1145</v>
      </c>
      <c r="J59" s="11" t="s">
        <v>766</v>
      </c>
      <c r="K59" s="11" t="n">
        <v>1</v>
      </c>
      <c r="N59" s="11" t="s">
        <v>27</v>
      </c>
    </row>
    <row r="60" customFormat="false" ht="15" hidden="false" customHeight="false" outlineLevel="0" collapsed="false">
      <c r="A60" s="2" t="s">
        <v>3523</v>
      </c>
      <c r="B60" s="11" t="s">
        <v>2221</v>
      </c>
      <c r="C60" s="11" t="s">
        <v>1024</v>
      </c>
      <c r="D60" s="11" t="s">
        <v>750</v>
      </c>
      <c r="F60" s="11" t="s">
        <v>1144</v>
      </c>
      <c r="G60" s="11" t="s">
        <v>1145</v>
      </c>
      <c r="H60" s="11" t="s">
        <v>1144</v>
      </c>
      <c r="I60" s="11" t="s">
        <v>1145</v>
      </c>
      <c r="J60" s="11" t="s">
        <v>766</v>
      </c>
      <c r="K60" s="11" t="n">
        <v>1</v>
      </c>
      <c r="N60" s="11" t="s">
        <v>27</v>
      </c>
    </row>
    <row r="61" customFormat="false" ht="15" hidden="false" customHeight="false" outlineLevel="0" collapsed="false">
      <c r="A61" s="2" t="s">
        <v>3524</v>
      </c>
      <c r="B61" s="11" t="s">
        <v>2221</v>
      </c>
      <c r="C61" s="11" t="s">
        <v>1029</v>
      </c>
      <c r="D61" s="11" t="s">
        <v>776</v>
      </c>
      <c r="F61" s="11" t="s">
        <v>1144</v>
      </c>
      <c r="G61" s="11" t="s">
        <v>1145</v>
      </c>
      <c r="H61" s="11" t="s">
        <v>1144</v>
      </c>
      <c r="I61" s="11" t="s">
        <v>1145</v>
      </c>
      <c r="J61" s="11" t="s">
        <v>766</v>
      </c>
      <c r="K61" s="11" t="n">
        <v>1</v>
      </c>
      <c r="N61" s="11" t="s">
        <v>27</v>
      </c>
    </row>
    <row r="62" customFormat="false" ht="15" hidden="false" customHeight="false" outlineLevel="0" collapsed="false">
      <c r="A62" s="2" t="s">
        <v>3525</v>
      </c>
      <c r="B62" s="11" t="s">
        <v>2230</v>
      </c>
      <c r="C62" s="11" t="s">
        <v>1009</v>
      </c>
      <c r="D62" s="11" t="s">
        <v>750</v>
      </c>
      <c r="F62" s="11" t="s">
        <v>1144</v>
      </c>
      <c r="G62" s="11" t="s">
        <v>1145</v>
      </c>
      <c r="H62" s="11" t="s">
        <v>1144</v>
      </c>
      <c r="I62" s="11" t="s">
        <v>1145</v>
      </c>
      <c r="J62" s="11" t="s">
        <v>766</v>
      </c>
      <c r="K62" s="11" t="n">
        <v>1</v>
      </c>
      <c r="N62" s="11" t="s">
        <v>27</v>
      </c>
    </row>
    <row r="63" customFormat="false" ht="15" hidden="false" customHeight="false" outlineLevel="0" collapsed="false">
      <c r="A63" s="2" t="s">
        <v>3526</v>
      </c>
      <c r="B63" s="11" t="s">
        <v>2230</v>
      </c>
      <c r="C63" s="11" t="s">
        <v>1014</v>
      </c>
      <c r="D63" s="11" t="s">
        <v>776</v>
      </c>
      <c r="F63" s="11" t="s">
        <v>1144</v>
      </c>
      <c r="G63" s="11" t="s">
        <v>1145</v>
      </c>
      <c r="H63" s="11" t="s">
        <v>1144</v>
      </c>
      <c r="I63" s="11" t="s">
        <v>1145</v>
      </c>
      <c r="J63" s="11" t="s">
        <v>766</v>
      </c>
      <c r="K63" s="11" t="n">
        <v>1</v>
      </c>
      <c r="N63" s="11" t="s">
        <v>27</v>
      </c>
    </row>
    <row r="64" customFormat="false" ht="15" hidden="false" customHeight="false" outlineLevel="0" collapsed="false">
      <c r="A64" s="2" t="s">
        <v>3527</v>
      </c>
      <c r="B64" s="11" t="s">
        <v>2236</v>
      </c>
      <c r="C64" s="11" t="s">
        <v>1009</v>
      </c>
      <c r="D64" s="11" t="s">
        <v>750</v>
      </c>
      <c r="F64" s="11" t="s">
        <v>1144</v>
      </c>
      <c r="G64" s="11" t="s">
        <v>1145</v>
      </c>
      <c r="H64" s="11" t="s">
        <v>1144</v>
      </c>
      <c r="I64" s="11" t="s">
        <v>1145</v>
      </c>
      <c r="J64" s="11" t="s">
        <v>766</v>
      </c>
      <c r="K64" s="11" t="n">
        <v>1</v>
      </c>
      <c r="N64" s="11" t="s">
        <v>27</v>
      </c>
    </row>
    <row r="65" customFormat="false" ht="15" hidden="false" customHeight="false" outlineLevel="0" collapsed="false">
      <c r="A65" s="2" t="s">
        <v>3528</v>
      </c>
      <c r="B65" s="11" t="s">
        <v>2236</v>
      </c>
      <c r="C65" s="11" t="s">
        <v>1014</v>
      </c>
      <c r="D65" s="11" t="s">
        <v>776</v>
      </c>
      <c r="F65" s="11" t="s">
        <v>1144</v>
      </c>
      <c r="G65" s="11" t="s">
        <v>1145</v>
      </c>
      <c r="H65" s="11" t="s">
        <v>1144</v>
      </c>
      <c r="I65" s="11" t="s">
        <v>1145</v>
      </c>
      <c r="J65" s="11" t="s">
        <v>766</v>
      </c>
      <c r="K65" s="11" t="n">
        <v>1</v>
      </c>
      <c r="N65" s="11" t="s">
        <v>27</v>
      </c>
    </row>
    <row r="66" customFormat="false" ht="15" hidden="false" customHeight="false" outlineLevel="0" collapsed="false">
      <c r="A66" s="2" t="s">
        <v>3529</v>
      </c>
      <c r="B66" s="11" t="s">
        <v>2242</v>
      </c>
      <c r="C66" s="11" t="s">
        <v>1009</v>
      </c>
      <c r="D66" s="11" t="s">
        <v>750</v>
      </c>
      <c r="F66" s="11" t="s">
        <v>1144</v>
      </c>
      <c r="G66" s="11" t="s">
        <v>1145</v>
      </c>
      <c r="H66" s="11" t="s">
        <v>1144</v>
      </c>
      <c r="I66" s="11" t="s">
        <v>1145</v>
      </c>
      <c r="J66" s="11" t="s">
        <v>766</v>
      </c>
      <c r="K66" s="11" t="n">
        <v>1</v>
      </c>
      <c r="N66" s="11" t="s">
        <v>27</v>
      </c>
    </row>
    <row r="67" customFormat="false" ht="15" hidden="false" customHeight="false" outlineLevel="0" collapsed="false">
      <c r="A67" s="2" t="s">
        <v>3530</v>
      </c>
      <c r="B67" s="11" t="s">
        <v>2242</v>
      </c>
      <c r="C67" s="11" t="s">
        <v>1014</v>
      </c>
      <c r="D67" s="11" t="s">
        <v>776</v>
      </c>
      <c r="F67" s="11" t="s">
        <v>1144</v>
      </c>
      <c r="G67" s="11" t="s">
        <v>1145</v>
      </c>
      <c r="H67" s="11" t="s">
        <v>1144</v>
      </c>
      <c r="I67" s="11" t="s">
        <v>1145</v>
      </c>
      <c r="J67" s="11" t="s">
        <v>766</v>
      </c>
      <c r="K67" s="11" t="n">
        <v>1</v>
      </c>
      <c r="N67" s="11" t="s">
        <v>27</v>
      </c>
    </row>
    <row r="68" customFormat="false" ht="15" hidden="false" customHeight="false" outlineLevel="0" collapsed="false">
      <c r="A68" s="2" t="s">
        <v>3531</v>
      </c>
      <c r="B68" s="11" t="s">
        <v>2248</v>
      </c>
      <c r="C68" s="11" t="s">
        <v>989</v>
      </c>
      <c r="D68" s="11" t="s">
        <v>750</v>
      </c>
      <c r="F68" s="11" t="s">
        <v>1144</v>
      </c>
      <c r="G68" s="11" t="s">
        <v>1145</v>
      </c>
      <c r="H68" s="11" t="s">
        <v>1144</v>
      </c>
      <c r="I68" s="11" t="s">
        <v>1145</v>
      </c>
      <c r="J68" s="11" t="s">
        <v>766</v>
      </c>
      <c r="K68" s="11" t="n">
        <v>1</v>
      </c>
      <c r="N68" s="11" t="s">
        <v>27</v>
      </c>
    </row>
    <row r="69" customFormat="false" ht="15" hidden="false" customHeight="false" outlineLevel="0" collapsed="false">
      <c r="A69" s="2" t="s">
        <v>3532</v>
      </c>
      <c r="B69" s="11" t="s">
        <v>2248</v>
      </c>
      <c r="C69" s="11" t="s">
        <v>994</v>
      </c>
      <c r="D69" s="11" t="s">
        <v>776</v>
      </c>
      <c r="F69" s="11" t="s">
        <v>1144</v>
      </c>
      <c r="G69" s="11" t="s">
        <v>1145</v>
      </c>
      <c r="H69" s="11" t="s">
        <v>1144</v>
      </c>
      <c r="I69" s="11" t="s">
        <v>1145</v>
      </c>
      <c r="J69" s="11" t="s">
        <v>766</v>
      </c>
      <c r="K69" s="11" t="n">
        <v>1</v>
      </c>
      <c r="N69" s="11" t="s">
        <v>27</v>
      </c>
    </row>
    <row r="70" customFormat="false" ht="15" hidden="false" customHeight="false" outlineLevel="0" collapsed="false">
      <c r="A70" s="2" t="s">
        <v>3533</v>
      </c>
      <c r="B70" s="11" t="s">
        <v>2254</v>
      </c>
      <c r="C70" s="11" t="s">
        <v>994</v>
      </c>
      <c r="D70" s="11" t="s">
        <v>750</v>
      </c>
      <c r="F70" s="11" t="s">
        <v>1144</v>
      </c>
      <c r="G70" s="11" t="s">
        <v>1145</v>
      </c>
      <c r="H70" s="11" t="s">
        <v>1144</v>
      </c>
      <c r="I70" s="11" t="s">
        <v>1145</v>
      </c>
      <c r="J70" s="11" t="s">
        <v>766</v>
      </c>
      <c r="K70" s="11" t="n">
        <v>1</v>
      </c>
      <c r="N70" s="11" t="s">
        <v>27</v>
      </c>
    </row>
    <row r="71" customFormat="false" ht="15" hidden="false" customHeight="false" outlineLevel="0" collapsed="false">
      <c r="A71" s="2" t="s">
        <v>3534</v>
      </c>
      <c r="B71" s="11" t="s">
        <v>2254</v>
      </c>
      <c r="C71" s="11" t="s">
        <v>1014</v>
      </c>
      <c r="D71" s="11" t="s">
        <v>776</v>
      </c>
      <c r="F71" s="11" t="s">
        <v>1144</v>
      </c>
      <c r="G71" s="11" t="s">
        <v>1145</v>
      </c>
      <c r="H71" s="11" t="s">
        <v>1144</v>
      </c>
      <c r="I71" s="11" t="s">
        <v>1145</v>
      </c>
      <c r="J71" s="11" t="s">
        <v>766</v>
      </c>
      <c r="K71" s="11" t="n">
        <v>1</v>
      </c>
      <c r="N71" s="11" t="s">
        <v>27</v>
      </c>
    </row>
    <row r="72" customFormat="false" ht="15" hidden="false" customHeight="false" outlineLevel="0" collapsed="false">
      <c r="A72" s="2" t="s">
        <v>3535</v>
      </c>
      <c r="B72" s="11" t="s">
        <v>2260</v>
      </c>
      <c r="C72" s="11" t="s">
        <v>1009</v>
      </c>
      <c r="D72" s="11" t="s">
        <v>750</v>
      </c>
      <c r="F72" s="11" t="s">
        <v>1144</v>
      </c>
      <c r="G72" s="11" t="s">
        <v>1145</v>
      </c>
      <c r="H72" s="11" t="s">
        <v>1144</v>
      </c>
      <c r="I72" s="11" t="s">
        <v>1145</v>
      </c>
      <c r="J72" s="11" t="s">
        <v>766</v>
      </c>
      <c r="K72" s="11" t="n">
        <v>1</v>
      </c>
      <c r="N72" s="11" t="s">
        <v>27</v>
      </c>
    </row>
    <row r="73" customFormat="false" ht="15" hidden="false" customHeight="false" outlineLevel="0" collapsed="false">
      <c r="A73" s="2" t="s">
        <v>3536</v>
      </c>
      <c r="B73" s="11" t="s">
        <v>2260</v>
      </c>
      <c r="C73" s="11" t="s">
        <v>1014</v>
      </c>
      <c r="D73" s="11" t="s">
        <v>776</v>
      </c>
      <c r="F73" s="11" t="s">
        <v>1144</v>
      </c>
      <c r="G73" s="11" t="s">
        <v>1145</v>
      </c>
      <c r="H73" s="11" t="s">
        <v>1144</v>
      </c>
      <c r="I73" s="11" t="s">
        <v>1145</v>
      </c>
      <c r="J73" s="11" t="s">
        <v>766</v>
      </c>
      <c r="K73" s="11" t="n">
        <v>1</v>
      </c>
      <c r="N73" s="11" t="s">
        <v>27</v>
      </c>
    </row>
    <row r="74" customFormat="false" ht="15" hidden="false" customHeight="false" outlineLevel="0" collapsed="false">
      <c r="A74" s="2" t="s">
        <v>3537</v>
      </c>
      <c r="B74" s="11" t="s">
        <v>2265</v>
      </c>
      <c r="C74" s="11" t="s">
        <v>1009</v>
      </c>
      <c r="D74" s="11" t="s">
        <v>750</v>
      </c>
      <c r="F74" s="11" t="s">
        <v>1144</v>
      </c>
      <c r="G74" s="11" t="s">
        <v>1145</v>
      </c>
      <c r="H74" s="11" t="s">
        <v>1144</v>
      </c>
      <c r="I74" s="11" t="s">
        <v>1145</v>
      </c>
      <c r="J74" s="11" t="s">
        <v>766</v>
      </c>
      <c r="K74" s="11" t="n">
        <v>1</v>
      </c>
      <c r="N74" s="11" t="s">
        <v>27</v>
      </c>
    </row>
    <row r="75" customFormat="false" ht="15" hidden="false" customHeight="false" outlineLevel="0" collapsed="false">
      <c r="A75" s="2" t="s">
        <v>3538</v>
      </c>
      <c r="B75" s="11" t="s">
        <v>2265</v>
      </c>
      <c r="C75" s="11" t="s">
        <v>1014</v>
      </c>
      <c r="D75" s="11" t="s">
        <v>776</v>
      </c>
      <c r="F75" s="11" t="s">
        <v>1144</v>
      </c>
      <c r="G75" s="11" t="s">
        <v>1145</v>
      </c>
      <c r="H75" s="11" t="s">
        <v>1144</v>
      </c>
      <c r="I75" s="11" t="s">
        <v>1145</v>
      </c>
      <c r="J75" s="11" t="s">
        <v>766</v>
      </c>
      <c r="K75" s="11" t="n">
        <v>1</v>
      </c>
      <c r="N75" s="11" t="s">
        <v>27</v>
      </c>
    </row>
    <row r="76" customFormat="false" ht="15" hidden="false" customHeight="false" outlineLevel="0" collapsed="false">
      <c r="A76" s="2" t="s">
        <v>3539</v>
      </c>
      <c r="B76" s="11" t="s">
        <v>2271</v>
      </c>
      <c r="C76" s="11" t="s">
        <v>981</v>
      </c>
      <c r="D76" s="11" t="s">
        <v>750</v>
      </c>
      <c r="F76" s="11" t="s">
        <v>1144</v>
      </c>
      <c r="G76" s="11" t="s">
        <v>1145</v>
      </c>
      <c r="H76" s="11" t="s">
        <v>1144</v>
      </c>
      <c r="I76" s="11" t="s">
        <v>1145</v>
      </c>
      <c r="J76" s="11" t="s">
        <v>766</v>
      </c>
      <c r="K76" s="11" t="n">
        <v>1</v>
      </c>
      <c r="N76" s="11" t="s">
        <v>27</v>
      </c>
    </row>
    <row r="77" customFormat="false" ht="15" hidden="false" customHeight="false" outlineLevel="0" collapsed="false">
      <c r="A77" s="2" t="s">
        <v>3540</v>
      </c>
      <c r="B77" s="11" t="s">
        <v>2271</v>
      </c>
      <c r="C77" s="11" t="s">
        <v>989</v>
      </c>
      <c r="D77" s="11" t="s">
        <v>776</v>
      </c>
      <c r="F77" s="11" t="s">
        <v>1144</v>
      </c>
      <c r="G77" s="11" t="s">
        <v>1145</v>
      </c>
      <c r="H77" s="11" t="s">
        <v>1144</v>
      </c>
      <c r="I77" s="11" t="s">
        <v>1145</v>
      </c>
      <c r="J77" s="11" t="s">
        <v>766</v>
      </c>
      <c r="K77" s="11" t="n">
        <v>1</v>
      </c>
      <c r="N77" s="11" t="s">
        <v>27</v>
      </c>
    </row>
    <row r="78" customFormat="false" ht="15" hidden="false" customHeight="false" outlineLevel="0" collapsed="false">
      <c r="A78" s="2" t="s">
        <v>3541</v>
      </c>
      <c r="B78" s="11" t="s">
        <v>2277</v>
      </c>
      <c r="C78" s="11" t="s">
        <v>989</v>
      </c>
      <c r="D78" s="11" t="s">
        <v>750</v>
      </c>
      <c r="F78" s="11" t="s">
        <v>1144</v>
      </c>
      <c r="G78" s="11" t="s">
        <v>1145</v>
      </c>
      <c r="H78" s="11" t="s">
        <v>1144</v>
      </c>
      <c r="I78" s="11" t="s">
        <v>1145</v>
      </c>
      <c r="J78" s="11" t="s">
        <v>766</v>
      </c>
      <c r="K78" s="11" t="n">
        <v>1</v>
      </c>
      <c r="N78" s="11" t="s">
        <v>27</v>
      </c>
    </row>
    <row r="79" customFormat="false" ht="15" hidden="false" customHeight="false" outlineLevel="0" collapsed="false">
      <c r="A79" s="2" t="s">
        <v>3542</v>
      </c>
      <c r="B79" s="11" t="s">
        <v>2277</v>
      </c>
      <c r="C79" s="11" t="s">
        <v>994</v>
      </c>
      <c r="D79" s="11" t="s">
        <v>776</v>
      </c>
      <c r="F79" s="11" t="s">
        <v>1144</v>
      </c>
      <c r="G79" s="11" t="s">
        <v>1145</v>
      </c>
      <c r="H79" s="11" t="s">
        <v>1144</v>
      </c>
      <c r="I79" s="11" t="s">
        <v>1145</v>
      </c>
      <c r="J79" s="11" t="s">
        <v>766</v>
      </c>
      <c r="K79" s="11" t="n">
        <v>1</v>
      </c>
      <c r="N79" s="11" t="s">
        <v>27</v>
      </c>
    </row>
    <row r="80" customFormat="false" ht="15" hidden="false" customHeight="false" outlineLevel="0" collapsed="false">
      <c r="A80" s="2" t="s">
        <v>3543</v>
      </c>
      <c r="B80" s="11" t="s">
        <v>1845</v>
      </c>
      <c r="C80" s="11" t="s">
        <v>981</v>
      </c>
      <c r="D80" s="11" t="s">
        <v>750</v>
      </c>
      <c r="F80" s="11" t="s">
        <v>1144</v>
      </c>
      <c r="G80" s="11" t="s">
        <v>1145</v>
      </c>
      <c r="H80" s="11" t="s">
        <v>1144</v>
      </c>
      <c r="I80" s="11" t="s">
        <v>1145</v>
      </c>
      <c r="J80" s="11" t="s">
        <v>766</v>
      </c>
      <c r="K80" s="11" t="n">
        <v>1</v>
      </c>
      <c r="N80" s="11" t="s">
        <v>27</v>
      </c>
    </row>
    <row r="81" customFormat="false" ht="15" hidden="false" customHeight="false" outlineLevel="0" collapsed="false">
      <c r="A81" s="2" t="s">
        <v>3544</v>
      </c>
      <c r="B81" s="11" t="s">
        <v>1845</v>
      </c>
      <c r="C81" s="11" t="s">
        <v>989</v>
      </c>
      <c r="D81" s="11" t="s">
        <v>776</v>
      </c>
      <c r="F81" s="11" t="s">
        <v>1144</v>
      </c>
      <c r="G81" s="11" t="s">
        <v>1145</v>
      </c>
      <c r="H81" s="11" t="s">
        <v>1144</v>
      </c>
      <c r="I81" s="11" t="s">
        <v>1145</v>
      </c>
      <c r="J81" s="11" t="s">
        <v>766</v>
      </c>
      <c r="K81" s="11" t="n">
        <v>1</v>
      </c>
      <c r="N81" s="11" t="s">
        <v>27</v>
      </c>
    </row>
    <row r="82" customFormat="false" ht="15" hidden="false" customHeight="false" outlineLevel="0" collapsed="false">
      <c r="A82" s="2" t="s">
        <v>3545</v>
      </c>
      <c r="B82" s="11" t="s">
        <v>2287</v>
      </c>
      <c r="C82" s="11" t="s">
        <v>999</v>
      </c>
      <c r="D82" s="11" t="s">
        <v>750</v>
      </c>
      <c r="F82" s="11" t="s">
        <v>1144</v>
      </c>
      <c r="G82" s="11" t="s">
        <v>1145</v>
      </c>
      <c r="H82" s="11" t="s">
        <v>1144</v>
      </c>
      <c r="I82" s="11" t="s">
        <v>1145</v>
      </c>
      <c r="J82" s="11" t="s">
        <v>766</v>
      </c>
      <c r="K82" s="11" t="n">
        <v>1</v>
      </c>
      <c r="N82" s="11" t="s">
        <v>27</v>
      </c>
    </row>
    <row r="83" customFormat="false" ht="15" hidden="false" customHeight="false" outlineLevel="0" collapsed="false">
      <c r="A83" s="2" t="s">
        <v>3546</v>
      </c>
      <c r="B83" s="11" t="s">
        <v>2287</v>
      </c>
      <c r="C83" s="11" t="s">
        <v>1004</v>
      </c>
      <c r="D83" s="11" t="s">
        <v>776</v>
      </c>
      <c r="F83" s="11" t="s">
        <v>1144</v>
      </c>
      <c r="G83" s="11" t="s">
        <v>1145</v>
      </c>
      <c r="H83" s="11" t="s">
        <v>1144</v>
      </c>
      <c r="I83" s="11" t="s">
        <v>1145</v>
      </c>
      <c r="J83" s="11" t="s">
        <v>766</v>
      </c>
      <c r="K83" s="11" t="n">
        <v>1</v>
      </c>
      <c r="N83" s="11" t="s">
        <v>27</v>
      </c>
    </row>
    <row r="84" customFormat="false" ht="15" hidden="false" customHeight="false" outlineLevel="0" collapsed="false">
      <c r="A84" s="2" t="s">
        <v>3547</v>
      </c>
      <c r="B84" s="11" t="s">
        <v>2294</v>
      </c>
      <c r="C84" s="11" t="s">
        <v>989</v>
      </c>
      <c r="D84" s="11" t="s">
        <v>750</v>
      </c>
      <c r="F84" s="11" t="s">
        <v>1144</v>
      </c>
      <c r="G84" s="11" t="s">
        <v>1145</v>
      </c>
      <c r="H84" s="11" t="s">
        <v>1144</v>
      </c>
      <c r="I84" s="11" t="s">
        <v>1145</v>
      </c>
      <c r="J84" s="11" t="s">
        <v>766</v>
      </c>
      <c r="K84" s="11" t="n">
        <v>1</v>
      </c>
      <c r="N84" s="11" t="s">
        <v>27</v>
      </c>
    </row>
    <row r="85" customFormat="false" ht="15" hidden="false" customHeight="false" outlineLevel="0" collapsed="false">
      <c r="A85" s="2" t="s">
        <v>3548</v>
      </c>
      <c r="B85" s="11" t="s">
        <v>2294</v>
      </c>
      <c r="C85" s="11" t="s">
        <v>994</v>
      </c>
      <c r="D85" s="11" t="s">
        <v>776</v>
      </c>
      <c r="F85" s="11" t="s">
        <v>1144</v>
      </c>
      <c r="G85" s="11" t="s">
        <v>1145</v>
      </c>
      <c r="H85" s="11" t="s">
        <v>1144</v>
      </c>
      <c r="I85" s="11" t="s">
        <v>1145</v>
      </c>
      <c r="J85" s="11" t="s">
        <v>766</v>
      </c>
      <c r="K85" s="11" t="n">
        <v>1</v>
      </c>
      <c r="N85" s="11" t="s">
        <v>27</v>
      </c>
    </row>
    <row r="86" customFormat="false" ht="15" hidden="false" customHeight="false" outlineLevel="0" collapsed="false">
      <c r="A86" s="2" t="s">
        <v>3549</v>
      </c>
      <c r="B86" s="11" t="s">
        <v>2299</v>
      </c>
      <c r="C86" s="11" t="s">
        <v>1024</v>
      </c>
      <c r="D86" s="11" t="s">
        <v>750</v>
      </c>
      <c r="F86" s="11" t="s">
        <v>1144</v>
      </c>
      <c r="G86" s="11" t="s">
        <v>1145</v>
      </c>
      <c r="H86" s="11" t="s">
        <v>1144</v>
      </c>
      <c r="I86" s="11" t="s">
        <v>1145</v>
      </c>
      <c r="J86" s="11" t="s">
        <v>766</v>
      </c>
      <c r="K86" s="11" t="n">
        <v>1</v>
      </c>
      <c r="N86" s="11" t="s">
        <v>27</v>
      </c>
    </row>
    <row r="87" customFormat="false" ht="15" hidden="false" customHeight="false" outlineLevel="0" collapsed="false">
      <c r="A87" s="2" t="s">
        <v>3550</v>
      </c>
      <c r="B87" s="11" t="s">
        <v>2299</v>
      </c>
      <c r="C87" s="11" t="s">
        <v>1029</v>
      </c>
      <c r="D87" s="11" t="s">
        <v>776</v>
      </c>
      <c r="F87" s="11" t="s">
        <v>1144</v>
      </c>
      <c r="G87" s="11" t="s">
        <v>1145</v>
      </c>
      <c r="H87" s="11" t="s">
        <v>1144</v>
      </c>
      <c r="I87" s="11" t="s">
        <v>1145</v>
      </c>
      <c r="J87" s="11" t="s">
        <v>766</v>
      </c>
      <c r="K87" s="11" t="n">
        <v>1</v>
      </c>
      <c r="N87" s="11" t="s">
        <v>27</v>
      </c>
    </row>
    <row r="88" customFormat="false" ht="15" hidden="false" customHeight="false" outlineLevel="0" collapsed="false">
      <c r="A88" s="2" t="s">
        <v>3551</v>
      </c>
      <c r="B88" s="11" t="s">
        <v>2305</v>
      </c>
      <c r="C88" s="11" t="s">
        <v>1009</v>
      </c>
      <c r="D88" s="11" t="s">
        <v>750</v>
      </c>
      <c r="F88" s="11" t="s">
        <v>1144</v>
      </c>
      <c r="G88" s="11" t="s">
        <v>1145</v>
      </c>
      <c r="H88" s="11" t="s">
        <v>1144</v>
      </c>
      <c r="I88" s="11" t="s">
        <v>1145</v>
      </c>
      <c r="J88" s="11" t="s">
        <v>766</v>
      </c>
      <c r="K88" s="11" t="n">
        <v>1</v>
      </c>
      <c r="N88" s="11" t="s">
        <v>27</v>
      </c>
    </row>
    <row r="89" customFormat="false" ht="15" hidden="false" customHeight="false" outlineLevel="0" collapsed="false">
      <c r="A89" s="2" t="s">
        <v>3552</v>
      </c>
      <c r="B89" s="11" t="s">
        <v>2305</v>
      </c>
      <c r="C89" s="11" t="s">
        <v>1014</v>
      </c>
      <c r="D89" s="11" t="s">
        <v>776</v>
      </c>
      <c r="F89" s="11" t="s">
        <v>1144</v>
      </c>
      <c r="G89" s="11" t="s">
        <v>1145</v>
      </c>
      <c r="H89" s="11" t="s">
        <v>1144</v>
      </c>
      <c r="I89" s="11" t="s">
        <v>1145</v>
      </c>
      <c r="J89" s="11" t="s">
        <v>766</v>
      </c>
      <c r="K89" s="11" t="n">
        <v>1</v>
      </c>
      <c r="N89" s="11" t="s">
        <v>27</v>
      </c>
    </row>
    <row r="90" customFormat="false" ht="15" hidden="false" customHeight="false" outlineLevel="0" collapsed="false">
      <c r="A90" s="2" t="s">
        <v>3553</v>
      </c>
      <c r="B90" s="11" t="s">
        <v>2311</v>
      </c>
      <c r="C90" s="11" t="s">
        <v>999</v>
      </c>
      <c r="D90" s="11" t="s">
        <v>750</v>
      </c>
      <c r="F90" s="11" t="s">
        <v>1144</v>
      </c>
      <c r="G90" s="11" t="s">
        <v>1145</v>
      </c>
      <c r="H90" s="11" t="s">
        <v>1144</v>
      </c>
      <c r="I90" s="11" t="s">
        <v>1145</v>
      </c>
      <c r="J90" s="11" t="s">
        <v>766</v>
      </c>
      <c r="K90" s="11" t="n">
        <v>1</v>
      </c>
      <c r="N90" s="11" t="s">
        <v>27</v>
      </c>
    </row>
    <row r="91" customFormat="false" ht="15" hidden="false" customHeight="false" outlineLevel="0" collapsed="false">
      <c r="A91" s="2" t="s">
        <v>3554</v>
      </c>
      <c r="B91" s="11" t="s">
        <v>2311</v>
      </c>
      <c r="C91" s="11" t="s">
        <v>1009</v>
      </c>
      <c r="D91" s="11" t="s">
        <v>776</v>
      </c>
      <c r="F91" s="11" t="s">
        <v>1144</v>
      </c>
      <c r="G91" s="11" t="s">
        <v>1145</v>
      </c>
      <c r="H91" s="11" t="s">
        <v>1144</v>
      </c>
      <c r="I91" s="11" t="s">
        <v>1145</v>
      </c>
      <c r="J91" s="11" t="s">
        <v>766</v>
      </c>
      <c r="K91" s="11" t="n">
        <v>1</v>
      </c>
      <c r="N91" s="11" t="s">
        <v>27</v>
      </c>
    </row>
    <row r="92" customFormat="false" ht="15" hidden="false" customHeight="false" outlineLevel="0" collapsed="false">
      <c r="A92" s="2" t="s">
        <v>3555</v>
      </c>
      <c r="B92" s="11" t="s">
        <v>2317</v>
      </c>
      <c r="C92" s="11" t="s">
        <v>999</v>
      </c>
      <c r="D92" s="11" t="s">
        <v>750</v>
      </c>
      <c r="F92" s="11" t="s">
        <v>1144</v>
      </c>
      <c r="G92" s="11" t="s">
        <v>1145</v>
      </c>
      <c r="H92" s="11" t="s">
        <v>1144</v>
      </c>
      <c r="I92" s="11" t="s">
        <v>1145</v>
      </c>
      <c r="J92" s="11" t="s">
        <v>766</v>
      </c>
      <c r="K92" s="11" t="n">
        <v>1</v>
      </c>
      <c r="N92" s="11" t="s">
        <v>27</v>
      </c>
    </row>
    <row r="93" customFormat="false" ht="15" hidden="false" customHeight="false" outlineLevel="0" collapsed="false">
      <c r="A93" s="2" t="s">
        <v>3556</v>
      </c>
      <c r="B93" s="11" t="s">
        <v>2317</v>
      </c>
      <c r="C93" s="11" t="s">
        <v>1009</v>
      </c>
      <c r="D93" s="11" t="s">
        <v>776</v>
      </c>
      <c r="F93" s="11" t="s">
        <v>1144</v>
      </c>
      <c r="G93" s="11" t="s">
        <v>1145</v>
      </c>
      <c r="H93" s="11" t="s">
        <v>1144</v>
      </c>
      <c r="I93" s="11" t="s">
        <v>1145</v>
      </c>
      <c r="J93" s="11" t="s">
        <v>766</v>
      </c>
      <c r="K93" s="11" t="n">
        <v>1</v>
      </c>
      <c r="N93" s="11" t="s">
        <v>27</v>
      </c>
    </row>
    <row r="94" customFormat="false" ht="15" hidden="false" customHeight="false" outlineLevel="0" collapsed="false">
      <c r="A94" s="2" t="s">
        <v>3557</v>
      </c>
      <c r="B94" s="11" t="s">
        <v>2322</v>
      </c>
      <c r="C94" s="11" t="s">
        <v>1004</v>
      </c>
      <c r="D94" s="11" t="s">
        <v>750</v>
      </c>
      <c r="F94" s="11" t="s">
        <v>1144</v>
      </c>
      <c r="G94" s="11" t="s">
        <v>1145</v>
      </c>
      <c r="H94" s="11" t="s">
        <v>1144</v>
      </c>
      <c r="I94" s="11" t="s">
        <v>1145</v>
      </c>
      <c r="J94" s="11" t="s">
        <v>766</v>
      </c>
      <c r="K94" s="11" t="n">
        <v>1</v>
      </c>
      <c r="N94" s="11" t="s">
        <v>27</v>
      </c>
    </row>
    <row r="95" customFormat="false" ht="15" hidden="false" customHeight="false" outlineLevel="0" collapsed="false">
      <c r="A95" s="2" t="s">
        <v>3558</v>
      </c>
      <c r="B95" s="11" t="s">
        <v>2322</v>
      </c>
      <c r="C95" s="11" t="s">
        <v>1009</v>
      </c>
      <c r="D95" s="11" t="s">
        <v>776</v>
      </c>
      <c r="F95" s="11" t="s">
        <v>1144</v>
      </c>
      <c r="G95" s="11" t="s">
        <v>1145</v>
      </c>
      <c r="H95" s="11" t="s">
        <v>1144</v>
      </c>
      <c r="I95" s="11" t="s">
        <v>1145</v>
      </c>
      <c r="J95" s="11" t="s">
        <v>766</v>
      </c>
      <c r="K95" s="11" t="n">
        <v>1</v>
      </c>
      <c r="N95" s="11" t="s">
        <v>27</v>
      </c>
    </row>
    <row r="96" customFormat="false" ht="15" hidden="false" customHeight="false" outlineLevel="0" collapsed="false">
      <c r="A96" s="2" t="s">
        <v>3559</v>
      </c>
      <c r="B96" s="11" t="s">
        <v>2329</v>
      </c>
      <c r="C96" s="11" t="s">
        <v>989</v>
      </c>
      <c r="D96" s="11" t="s">
        <v>750</v>
      </c>
      <c r="F96" s="11" t="s">
        <v>1144</v>
      </c>
      <c r="G96" s="11" t="s">
        <v>1145</v>
      </c>
      <c r="H96" s="11" t="s">
        <v>1144</v>
      </c>
      <c r="I96" s="11" t="s">
        <v>1145</v>
      </c>
      <c r="J96" s="11" t="s">
        <v>766</v>
      </c>
      <c r="K96" s="11" t="n">
        <v>1</v>
      </c>
      <c r="N96" s="11" t="s">
        <v>27</v>
      </c>
    </row>
    <row r="97" customFormat="false" ht="15" hidden="false" customHeight="false" outlineLevel="0" collapsed="false">
      <c r="A97" s="2" t="s">
        <v>3560</v>
      </c>
      <c r="B97" s="11" t="s">
        <v>2329</v>
      </c>
      <c r="C97" s="11" t="s">
        <v>994</v>
      </c>
      <c r="D97" s="11" t="s">
        <v>776</v>
      </c>
      <c r="F97" s="11" t="s">
        <v>1144</v>
      </c>
      <c r="G97" s="11" t="s">
        <v>1145</v>
      </c>
      <c r="H97" s="11" t="s">
        <v>1144</v>
      </c>
      <c r="I97" s="11" t="s">
        <v>1145</v>
      </c>
      <c r="J97" s="11" t="s">
        <v>766</v>
      </c>
      <c r="K97" s="11" t="n">
        <v>1</v>
      </c>
      <c r="N97" s="11" t="s">
        <v>27</v>
      </c>
    </row>
    <row r="98" customFormat="false" ht="15" hidden="false" customHeight="false" outlineLevel="0" collapsed="false">
      <c r="A98" s="2" t="s">
        <v>3561</v>
      </c>
      <c r="B98" s="11" t="s">
        <v>2335</v>
      </c>
      <c r="C98" s="11" t="s">
        <v>1009</v>
      </c>
      <c r="D98" s="11" t="s">
        <v>750</v>
      </c>
      <c r="F98" s="11" t="s">
        <v>1144</v>
      </c>
      <c r="G98" s="11" t="s">
        <v>1145</v>
      </c>
      <c r="H98" s="11" t="s">
        <v>1144</v>
      </c>
      <c r="I98" s="11" t="s">
        <v>1145</v>
      </c>
      <c r="J98" s="11" t="s">
        <v>766</v>
      </c>
      <c r="K98" s="11" t="n">
        <v>1</v>
      </c>
      <c r="N98" s="11" t="s">
        <v>27</v>
      </c>
    </row>
    <row r="99" customFormat="false" ht="15" hidden="false" customHeight="false" outlineLevel="0" collapsed="false">
      <c r="A99" s="2" t="s">
        <v>3562</v>
      </c>
      <c r="B99" s="11" t="s">
        <v>2335</v>
      </c>
      <c r="C99" s="11" t="s">
        <v>1014</v>
      </c>
      <c r="D99" s="11" t="s">
        <v>776</v>
      </c>
      <c r="F99" s="11" t="s">
        <v>1144</v>
      </c>
      <c r="G99" s="11" t="s">
        <v>1145</v>
      </c>
      <c r="H99" s="11" t="s">
        <v>1144</v>
      </c>
      <c r="I99" s="11" t="s">
        <v>1145</v>
      </c>
      <c r="J99" s="11" t="s">
        <v>766</v>
      </c>
      <c r="K99" s="11" t="n">
        <v>1</v>
      </c>
      <c r="N99" s="11" t="s">
        <v>27</v>
      </c>
    </row>
    <row r="100" customFormat="false" ht="15" hidden="false" customHeight="false" outlineLevel="0" collapsed="false">
      <c r="A100" s="2" t="s">
        <v>3563</v>
      </c>
      <c r="B100" s="11" t="s">
        <v>2340</v>
      </c>
      <c r="C100" s="11" t="s">
        <v>994</v>
      </c>
      <c r="D100" s="11" t="s">
        <v>750</v>
      </c>
      <c r="F100" s="11" t="s">
        <v>1144</v>
      </c>
      <c r="G100" s="11" t="s">
        <v>1145</v>
      </c>
      <c r="H100" s="11" t="s">
        <v>1144</v>
      </c>
      <c r="I100" s="11" t="s">
        <v>1145</v>
      </c>
      <c r="J100" s="11" t="s">
        <v>766</v>
      </c>
      <c r="K100" s="11" t="n">
        <v>1</v>
      </c>
      <c r="N100" s="11" t="s">
        <v>27</v>
      </c>
    </row>
    <row r="101" customFormat="false" ht="15" hidden="false" customHeight="false" outlineLevel="0" collapsed="false">
      <c r="A101" s="2" t="s">
        <v>3564</v>
      </c>
      <c r="B101" s="11" t="s">
        <v>2340</v>
      </c>
      <c r="C101" s="11" t="s">
        <v>1014</v>
      </c>
      <c r="D101" s="11" t="s">
        <v>776</v>
      </c>
      <c r="F101" s="11" t="s">
        <v>1144</v>
      </c>
      <c r="G101" s="11" t="s">
        <v>1145</v>
      </c>
      <c r="H101" s="11" t="s">
        <v>1144</v>
      </c>
      <c r="I101" s="11" t="s">
        <v>1145</v>
      </c>
      <c r="J101" s="11" t="s">
        <v>766</v>
      </c>
      <c r="K101" s="11" t="n">
        <v>1</v>
      </c>
      <c r="N101" s="11" t="s">
        <v>27</v>
      </c>
    </row>
    <row r="102" customFormat="false" ht="15" hidden="false" customHeight="false" outlineLevel="0" collapsed="false">
      <c r="A102" s="2" t="s">
        <v>3565</v>
      </c>
      <c r="B102" s="11" t="s">
        <v>2345</v>
      </c>
      <c r="C102" s="11" t="s">
        <v>1009</v>
      </c>
      <c r="D102" s="11" t="s">
        <v>750</v>
      </c>
      <c r="F102" s="11" t="s">
        <v>1144</v>
      </c>
      <c r="G102" s="11" t="s">
        <v>1145</v>
      </c>
      <c r="H102" s="11" t="s">
        <v>1144</v>
      </c>
      <c r="I102" s="11" t="s">
        <v>1145</v>
      </c>
      <c r="J102" s="11" t="s">
        <v>766</v>
      </c>
      <c r="K102" s="11" t="n">
        <v>1</v>
      </c>
      <c r="N102" s="11" t="s">
        <v>27</v>
      </c>
    </row>
    <row r="103" customFormat="false" ht="15" hidden="false" customHeight="false" outlineLevel="0" collapsed="false">
      <c r="A103" s="2" t="s">
        <v>3566</v>
      </c>
      <c r="B103" s="11" t="s">
        <v>2345</v>
      </c>
      <c r="C103" s="11" t="s">
        <v>1014</v>
      </c>
      <c r="D103" s="11" t="s">
        <v>776</v>
      </c>
      <c r="F103" s="11" t="s">
        <v>1144</v>
      </c>
      <c r="G103" s="11" t="s">
        <v>1145</v>
      </c>
      <c r="H103" s="11" t="s">
        <v>1144</v>
      </c>
      <c r="I103" s="11" t="s">
        <v>1145</v>
      </c>
      <c r="J103" s="11" t="s">
        <v>766</v>
      </c>
      <c r="K103" s="11" t="n">
        <v>1</v>
      </c>
      <c r="N103" s="11" t="s">
        <v>27</v>
      </c>
    </row>
    <row r="104" customFormat="false" ht="15" hidden="false" customHeight="false" outlineLevel="0" collapsed="false">
      <c r="A104" s="2" t="s">
        <v>3567</v>
      </c>
      <c r="B104" s="11" t="s">
        <v>2352</v>
      </c>
      <c r="C104" s="11" t="s">
        <v>1009</v>
      </c>
      <c r="D104" s="11" t="s">
        <v>750</v>
      </c>
      <c r="F104" s="11" t="s">
        <v>1144</v>
      </c>
      <c r="G104" s="11" t="s">
        <v>1145</v>
      </c>
      <c r="H104" s="11" t="s">
        <v>1144</v>
      </c>
      <c r="I104" s="11" t="s">
        <v>1145</v>
      </c>
      <c r="J104" s="11" t="s">
        <v>766</v>
      </c>
      <c r="K104" s="11" t="n">
        <v>1</v>
      </c>
      <c r="N104" s="11" t="s">
        <v>27</v>
      </c>
    </row>
    <row r="105" customFormat="false" ht="15" hidden="false" customHeight="false" outlineLevel="0" collapsed="false">
      <c r="A105" s="2" t="s">
        <v>3568</v>
      </c>
      <c r="B105" s="11" t="s">
        <v>2352</v>
      </c>
      <c r="C105" s="11" t="s">
        <v>1014</v>
      </c>
      <c r="D105" s="11" t="s">
        <v>776</v>
      </c>
      <c r="F105" s="11" t="s">
        <v>1144</v>
      </c>
      <c r="G105" s="11" t="s">
        <v>1145</v>
      </c>
      <c r="H105" s="11" t="s">
        <v>1144</v>
      </c>
      <c r="I105" s="11" t="s">
        <v>1145</v>
      </c>
      <c r="J105" s="11" t="s">
        <v>766</v>
      </c>
      <c r="K105" s="11" t="n">
        <v>1</v>
      </c>
      <c r="N105" s="11" t="s">
        <v>27</v>
      </c>
    </row>
    <row r="106" customFormat="false" ht="15" hidden="false" customHeight="false" outlineLevel="0" collapsed="false">
      <c r="A106" s="2" t="s">
        <v>3569</v>
      </c>
      <c r="B106" s="11" t="s">
        <v>2359</v>
      </c>
      <c r="C106" s="11" t="s">
        <v>1009</v>
      </c>
      <c r="D106" s="11" t="s">
        <v>750</v>
      </c>
      <c r="F106" s="11" t="s">
        <v>1144</v>
      </c>
      <c r="G106" s="11" t="s">
        <v>1145</v>
      </c>
      <c r="H106" s="11" t="s">
        <v>1144</v>
      </c>
      <c r="I106" s="11" t="s">
        <v>1145</v>
      </c>
      <c r="J106" s="11" t="s">
        <v>766</v>
      </c>
      <c r="K106" s="11" t="n">
        <v>1</v>
      </c>
      <c r="N106" s="11" t="s">
        <v>27</v>
      </c>
    </row>
    <row r="107" customFormat="false" ht="15" hidden="false" customHeight="false" outlineLevel="0" collapsed="false">
      <c r="A107" s="2" t="s">
        <v>3570</v>
      </c>
      <c r="B107" s="11" t="s">
        <v>2359</v>
      </c>
      <c r="C107" s="11" t="s">
        <v>1014</v>
      </c>
      <c r="D107" s="11" t="s">
        <v>776</v>
      </c>
      <c r="F107" s="11" t="s">
        <v>1144</v>
      </c>
      <c r="G107" s="11" t="s">
        <v>1145</v>
      </c>
      <c r="H107" s="11" t="s">
        <v>1144</v>
      </c>
      <c r="I107" s="11" t="s">
        <v>1145</v>
      </c>
      <c r="J107" s="11" t="s">
        <v>766</v>
      </c>
      <c r="K107" s="11" t="n">
        <v>1</v>
      </c>
      <c r="N107" s="11" t="s">
        <v>27</v>
      </c>
    </row>
    <row r="108" customFormat="false" ht="15" hidden="false" customHeight="false" outlineLevel="0" collapsed="false">
      <c r="A108" s="2" t="s">
        <v>3571</v>
      </c>
      <c r="B108" s="11" t="s">
        <v>2366</v>
      </c>
      <c r="C108" s="11" t="s">
        <v>994</v>
      </c>
      <c r="D108" s="11" t="s">
        <v>750</v>
      </c>
      <c r="F108" s="11" t="s">
        <v>1144</v>
      </c>
      <c r="G108" s="11" t="s">
        <v>1145</v>
      </c>
      <c r="H108" s="11" t="s">
        <v>1144</v>
      </c>
      <c r="I108" s="11" t="s">
        <v>1145</v>
      </c>
      <c r="J108" s="11" t="s">
        <v>766</v>
      </c>
      <c r="K108" s="11" t="n">
        <v>1</v>
      </c>
      <c r="N108" s="11" t="s">
        <v>27</v>
      </c>
    </row>
    <row r="109" customFormat="false" ht="15" hidden="false" customHeight="false" outlineLevel="0" collapsed="false">
      <c r="A109" s="2" t="s">
        <v>3572</v>
      </c>
      <c r="B109" s="11" t="s">
        <v>2366</v>
      </c>
      <c r="C109" s="11" t="s">
        <v>1014</v>
      </c>
      <c r="D109" s="11" t="s">
        <v>776</v>
      </c>
      <c r="F109" s="11" t="s">
        <v>1144</v>
      </c>
      <c r="G109" s="11" t="s">
        <v>1145</v>
      </c>
      <c r="H109" s="11" t="s">
        <v>1144</v>
      </c>
      <c r="I109" s="11" t="s">
        <v>1145</v>
      </c>
      <c r="J109" s="11" t="s">
        <v>766</v>
      </c>
      <c r="K109" s="11" t="n">
        <v>1</v>
      </c>
      <c r="N109" s="11" t="s">
        <v>27</v>
      </c>
    </row>
    <row r="110" customFormat="false" ht="15" hidden="false" customHeight="false" outlineLevel="0" collapsed="false">
      <c r="A110" s="2" t="s">
        <v>3573</v>
      </c>
      <c r="B110" s="11" t="s">
        <v>2373</v>
      </c>
      <c r="C110" s="11" t="s">
        <v>999</v>
      </c>
      <c r="D110" s="11" t="s">
        <v>750</v>
      </c>
      <c r="F110" s="11" t="s">
        <v>1144</v>
      </c>
      <c r="G110" s="11" t="s">
        <v>1145</v>
      </c>
      <c r="H110" s="11" t="s">
        <v>1144</v>
      </c>
      <c r="I110" s="11" t="s">
        <v>1145</v>
      </c>
      <c r="J110" s="11" t="s">
        <v>766</v>
      </c>
      <c r="K110" s="11" t="n">
        <v>1</v>
      </c>
      <c r="N110" s="11" t="s">
        <v>27</v>
      </c>
    </row>
    <row r="111" customFormat="false" ht="15" hidden="false" customHeight="false" outlineLevel="0" collapsed="false">
      <c r="A111" s="2" t="s">
        <v>3574</v>
      </c>
      <c r="B111" s="11" t="s">
        <v>2373</v>
      </c>
      <c r="C111" s="11" t="s">
        <v>1004</v>
      </c>
      <c r="D111" s="11" t="s">
        <v>776</v>
      </c>
      <c r="F111" s="11" t="s">
        <v>1144</v>
      </c>
      <c r="G111" s="11" t="s">
        <v>1145</v>
      </c>
      <c r="H111" s="11" t="s">
        <v>1144</v>
      </c>
      <c r="I111" s="11" t="s">
        <v>1145</v>
      </c>
      <c r="J111" s="11" t="s">
        <v>766</v>
      </c>
      <c r="K111" s="11" t="n">
        <v>1</v>
      </c>
      <c r="N111" s="11" t="s">
        <v>27</v>
      </c>
    </row>
    <row r="112" customFormat="false" ht="15" hidden="false" customHeight="false" outlineLevel="0" collapsed="false">
      <c r="A112" s="2" t="s">
        <v>3575</v>
      </c>
      <c r="B112" s="11" t="s">
        <v>2380</v>
      </c>
      <c r="C112" s="11" t="s">
        <v>1009</v>
      </c>
      <c r="D112" s="11" t="s">
        <v>750</v>
      </c>
      <c r="F112" s="11" t="s">
        <v>1144</v>
      </c>
      <c r="G112" s="11" t="s">
        <v>1145</v>
      </c>
      <c r="H112" s="11" t="s">
        <v>1144</v>
      </c>
      <c r="I112" s="11" t="s">
        <v>1145</v>
      </c>
      <c r="J112" s="11" t="s">
        <v>766</v>
      </c>
      <c r="K112" s="11" t="n">
        <v>1</v>
      </c>
      <c r="N112" s="11" t="s">
        <v>27</v>
      </c>
    </row>
    <row r="113" customFormat="false" ht="15" hidden="false" customHeight="false" outlineLevel="0" collapsed="false">
      <c r="A113" s="2" t="s">
        <v>3576</v>
      </c>
      <c r="B113" s="11" t="s">
        <v>2380</v>
      </c>
      <c r="C113" s="11" t="s">
        <v>1014</v>
      </c>
      <c r="D113" s="11" t="s">
        <v>776</v>
      </c>
      <c r="F113" s="11" t="s">
        <v>1144</v>
      </c>
      <c r="G113" s="11" t="s">
        <v>1145</v>
      </c>
      <c r="H113" s="11" t="s">
        <v>1144</v>
      </c>
      <c r="I113" s="11" t="s">
        <v>1145</v>
      </c>
      <c r="J113" s="11" t="s">
        <v>766</v>
      </c>
      <c r="K113" s="11" t="n">
        <v>1</v>
      </c>
      <c r="N113" s="11" t="s">
        <v>27</v>
      </c>
    </row>
    <row r="114" customFormat="false" ht="15" hidden="false" customHeight="false" outlineLevel="0" collapsed="false">
      <c r="A114" s="2" t="s">
        <v>3577</v>
      </c>
      <c r="B114" s="11" t="s">
        <v>2387</v>
      </c>
      <c r="C114" s="11" t="s">
        <v>1009</v>
      </c>
      <c r="D114" s="11" t="s">
        <v>750</v>
      </c>
      <c r="F114" s="11" t="s">
        <v>1144</v>
      </c>
      <c r="G114" s="11" t="s">
        <v>1145</v>
      </c>
      <c r="H114" s="11" t="s">
        <v>1144</v>
      </c>
      <c r="I114" s="11" t="s">
        <v>1145</v>
      </c>
      <c r="J114" s="11" t="s">
        <v>766</v>
      </c>
      <c r="K114" s="11" t="n">
        <v>1</v>
      </c>
      <c r="N114" s="11" t="s">
        <v>27</v>
      </c>
    </row>
    <row r="115" customFormat="false" ht="15" hidden="false" customHeight="false" outlineLevel="0" collapsed="false">
      <c r="A115" s="2" t="s">
        <v>3578</v>
      </c>
      <c r="B115" s="11" t="s">
        <v>2387</v>
      </c>
      <c r="C115" s="11" t="s">
        <v>1014</v>
      </c>
      <c r="D115" s="11" t="s">
        <v>776</v>
      </c>
      <c r="F115" s="11" t="s">
        <v>1144</v>
      </c>
      <c r="G115" s="11" t="s">
        <v>1145</v>
      </c>
      <c r="H115" s="11" t="s">
        <v>1144</v>
      </c>
      <c r="I115" s="11" t="s">
        <v>1145</v>
      </c>
      <c r="J115" s="11" t="s">
        <v>766</v>
      </c>
      <c r="K115" s="11" t="n">
        <v>1</v>
      </c>
      <c r="N115" s="11" t="s">
        <v>27</v>
      </c>
    </row>
    <row r="116" customFormat="false" ht="15" hidden="false" customHeight="false" outlineLevel="0" collapsed="false">
      <c r="A116" s="2" t="s">
        <v>3579</v>
      </c>
      <c r="B116" s="11" t="s">
        <v>2394</v>
      </c>
      <c r="C116" s="11" t="s">
        <v>1009</v>
      </c>
      <c r="D116" s="11" t="s">
        <v>750</v>
      </c>
      <c r="F116" s="11" t="s">
        <v>1144</v>
      </c>
      <c r="G116" s="11" t="s">
        <v>1145</v>
      </c>
      <c r="H116" s="11" t="s">
        <v>1144</v>
      </c>
      <c r="I116" s="11" t="s">
        <v>1145</v>
      </c>
      <c r="J116" s="11" t="s">
        <v>766</v>
      </c>
      <c r="K116" s="11" t="n">
        <v>1</v>
      </c>
      <c r="N116" s="11" t="s">
        <v>27</v>
      </c>
    </row>
    <row r="117" customFormat="false" ht="15" hidden="false" customHeight="false" outlineLevel="0" collapsed="false">
      <c r="A117" s="2" t="s">
        <v>3580</v>
      </c>
      <c r="B117" s="11" t="s">
        <v>2394</v>
      </c>
      <c r="C117" s="11" t="s">
        <v>1014</v>
      </c>
      <c r="D117" s="11" t="s">
        <v>776</v>
      </c>
      <c r="F117" s="11" t="s">
        <v>1144</v>
      </c>
      <c r="G117" s="11" t="s">
        <v>1145</v>
      </c>
      <c r="H117" s="11" t="s">
        <v>1144</v>
      </c>
      <c r="I117" s="11" t="s">
        <v>1145</v>
      </c>
      <c r="J117" s="11" t="s">
        <v>766</v>
      </c>
      <c r="K117" s="11" t="n">
        <v>1</v>
      </c>
      <c r="N117" s="11" t="s">
        <v>27</v>
      </c>
    </row>
    <row r="118" customFormat="false" ht="15" hidden="false" customHeight="false" outlineLevel="0" collapsed="false">
      <c r="A118" s="2" t="s">
        <v>3581</v>
      </c>
      <c r="B118" s="11" t="s">
        <v>2401</v>
      </c>
      <c r="C118" s="11" t="s">
        <v>1029</v>
      </c>
      <c r="D118" s="11" t="s">
        <v>750</v>
      </c>
      <c r="F118" s="11" t="s">
        <v>1144</v>
      </c>
      <c r="G118" s="11" t="s">
        <v>1145</v>
      </c>
      <c r="H118" s="11" t="s">
        <v>1144</v>
      </c>
      <c r="I118" s="11" t="s">
        <v>1145</v>
      </c>
      <c r="J118" s="11" t="s">
        <v>766</v>
      </c>
      <c r="K118" s="11" t="n">
        <v>1</v>
      </c>
      <c r="N118" s="11" t="s">
        <v>27</v>
      </c>
    </row>
    <row r="119" customFormat="false" ht="15" hidden="false" customHeight="false" outlineLevel="0" collapsed="false">
      <c r="A119" s="2" t="s">
        <v>3582</v>
      </c>
      <c r="B119" s="11" t="s">
        <v>2401</v>
      </c>
      <c r="C119" s="11" t="s">
        <v>981</v>
      </c>
      <c r="D119" s="11" t="s">
        <v>776</v>
      </c>
      <c r="F119" s="11" t="s">
        <v>1144</v>
      </c>
      <c r="G119" s="11" t="s">
        <v>1145</v>
      </c>
      <c r="H119" s="11" t="s">
        <v>1144</v>
      </c>
      <c r="I119" s="11" t="s">
        <v>1145</v>
      </c>
      <c r="J119" s="11" t="s">
        <v>766</v>
      </c>
      <c r="K119" s="11" t="n">
        <v>1</v>
      </c>
      <c r="N119" s="11" t="s">
        <v>27</v>
      </c>
    </row>
    <row r="120" customFormat="false" ht="15" hidden="false" customHeight="false" outlineLevel="0" collapsed="false">
      <c r="A120" s="2" t="s">
        <v>3583</v>
      </c>
      <c r="B120" s="11" t="s">
        <v>2408</v>
      </c>
      <c r="C120" s="11" t="s">
        <v>989</v>
      </c>
      <c r="D120" s="11" t="s">
        <v>750</v>
      </c>
      <c r="F120" s="11" t="s">
        <v>1144</v>
      </c>
      <c r="G120" s="11" t="s">
        <v>1145</v>
      </c>
      <c r="H120" s="11" t="s">
        <v>1144</v>
      </c>
      <c r="I120" s="11" t="s">
        <v>1145</v>
      </c>
      <c r="J120" s="11" t="s">
        <v>766</v>
      </c>
      <c r="K120" s="11" t="n">
        <v>1</v>
      </c>
      <c r="N120" s="11" t="s">
        <v>27</v>
      </c>
    </row>
    <row r="121" customFormat="false" ht="15" hidden="false" customHeight="false" outlineLevel="0" collapsed="false">
      <c r="A121" s="2" t="s">
        <v>3584</v>
      </c>
      <c r="B121" s="11" t="s">
        <v>2408</v>
      </c>
      <c r="C121" s="11" t="s">
        <v>994</v>
      </c>
      <c r="D121" s="11" t="s">
        <v>776</v>
      </c>
      <c r="F121" s="11" t="s">
        <v>1144</v>
      </c>
      <c r="G121" s="11" t="s">
        <v>1145</v>
      </c>
      <c r="H121" s="11" t="s">
        <v>1144</v>
      </c>
      <c r="I121" s="11" t="s">
        <v>1145</v>
      </c>
      <c r="J121" s="11" t="s">
        <v>766</v>
      </c>
      <c r="K121" s="11" t="n">
        <v>1</v>
      </c>
      <c r="N121" s="11" t="s">
        <v>27</v>
      </c>
    </row>
    <row r="122" customFormat="false" ht="15" hidden="false" customHeight="false" outlineLevel="0" collapsed="false">
      <c r="A122" s="2" t="s">
        <v>3585</v>
      </c>
      <c r="B122" s="11" t="s">
        <v>2415</v>
      </c>
      <c r="C122" s="11" t="s">
        <v>989</v>
      </c>
      <c r="D122" s="11" t="s">
        <v>750</v>
      </c>
      <c r="F122" s="11" t="s">
        <v>1144</v>
      </c>
      <c r="G122" s="11" t="s">
        <v>1145</v>
      </c>
      <c r="H122" s="11" t="s">
        <v>1144</v>
      </c>
      <c r="I122" s="11" t="s">
        <v>1145</v>
      </c>
      <c r="J122" s="11" t="s">
        <v>766</v>
      </c>
      <c r="K122" s="11" t="n">
        <v>1</v>
      </c>
      <c r="N122" s="11" t="s">
        <v>27</v>
      </c>
    </row>
    <row r="123" customFormat="false" ht="15" hidden="false" customHeight="false" outlineLevel="0" collapsed="false">
      <c r="A123" s="2" t="s">
        <v>3586</v>
      </c>
      <c r="B123" s="11" t="s">
        <v>2415</v>
      </c>
      <c r="C123" s="11" t="s">
        <v>994</v>
      </c>
      <c r="D123" s="11" t="s">
        <v>776</v>
      </c>
      <c r="F123" s="11" t="s">
        <v>1144</v>
      </c>
      <c r="G123" s="11" t="s">
        <v>1145</v>
      </c>
      <c r="H123" s="11" t="s">
        <v>1144</v>
      </c>
      <c r="I123" s="11" t="s">
        <v>1145</v>
      </c>
      <c r="J123" s="11" t="s">
        <v>766</v>
      </c>
      <c r="K123" s="11" t="n">
        <v>1</v>
      </c>
      <c r="N123" s="11" t="s">
        <v>27</v>
      </c>
    </row>
    <row r="124" customFormat="false" ht="15" hidden="false" customHeight="false" outlineLevel="0" collapsed="false">
      <c r="A124" s="2" t="s">
        <v>3587</v>
      </c>
      <c r="B124" s="11" t="s">
        <v>2422</v>
      </c>
      <c r="C124" s="11" t="s">
        <v>989</v>
      </c>
      <c r="D124" s="11" t="s">
        <v>750</v>
      </c>
      <c r="F124" s="11" t="s">
        <v>1144</v>
      </c>
      <c r="G124" s="11" t="s">
        <v>1145</v>
      </c>
      <c r="H124" s="11" t="s">
        <v>1144</v>
      </c>
      <c r="I124" s="11" t="s">
        <v>1145</v>
      </c>
      <c r="J124" s="11" t="s">
        <v>766</v>
      </c>
      <c r="K124" s="11" t="n">
        <v>1</v>
      </c>
      <c r="N124" s="11" t="s">
        <v>27</v>
      </c>
    </row>
    <row r="125" customFormat="false" ht="15" hidden="false" customHeight="false" outlineLevel="0" collapsed="false">
      <c r="A125" s="2" t="s">
        <v>3588</v>
      </c>
      <c r="B125" s="11" t="s">
        <v>2422</v>
      </c>
      <c r="C125" s="11" t="s">
        <v>994</v>
      </c>
      <c r="D125" s="11" t="s">
        <v>776</v>
      </c>
      <c r="F125" s="11" t="s">
        <v>1144</v>
      </c>
      <c r="G125" s="11" t="s">
        <v>1145</v>
      </c>
      <c r="H125" s="11" t="s">
        <v>1144</v>
      </c>
      <c r="I125" s="11" t="s">
        <v>1145</v>
      </c>
      <c r="J125" s="11" t="s">
        <v>766</v>
      </c>
      <c r="K125" s="11" t="n">
        <v>1</v>
      </c>
      <c r="N125" s="11" t="s">
        <v>27</v>
      </c>
    </row>
    <row r="126" customFormat="false" ht="15" hidden="false" customHeight="false" outlineLevel="0" collapsed="false">
      <c r="A126" s="2" t="s">
        <v>3589</v>
      </c>
      <c r="B126" s="11" t="s">
        <v>2429</v>
      </c>
      <c r="C126" s="11" t="s">
        <v>1009</v>
      </c>
      <c r="D126" s="11" t="s">
        <v>750</v>
      </c>
      <c r="F126" s="11" t="s">
        <v>1144</v>
      </c>
      <c r="G126" s="11" t="s">
        <v>1145</v>
      </c>
      <c r="H126" s="11" t="s">
        <v>1144</v>
      </c>
      <c r="I126" s="11" t="s">
        <v>1145</v>
      </c>
      <c r="J126" s="11" t="s">
        <v>766</v>
      </c>
      <c r="K126" s="11" t="n">
        <v>1</v>
      </c>
      <c r="N126" s="11" t="s">
        <v>27</v>
      </c>
    </row>
    <row r="127" customFormat="false" ht="15" hidden="false" customHeight="false" outlineLevel="0" collapsed="false">
      <c r="A127" s="2" t="s">
        <v>3590</v>
      </c>
      <c r="B127" s="11" t="s">
        <v>2429</v>
      </c>
      <c r="C127" s="11" t="s">
        <v>1014</v>
      </c>
      <c r="D127" s="11" t="s">
        <v>776</v>
      </c>
      <c r="F127" s="11" t="s">
        <v>1144</v>
      </c>
      <c r="G127" s="11" t="s">
        <v>1145</v>
      </c>
      <c r="H127" s="11" t="s">
        <v>1144</v>
      </c>
      <c r="I127" s="11" t="s">
        <v>1145</v>
      </c>
      <c r="J127" s="11" t="s">
        <v>766</v>
      </c>
      <c r="K127" s="11" t="n">
        <v>1</v>
      </c>
      <c r="N127" s="11" t="s">
        <v>27</v>
      </c>
    </row>
    <row r="128" customFormat="false" ht="15" hidden="false" customHeight="false" outlineLevel="0" collapsed="false">
      <c r="A128" s="2" t="s">
        <v>3591</v>
      </c>
      <c r="B128" s="11" t="s">
        <v>2436</v>
      </c>
      <c r="C128" s="11" t="s">
        <v>1009</v>
      </c>
      <c r="D128" s="11" t="s">
        <v>750</v>
      </c>
      <c r="F128" s="11" t="s">
        <v>1144</v>
      </c>
      <c r="G128" s="11" t="s">
        <v>1145</v>
      </c>
      <c r="H128" s="11" t="s">
        <v>1144</v>
      </c>
      <c r="I128" s="11" t="s">
        <v>1145</v>
      </c>
      <c r="J128" s="11" t="s">
        <v>766</v>
      </c>
      <c r="K128" s="11" t="n">
        <v>1</v>
      </c>
      <c r="N128" s="11" t="s">
        <v>27</v>
      </c>
    </row>
    <row r="129" customFormat="false" ht="15" hidden="false" customHeight="false" outlineLevel="0" collapsed="false">
      <c r="A129" s="2" t="s">
        <v>3592</v>
      </c>
      <c r="B129" s="11" t="s">
        <v>2436</v>
      </c>
      <c r="C129" s="11" t="s">
        <v>1014</v>
      </c>
      <c r="D129" s="11" t="s">
        <v>776</v>
      </c>
      <c r="F129" s="11" t="s">
        <v>1144</v>
      </c>
      <c r="G129" s="11" t="s">
        <v>1145</v>
      </c>
      <c r="H129" s="11" t="s">
        <v>1144</v>
      </c>
      <c r="I129" s="11" t="s">
        <v>1145</v>
      </c>
      <c r="J129" s="11" t="s">
        <v>766</v>
      </c>
      <c r="K129" s="11" t="n">
        <v>1</v>
      </c>
      <c r="N129" s="11" t="s">
        <v>27</v>
      </c>
    </row>
    <row r="130" customFormat="false" ht="15" hidden="false" customHeight="false" outlineLevel="0" collapsed="false">
      <c r="A130" s="2" t="s">
        <v>3593</v>
      </c>
      <c r="B130" s="11" t="s">
        <v>2443</v>
      </c>
      <c r="C130" s="11" t="s">
        <v>989</v>
      </c>
      <c r="D130" s="11" t="s">
        <v>750</v>
      </c>
      <c r="F130" s="11" t="s">
        <v>1144</v>
      </c>
      <c r="G130" s="11" t="s">
        <v>1145</v>
      </c>
      <c r="H130" s="11" t="s">
        <v>1144</v>
      </c>
      <c r="I130" s="11" t="s">
        <v>1145</v>
      </c>
      <c r="J130" s="11" t="s">
        <v>766</v>
      </c>
      <c r="K130" s="11" t="n">
        <v>1</v>
      </c>
      <c r="N130" s="11" t="s">
        <v>27</v>
      </c>
    </row>
    <row r="131" customFormat="false" ht="15" hidden="false" customHeight="false" outlineLevel="0" collapsed="false">
      <c r="A131" s="2" t="s">
        <v>3594</v>
      </c>
      <c r="B131" s="11" t="s">
        <v>2443</v>
      </c>
      <c r="C131" s="11" t="s">
        <v>994</v>
      </c>
      <c r="D131" s="11" t="s">
        <v>776</v>
      </c>
      <c r="F131" s="11" t="s">
        <v>1144</v>
      </c>
      <c r="G131" s="11" t="s">
        <v>1145</v>
      </c>
      <c r="H131" s="11" t="s">
        <v>1144</v>
      </c>
      <c r="I131" s="11" t="s">
        <v>1145</v>
      </c>
      <c r="J131" s="11" t="s">
        <v>766</v>
      </c>
      <c r="K131" s="11" t="n">
        <v>1</v>
      </c>
      <c r="N131" s="11" t="s">
        <v>27</v>
      </c>
    </row>
    <row r="132" customFormat="false" ht="15" hidden="false" customHeight="false" outlineLevel="0" collapsed="false">
      <c r="A132" s="2" t="s">
        <v>3595</v>
      </c>
      <c r="B132" s="11" t="s">
        <v>2450</v>
      </c>
      <c r="C132" s="11" t="s">
        <v>1009</v>
      </c>
      <c r="D132" s="11" t="s">
        <v>750</v>
      </c>
      <c r="F132" s="11" t="s">
        <v>1144</v>
      </c>
      <c r="G132" s="11" t="s">
        <v>1145</v>
      </c>
      <c r="H132" s="11" t="s">
        <v>1144</v>
      </c>
      <c r="I132" s="11" t="s">
        <v>1145</v>
      </c>
      <c r="J132" s="11" t="s">
        <v>766</v>
      </c>
      <c r="K132" s="11" t="n">
        <v>1</v>
      </c>
      <c r="N132" s="11" t="s">
        <v>27</v>
      </c>
    </row>
    <row r="133" customFormat="false" ht="15" hidden="false" customHeight="false" outlineLevel="0" collapsed="false">
      <c r="A133" s="2" t="s">
        <v>3596</v>
      </c>
      <c r="B133" s="11" t="s">
        <v>2450</v>
      </c>
      <c r="C133" s="11" t="s">
        <v>1014</v>
      </c>
      <c r="D133" s="11" t="s">
        <v>776</v>
      </c>
      <c r="F133" s="11" t="s">
        <v>1144</v>
      </c>
      <c r="G133" s="11" t="s">
        <v>1145</v>
      </c>
      <c r="H133" s="11" t="s">
        <v>1144</v>
      </c>
      <c r="I133" s="11" t="s">
        <v>1145</v>
      </c>
      <c r="J133" s="11" t="s">
        <v>766</v>
      </c>
      <c r="K133" s="11" t="n">
        <v>1</v>
      </c>
      <c r="N133" s="11" t="s">
        <v>27</v>
      </c>
    </row>
    <row r="134" customFormat="false" ht="15" hidden="false" customHeight="false" outlineLevel="0" collapsed="false">
      <c r="A134" s="2" t="s">
        <v>3597</v>
      </c>
      <c r="B134" s="11" t="s">
        <v>2456</v>
      </c>
      <c r="C134" s="11" t="s">
        <v>1009</v>
      </c>
      <c r="D134" s="11" t="s">
        <v>750</v>
      </c>
      <c r="F134" s="11" t="s">
        <v>1144</v>
      </c>
      <c r="G134" s="11" t="s">
        <v>1145</v>
      </c>
      <c r="H134" s="11" t="s">
        <v>1144</v>
      </c>
      <c r="I134" s="11" t="s">
        <v>1145</v>
      </c>
      <c r="J134" s="11" t="s">
        <v>766</v>
      </c>
      <c r="K134" s="11" t="n">
        <v>1</v>
      </c>
      <c r="N134" s="11" t="s">
        <v>27</v>
      </c>
    </row>
    <row r="135" customFormat="false" ht="15" hidden="false" customHeight="false" outlineLevel="0" collapsed="false">
      <c r="A135" s="2" t="s">
        <v>3598</v>
      </c>
      <c r="B135" s="11" t="s">
        <v>2456</v>
      </c>
      <c r="C135" s="11" t="s">
        <v>1014</v>
      </c>
      <c r="D135" s="11" t="s">
        <v>776</v>
      </c>
      <c r="F135" s="11" t="s">
        <v>1144</v>
      </c>
      <c r="G135" s="11" t="s">
        <v>1145</v>
      </c>
      <c r="H135" s="11" t="s">
        <v>1144</v>
      </c>
      <c r="I135" s="11" t="s">
        <v>1145</v>
      </c>
      <c r="J135" s="11" t="s">
        <v>766</v>
      </c>
      <c r="K135" s="11" t="n">
        <v>1</v>
      </c>
      <c r="N135" s="11" t="s">
        <v>27</v>
      </c>
    </row>
    <row r="136" customFormat="false" ht="15" hidden="false" customHeight="false" outlineLevel="0" collapsed="false">
      <c r="A136" s="2" t="s">
        <v>3599</v>
      </c>
      <c r="B136" s="11" t="s">
        <v>2462</v>
      </c>
      <c r="C136" s="11" t="s">
        <v>994</v>
      </c>
      <c r="D136" s="11" t="s">
        <v>750</v>
      </c>
      <c r="F136" s="11" t="s">
        <v>1144</v>
      </c>
      <c r="G136" s="11" t="s">
        <v>1145</v>
      </c>
      <c r="H136" s="11" t="s">
        <v>1144</v>
      </c>
      <c r="I136" s="11" t="s">
        <v>1145</v>
      </c>
      <c r="J136" s="11" t="s">
        <v>766</v>
      </c>
      <c r="K136" s="11" t="n">
        <v>1</v>
      </c>
      <c r="N136" s="11" t="s">
        <v>27</v>
      </c>
    </row>
    <row r="137" customFormat="false" ht="15" hidden="false" customHeight="false" outlineLevel="0" collapsed="false">
      <c r="A137" s="2" t="s">
        <v>3600</v>
      </c>
      <c r="B137" s="11" t="s">
        <v>2462</v>
      </c>
      <c r="C137" s="11" t="s">
        <v>1014</v>
      </c>
      <c r="D137" s="11" t="s">
        <v>776</v>
      </c>
      <c r="F137" s="11" t="s">
        <v>1144</v>
      </c>
      <c r="G137" s="11" t="s">
        <v>1145</v>
      </c>
      <c r="H137" s="11" t="s">
        <v>1144</v>
      </c>
      <c r="I137" s="11" t="s">
        <v>1145</v>
      </c>
      <c r="J137" s="11" t="s">
        <v>766</v>
      </c>
      <c r="K137" s="11" t="n">
        <v>1</v>
      </c>
      <c r="N137" s="11" t="s">
        <v>27</v>
      </c>
    </row>
    <row r="138" customFormat="false" ht="15" hidden="false" customHeight="false" outlineLevel="0" collapsed="false">
      <c r="A138" s="2" t="s">
        <v>3601</v>
      </c>
      <c r="B138" s="11" t="s">
        <v>2467</v>
      </c>
      <c r="C138" s="11" t="s">
        <v>994</v>
      </c>
      <c r="D138" s="11" t="s">
        <v>750</v>
      </c>
      <c r="F138" s="11" t="s">
        <v>1144</v>
      </c>
      <c r="G138" s="11" t="s">
        <v>1145</v>
      </c>
      <c r="H138" s="11" t="s">
        <v>1144</v>
      </c>
      <c r="I138" s="11" t="s">
        <v>1145</v>
      </c>
      <c r="J138" s="11" t="s">
        <v>766</v>
      </c>
      <c r="K138" s="11" t="n">
        <v>1</v>
      </c>
      <c r="N138" s="11" t="s">
        <v>27</v>
      </c>
    </row>
    <row r="139" customFormat="false" ht="15" hidden="false" customHeight="false" outlineLevel="0" collapsed="false">
      <c r="A139" s="2" t="s">
        <v>3602</v>
      </c>
      <c r="B139" s="11" t="s">
        <v>2467</v>
      </c>
      <c r="C139" s="11" t="s">
        <v>1014</v>
      </c>
      <c r="D139" s="11" t="s">
        <v>776</v>
      </c>
      <c r="F139" s="11" t="s">
        <v>1144</v>
      </c>
      <c r="G139" s="11" t="s">
        <v>1145</v>
      </c>
      <c r="H139" s="11" t="s">
        <v>1144</v>
      </c>
      <c r="I139" s="11" t="s">
        <v>1145</v>
      </c>
      <c r="J139" s="11" t="s">
        <v>766</v>
      </c>
      <c r="K139" s="11" t="n">
        <v>1</v>
      </c>
      <c r="N139" s="11" t="s">
        <v>27</v>
      </c>
    </row>
    <row r="140" customFormat="false" ht="15" hidden="false" customHeight="false" outlineLevel="0" collapsed="false">
      <c r="A140" s="2" t="s">
        <v>3603</v>
      </c>
      <c r="B140" s="11" t="s">
        <v>2473</v>
      </c>
      <c r="C140" s="11" t="s">
        <v>1009</v>
      </c>
      <c r="D140" s="11" t="s">
        <v>750</v>
      </c>
      <c r="F140" s="11" t="s">
        <v>1144</v>
      </c>
      <c r="G140" s="11" t="s">
        <v>1145</v>
      </c>
      <c r="H140" s="11" t="s">
        <v>1144</v>
      </c>
      <c r="I140" s="11" t="s">
        <v>1145</v>
      </c>
      <c r="J140" s="11" t="s">
        <v>766</v>
      </c>
      <c r="K140" s="11" t="n">
        <v>1</v>
      </c>
      <c r="N140" s="11" t="s">
        <v>27</v>
      </c>
    </row>
    <row r="141" customFormat="false" ht="15" hidden="false" customHeight="false" outlineLevel="0" collapsed="false">
      <c r="A141" s="2" t="s">
        <v>3604</v>
      </c>
      <c r="B141" s="11" t="s">
        <v>2473</v>
      </c>
      <c r="C141" s="11" t="s">
        <v>1014</v>
      </c>
      <c r="D141" s="11" t="s">
        <v>776</v>
      </c>
      <c r="F141" s="11" t="s">
        <v>1144</v>
      </c>
      <c r="G141" s="11" t="s">
        <v>1145</v>
      </c>
      <c r="H141" s="11" t="s">
        <v>1144</v>
      </c>
      <c r="I141" s="11" t="s">
        <v>1145</v>
      </c>
      <c r="J141" s="11" t="s">
        <v>766</v>
      </c>
      <c r="K141" s="11" t="n">
        <v>1</v>
      </c>
      <c r="N141" s="11" t="s">
        <v>27</v>
      </c>
    </row>
    <row r="142" customFormat="false" ht="15" hidden="false" customHeight="false" outlineLevel="0" collapsed="false">
      <c r="A142" s="2" t="s">
        <v>3605</v>
      </c>
      <c r="B142" s="11" t="s">
        <v>2479</v>
      </c>
      <c r="C142" s="11" t="s">
        <v>1009</v>
      </c>
      <c r="D142" s="11" t="s">
        <v>750</v>
      </c>
      <c r="F142" s="11" t="s">
        <v>1144</v>
      </c>
      <c r="G142" s="11" t="s">
        <v>1145</v>
      </c>
      <c r="H142" s="11" t="s">
        <v>1144</v>
      </c>
      <c r="I142" s="11" t="s">
        <v>1145</v>
      </c>
      <c r="J142" s="11" t="s">
        <v>766</v>
      </c>
      <c r="K142" s="11" t="n">
        <v>1</v>
      </c>
      <c r="N142" s="11" t="s">
        <v>27</v>
      </c>
    </row>
    <row r="143" customFormat="false" ht="15" hidden="false" customHeight="false" outlineLevel="0" collapsed="false">
      <c r="A143" s="2" t="s">
        <v>3606</v>
      </c>
      <c r="B143" s="11" t="s">
        <v>2479</v>
      </c>
      <c r="C143" s="11" t="s">
        <v>1014</v>
      </c>
      <c r="D143" s="11" t="s">
        <v>776</v>
      </c>
      <c r="F143" s="11" t="s">
        <v>1144</v>
      </c>
      <c r="G143" s="11" t="s">
        <v>1145</v>
      </c>
      <c r="H143" s="11" t="s">
        <v>1144</v>
      </c>
      <c r="I143" s="11" t="s">
        <v>1145</v>
      </c>
      <c r="J143" s="11" t="s">
        <v>766</v>
      </c>
      <c r="K143" s="11" t="n">
        <v>1</v>
      </c>
      <c r="N143" s="11" t="s">
        <v>27</v>
      </c>
    </row>
    <row r="144" customFormat="false" ht="15" hidden="false" customHeight="false" outlineLevel="0" collapsed="false">
      <c r="A144" s="2" t="s">
        <v>3607</v>
      </c>
      <c r="B144" s="11" t="s">
        <v>2485</v>
      </c>
      <c r="C144" s="11" t="s">
        <v>1009</v>
      </c>
      <c r="D144" s="11" t="s">
        <v>750</v>
      </c>
      <c r="F144" s="11" t="s">
        <v>1144</v>
      </c>
      <c r="G144" s="11" t="s">
        <v>1145</v>
      </c>
      <c r="H144" s="11" t="s">
        <v>1144</v>
      </c>
      <c r="I144" s="11" t="s">
        <v>1145</v>
      </c>
      <c r="J144" s="11" t="s">
        <v>766</v>
      </c>
      <c r="K144" s="11" t="n">
        <v>1</v>
      </c>
      <c r="N144" s="11" t="s">
        <v>27</v>
      </c>
    </row>
    <row r="145" customFormat="false" ht="15" hidden="false" customHeight="false" outlineLevel="0" collapsed="false">
      <c r="A145" s="2" t="s">
        <v>3608</v>
      </c>
      <c r="B145" s="11" t="s">
        <v>2485</v>
      </c>
      <c r="C145" s="11" t="s">
        <v>1014</v>
      </c>
      <c r="D145" s="11" t="s">
        <v>776</v>
      </c>
      <c r="F145" s="11" t="s">
        <v>1144</v>
      </c>
      <c r="G145" s="11" t="s">
        <v>1145</v>
      </c>
      <c r="H145" s="11" t="s">
        <v>1144</v>
      </c>
      <c r="I145" s="11" t="s">
        <v>1145</v>
      </c>
      <c r="J145" s="11" t="s">
        <v>766</v>
      </c>
      <c r="K145" s="11" t="n">
        <v>1</v>
      </c>
      <c r="N145" s="11" t="s">
        <v>27</v>
      </c>
    </row>
    <row r="146" customFormat="false" ht="15" hidden="false" customHeight="false" outlineLevel="0" collapsed="false">
      <c r="A146" s="2" t="s">
        <v>3609</v>
      </c>
      <c r="B146" s="11" t="s">
        <v>2491</v>
      </c>
      <c r="C146" s="11" t="s">
        <v>989</v>
      </c>
      <c r="D146" s="11" t="s">
        <v>750</v>
      </c>
      <c r="F146" s="11" t="s">
        <v>1144</v>
      </c>
      <c r="G146" s="11" t="s">
        <v>1145</v>
      </c>
      <c r="H146" s="11" t="s">
        <v>1144</v>
      </c>
      <c r="I146" s="11" t="s">
        <v>1145</v>
      </c>
      <c r="J146" s="11" t="s">
        <v>766</v>
      </c>
      <c r="K146" s="11" t="n">
        <v>1</v>
      </c>
      <c r="N146" s="11" t="s">
        <v>27</v>
      </c>
    </row>
    <row r="147" customFormat="false" ht="15" hidden="false" customHeight="false" outlineLevel="0" collapsed="false">
      <c r="A147" s="2" t="s">
        <v>3610</v>
      </c>
      <c r="B147" s="11" t="s">
        <v>2491</v>
      </c>
      <c r="C147" s="11" t="s">
        <v>994</v>
      </c>
      <c r="D147" s="11" t="s">
        <v>776</v>
      </c>
      <c r="F147" s="11" t="s">
        <v>1144</v>
      </c>
      <c r="G147" s="11" t="s">
        <v>1145</v>
      </c>
      <c r="H147" s="11" t="s">
        <v>1144</v>
      </c>
      <c r="I147" s="11" t="s">
        <v>1145</v>
      </c>
      <c r="J147" s="11" t="s">
        <v>766</v>
      </c>
      <c r="K147" s="11" t="n">
        <v>1</v>
      </c>
      <c r="N147" s="11" t="s">
        <v>27</v>
      </c>
    </row>
    <row r="148" customFormat="false" ht="15" hidden="false" customHeight="false" outlineLevel="0" collapsed="false">
      <c r="A148" s="2" t="s">
        <v>3611</v>
      </c>
      <c r="B148" s="11" t="s">
        <v>2497</v>
      </c>
      <c r="C148" s="11" t="s">
        <v>989</v>
      </c>
      <c r="D148" s="11" t="s">
        <v>750</v>
      </c>
      <c r="F148" s="11" t="s">
        <v>1144</v>
      </c>
      <c r="G148" s="11" t="s">
        <v>1145</v>
      </c>
      <c r="H148" s="11" t="s">
        <v>1144</v>
      </c>
      <c r="I148" s="11" t="s">
        <v>1145</v>
      </c>
      <c r="J148" s="11" t="s">
        <v>766</v>
      </c>
      <c r="K148" s="11" t="n">
        <v>1</v>
      </c>
      <c r="N148" s="11" t="s">
        <v>27</v>
      </c>
    </row>
    <row r="149" customFormat="false" ht="15" hidden="false" customHeight="false" outlineLevel="0" collapsed="false">
      <c r="A149" s="2" t="s">
        <v>3612</v>
      </c>
      <c r="B149" s="11" t="s">
        <v>2497</v>
      </c>
      <c r="C149" s="11" t="s">
        <v>994</v>
      </c>
      <c r="D149" s="11" t="s">
        <v>776</v>
      </c>
      <c r="F149" s="11" t="s">
        <v>1144</v>
      </c>
      <c r="G149" s="11" t="s">
        <v>1145</v>
      </c>
      <c r="H149" s="11" t="s">
        <v>1144</v>
      </c>
      <c r="I149" s="11" t="s">
        <v>1145</v>
      </c>
      <c r="J149" s="11" t="s">
        <v>766</v>
      </c>
      <c r="K149" s="11" t="n">
        <v>1</v>
      </c>
      <c r="N149" s="11" t="s">
        <v>27</v>
      </c>
    </row>
    <row r="150" customFormat="false" ht="15" hidden="false" customHeight="false" outlineLevel="0" collapsed="false">
      <c r="A150" s="2" t="s">
        <v>3613</v>
      </c>
      <c r="B150" s="11" t="s">
        <v>2503</v>
      </c>
      <c r="C150" s="11" t="s">
        <v>989</v>
      </c>
      <c r="D150" s="11" t="s">
        <v>750</v>
      </c>
      <c r="F150" s="11" t="s">
        <v>1144</v>
      </c>
      <c r="G150" s="11" t="s">
        <v>1145</v>
      </c>
      <c r="H150" s="11" t="s">
        <v>1144</v>
      </c>
      <c r="I150" s="11" t="s">
        <v>1145</v>
      </c>
      <c r="J150" s="11" t="s">
        <v>766</v>
      </c>
      <c r="K150" s="11" t="n">
        <v>1</v>
      </c>
      <c r="N150" s="11" t="s">
        <v>27</v>
      </c>
    </row>
    <row r="151" customFormat="false" ht="15" hidden="false" customHeight="false" outlineLevel="0" collapsed="false">
      <c r="A151" s="2" t="s">
        <v>3614</v>
      </c>
      <c r="B151" s="11" t="s">
        <v>2503</v>
      </c>
      <c r="C151" s="11" t="s">
        <v>994</v>
      </c>
      <c r="D151" s="11" t="s">
        <v>776</v>
      </c>
      <c r="F151" s="11" t="s">
        <v>1144</v>
      </c>
      <c r="G151" s="11" t="s">
        <v>1145</v>
      </c>
      <c r="H151" s="11" t="s">
        <v>1144</v>
      </c>
      <c r="I151" s="11" t="s">
        <v>1145</v>
      </c>
      <c r="J151" s="11" t="s">
        <v>766</v>
      </c>
      <c r="K151" s="11" t="n">
        <v>1</v>
      </c>
      <c r="N151" s="11" t="s">
        <v>27</v>
      </c>
    </row>
    <row r="152" customFormat="false" ht="15" hidden="false" customHeight="false" outlineLevel="0" collapsed="false">
      <c r="A152" s="2" t="s">
        <v>3615</v>
      </c>
      <c r="B152" s="11" t="s">
        <v>2508</v>
      </c>
      <c r="C152" s="11" t="s">
        <v>989</v>
      </c>
      <c r="D152" s="11" t="s">
        <v>750</v>
      </c>
      <c r="F152" s="11" t="s">
        <v>1144</v>
      </c>
      <c r="G152" s="11" t="s">
        <v>1145</v>
      </c>
      <c r="H152" s="11" t="s">
        <v>1144</v>
      </c>
      <c r="I152" s="11" t="s">
        <v>1145</v>
      </c>
      <c r="J152" s="11" t="s">
        <v>766</v>
      </c>
      <c r="K152" s="11" t="n">
        <v>1</v>
      </c>
      <c r="N152" s="11" t="s">
        <v>27</v>
      </c>
    </row>
    <row r="153" customFormat="false" ht="15" hidden="false" customHeight="false" outlineLevel="0" collapsed="false">
      <c r="A153" s="2" t="s">
        <v>3616</v>
      </c>
      <c r="B153" s="11" t="s">
        <v>2508</v>
      </c>
      <c r="C153" s="11" t="s">
        <v>994</v>
      </c>
      <c r="D153" s="11" t="s">
        <v>776</v>
      </c>
      <c r="F153" s="11" t="s">
        <v>1144</v>
      </c>
      <c r="G153" s="11" t="s">
        <v>1145</v>
      </c>
      <c r="H153" s="11" t="s">
        <v>1144</v>
      </c>
      <c r="I153" s="11" t="s">
        <v>1145</v>
      </c>
      <c r="J153" s="11" t="s">
        <v>766</v>
      </c>
      <c r="K153" s="11" t="n">
        <v>1</v>
      </c>
      <c r="N153" s="11" t="s">
        <v>27</v>
      </c>
    </row>
    <row r="154" customFormat="false" ht="15" hidden="false" customHeight="false" outlineLevel="0" collapsed="false">
      <c r="A154" s="2" t="s">
        <v>3617</v>
      </c>
      <c r="B154" s="11" t="s">
        <v>2514</v>
      </c>
      <c r="C154" s="11" t="s">
        <v>1009</v>
      </c>
      <c r="D154" s="11" t="s">
        <v>750</v>
      </c>
      <c r="F154" s="11" t="s">
        <v>1144</v>
      </c>
      <c r="G154" s="11" t="s">
        <v>1145</v>
      </c>
      <c r="H154" s="11" t="s">
        <v>1144</v>
      </c>
      <c r="I154" s="11" t="s">
        <v>1145</v>
      </c>
      <c r="J154" s="11" t="s">
        <v>766</v>
      </c>
      <c r="K154" s="11" t="n">
        <v>1</v>
      </c>
      <c r="N154" s="11" t="s">
        <v>27</v>
      </c>
    </row>
    <row r="155" customFormat="false" ht="15" hidden="false" customHeight="false" outlineLevel="0" collapsed="false">
      <c r="A155" s="2" t="s">
        <v>3618</v>
      </c>
      <c r="B155" s="11" t="s">
        <v>2514</v>
      </c>
      <c r="C155" s="11" t="s">
        <v>1014</v>
      </c>
      <c r="D155" s="11" t="s">
        <v>776</v>
      </c>
      <c r="F155" s="11" t="s">
        <v>1144</v>
      </c>
      <c r="G155" s="11" t="s">
        <v>1145</v>
      </c>
      <c r="H155" s="11" t="s">
        <v>1144</v>
      </c>
      <c r="I155" s="11" t="s">
        <v>1145</v>
      </c>
      <c r="J155" s="11" t="s">
        <v>766</v>
      </c>
      <c r="K155" s="11" t="n">
        <v>1</v>
      </c>
      <c r="N155" s="11" t="s">
        <v>27</v>
      </c>
    </row>
  </sheetData>
  <autoFilter ref="A1:N155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B2:B1155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155" type="list">
      <formula1>opgave!$B$2:$B$2000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15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O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568</v>
      </c>
      <c r="B1" s="13" t="s">
        <v>469</v>
      </c>
      <c r="C1" s="13" t="s">
        <v>418</v>
      </c>
      <c r="D1" s="14" t="s">
        <v>570</v>
      </c>
      <c r="E1" s="13" t="s">
        <v>557</v>
      </c>
      <c r="F1" s="14" t="s">
        <v>410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3619</v>
      </c>
      <c r="B2" s="11" t="s">
        <v>2008</v>
      </c>
      <c r="C2" s="11" t="s">
        <v>1628</v>
      </c>
      <c r="D2" s="11" t="s">
        <v>781</v>
      </c>
      <c r="E2" s="11" t="s">
        <v>750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27</v>
      </c>
    </row>
    <row r="3" customFormat="false" ht="15" hidden="false" customHeight="false" outlineLevel="0" collapsed="false">
      <c r="A3" s="2" t="s">
        <v>3620</v>
      </c>
      <c r="B3" s="11" t="s">
        <v>2008</v>
      </c>
      <c r="C3" s="11" t="s">
        <v>1622</v>
      </c>
      <c r="D3" s="11" t="s">
        <v>781</v>
      </c>
      <c r="E3" s="11" t="s">
        <v>776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27</v>
      </c>
    </row>
    <row r="4" customFormat="false" ht="15" hidden="false" customHeight="false" outlineLevel="0" collapsed="false">
      <c r="A4" s="2" t="s">
        <v>3621</v>
      </c>
      <c r="B4" s="11" t="s">
        <v>2023</v>
      </c>
      <c r="C4" s="11" t="s">
        <v>1628</v>
      </c>
      <c r="D4" s="11" t="s">
        <v>781</v>
      </c>
      <c r="E4" s="11" t="s">
        <v>750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27</v>
      </c>
    </row>
    <row r="5" customFormat="false" ht="15" hidden="false" customHeight="false" outlineLevel="0" collapsed="false">
      <c r="A5" s="2" t="s">
        <v>3622</v>
      </c>
      <c r="B5" s="11" t="s">
        <v>2023</v>
      </c>
      <c r="C5" s="11" t="s">
        <v>1622</v>
      </c>
      <c r="D5" s="11" t="s">
        <v>781</v>
      </c>
      <c r="E5" s="11" t="s">
        <v>776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27</v>
      </c>
    </row>
    <row r="6" customFormat="false" ht="15" hidden="false" customHeight="false" outlineLevel="0" collapsed="false">
      <c r="A6" s="2" t="s">
        <v>3623</v>
      </c>
      <c r="B6" s="11" t="s">
        <v>2030</v>
      </c>
      <c r="C6" s="11" t="s">
        <v>1628</v>
      </c>
      <c r="D6" s="11" t="s">
        <v>828</v>
      </c>
      <c r="E6" s="11" t="s">
        <v>750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27</v>
      </c>
    </row>
    <row r="7" customFormat="false" ht="15" hidden="false" customHeight="false" outlineLevel="0" collapsed="false">
      <c r="A7" s="2" t="s">
        <v>3624</v>
      </c>
      <c r="B7" s="11" t="s">
        <v>2030</v>
      </c>
      <c r="C7" s="11" t="s">
        <v>1622</v>
      </c>
      <c r="D7" s="11" t="s">
        <v>828</v>
      </c>
      <c r="E7" s="11" t="s">
        <v>776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27</v>
      </c>
    </row>
    <row r="8" customFormat="false" ht="15" hidden="false" customHeight="false" outlineLevel="0" collapsed="false">
      <c r="A8" s="2" t="s">
        <v>3625</v>
      </c>
      <c r="B8" s="11" t="s">
        <v>2036</v>
      </c>
      <c r="C8" s="11" t="s">
        <v>1638</v>
      </c>
      <c r="D8" s="11" t="s">
        <v>828</v>
      </c>
      <c r="E8" s="11" t="s">
        <v>750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27</v>
      </c>
    </row>
    <row r="9" customFormat="false" ht="15" hidden="false" customHeight="false" outlineLevel="0" collapsed="false">
      <c r="A9" s="2" t="s">
        <v>3626</v>
      </c>
      <c r="B9" s="11" t="s">
        <v>2045</v>
      </c>
      <c r="C9" s="11" t="s">
        <v>1628</v>
      </c>
      <c r="D9" s="11" t="s">
        <v>781</v>
      </c>
      <c r="E9" s="11" t="s">
        <v>750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27</v>
      </c>
    </row>
    <row r="10" customFormat="false" ht="15" hidden="false" customHeight="false" outlineLevel="0" collapsed="false">
      <c r="A10" s="2" t="s">
        <v>3627</v>
      </c>
      <c r="B10" s="11" t="s">
        <v>2045</v>
      </c>
      <c r="C10" s="11" t="s">
        <v>1622</v>
      </c>
      <c r="D10" s="11" t="s">
        <v>781</v>
      </c>
      <c r="E10" s="11" t="s">
        <v>776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27</v>
      </c>
    </row>
    <row r="11" customFormat="false" ht="15" hidden="false" customHeight="false" outlineLevel="0" collapsed="false">
      <c r="A11" s="2" t="s">
        <v>3628</v>
      </c>
      <c r="B11" s="11" t="s">
        <v>2051</v>
      </c>
      <c r="C11" s="11" t="s">
        <v>1628</v>
      </c>
      <c r="D11" s="11" t="s">
        <v>781</v>
      </c>
      <c r="E11" s="11" t="s">
        <v>750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27</v>
      </c>
    </row>
    <row r="12" customFormat="false" ht="15" hidden="false" customHeight="false" outlineLevel="0" collapsed="false">
      <c r="A12" s="2" t="s">
        <v>3629</v>
      </c>
      <c r="B12" s="11" t="s">
        <v>2051</v>
      </c>
      <c r="C12" s="11" t="s">
        <v>1622</v>
      </c>
      <c r="D12" s="11" t="s">
        <v>781</v>
      </c>
      <c r="E12" s="11" t="s">
        <v>776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27</v>
      </c>
    </row>
    <row r="13" customFormat="false" ht="15" hidden="false" customHeight="false" outlineLevel="0" collapsed="false">
      <c r="A13" s="2" t="s">
        <v>3630</v>
      </c>
      <c r="B13" s="11" t="s">
        <v>2060</v>
      </c>
      <c r="C13" s="11" t="s">
        <v>1628</v>
      </c>
      <c r="D13" s="11" t="s">
        <v>828</v>
      </c>
      <c r="E13" s="11" t="s">
        <v>750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27</v>
      </c>
    </row>
    <row r="14" customFormat="false" ht="15" hidden="false" customHeight="false" outlineLevel="0" collapsed="false">
      <c r="A14" s="2" t="s">
        <v>3631</v>
      </c>
      <c r="B14" s="11" t="s">
        <v>2060</v>
      </c>
      <c r="C14" s="11" t="s">
        <v>1622</v>
      </c>
      <c r="D14" s="11" t="s">
        <v>828</v>
      </c>
      <c r="E14" s="11" t="s">
        <v>776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27</v>
      </c>
    </row>
    <row r="15" customFormat="false" ht="15" hidden="false" customHeight="false" outlineLevel="0" collapsed="false">
      <c r="A15" s="2" t="s">
        <v>3632</v>
      </c>
      <c r="B15" s="11" t="s">
        <v>2065</v>
      </c>
      <c r="C15" s="11" t="s">
        <v>1612</v>
      </c>
      <c r="D15" s="11" t="s">
        <v>781</v>
      </c>
      <c r="E15" s="11" t="s">
        <v>750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27</v>
      </c>
    </row>
    <row r="16" customFormat="false" ht="15" hidden="false" customHeight="false" outlineLevel="0" collapsed="false">
      <c r="A16" s="2" t="s">
        <v>3633</v>
      </c>
      <c r="B16" s="11" t="s">
        <v>2075</v>
      </c>
      <c r="C16" s="11" t="s">
        <v>1656</v>
      </c>
      <c r="D16" s="11" t="s">
        <v>828</v>
      </c>
      <c r="E16" s="11" t="s">
        <v>750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27</v>
      </c>
    </row>
    <row r="17" customFormat="false" ht="15" hidden="false" customHeight="false" outlineLevel="0" collapsed="false">
      <c r="A17" s="2" t="s">
        <v>3634</v>
      </c>
      <c r="B17" s="11" t="s">
        <v>2075</v>
      </c>
      <c r="C17" s="11" t="s">
        <v>1622</v>
      </c>
      <c r="D17" s="11" t="s">
        <v>828</v>
      </c>
      <c r="E17" s="11" t="s">
        <v>776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27</v>
      </c>
    </row>
    <row r="18" customFormat="false" ht="15" hidden="false" customHeight="false" outlineLevel="0" collapsed="false">
      <c r="A18" s="2" t="s">
        <v>3635</v>
      </c>
      <c r="B18" s="11" t="s">
        <v>2084</v>
      </c>
      <c r="C18" s="11" t="s">
        <v>1656</v>
      </c>
      <c r="D18" s="11" t="s">
        <v>828</v>
      </c>
      <c r="E18" s="11" t="s">
        <v>750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27</v>
      </c>
    </row>
    <row r="19" customFormat="false" ht="15" hidden="false" customHeight="false" outlineLevel="0" collapsed="false">
      <c r="A19" s="2" t="s">
        <v>3636</v>
      </c>
      <c r="B19" s="11" t="s">
        <v>2084</v>
      </c>
      <c r="C19" s="11" t="s">
        <v>1622</v>
      </c>
      <c r="D19" s="11" t="s">
        <v>828</v>
      </c>
      <c r="E19" s="11" t="s">
        <v>776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27</v>
      </c>
    </row>
    <row r="20" customFormat="false" ht="15" hidden="false" customHeight="false" outlineLevel="0" collapsed="false">
      <c r="A20" s="2" t="s">
        <v>3637</v>
      </c>
      <c r="B20" s="11" t="s">
        <v>2089</v>
      </c>
      <c r="C20" s="11" t="s">
        <v>1628</v>
      </c>
      <c r="D20" s="11" t="s">
        <v>828</v>
      </c>
      <c r="E20" s="11" t="s">
        <v>750</v>
      </c>
      <c r="G20" s="11" t="s">
        <v>1144</v>
      </c>
      <c r="H20" s="11" t="s">
        <v>1145</v>
      </c>
      <c r="I20" s="11" t="s">
        <v>1144</v>
      </c>
      <c r="J20" s="11" t="s">
        <v>1145</v>
      </c>
      <c r="K20" s="11" t="s">
        <v>766</v>
      </c>
      <c r="L20" s="11" t="n">
        <v>1</v>
      </c>
      <c r="O20" s="11" t="s">
        <v>27</v>
      </c>
    </row>
    <row r="21" customFormat="false" ht="15" hidden="false" customHeight="false" outlineLevel="0" collapsed="false">
      <c r="A21" s="2" t="s">
        <v>3638</v>
      </c>
      <c r="B21" s="11" t="s">
        <v>2089</v>
      </c>
      <c r="C21" s="11" t="s">
        <v>1648</v>
      </c>
      <c r="D21" s="11" t="s">
        <v>828</v>
      </c>
      <c r="E21" s="11" t="s">
        <v>776</v>
      </c>
      <c r="G21" s="11" t="s">
        <v>1144</v>
      </c>
      <c r="H21" s="11" t="s">
        <v>1145</v>
      </c>
      <c r="I21" s="11" t="s">
        <v>1144</v>
      </c>
      <c r="J21" s="11" t="s">
        <v>1145</v>
      </c>
      <c r="K21" s="11" t="s">
        <v>766</v>
      </c>
      <c r="L21" s="11" t="n">
        <v>1</v>
      </c>
      <c r="O21" s="11" t="s">
        <v>27</v>
      </c>
    </row>
    <row r="22" customFormat="false" ht="15" hidden="false" customHeight="false" outlineLevel="0" collapsed="false">
      <c r="A22" s="2" t="s">
        <v>3639</v>
      </c>
      <c r="B22" s="11" t="s">
        <v>2099</v>
      </c>
      <c r="C22" s="11" t="s">
        <v>1656</v>
      </c>
      <c r="D22" s="11" t="s">
        <v>781</v>
      </c>
      <c r="E22" s="11" t="s">
        <v>750</v>
      </c>
      <c r="G22" s="11" t="s">
        <v>1144</v>
      </c>
      <c r="H22" s="11" t="s">
        <v>1145</v>
      </c>
      <c r="I22" s="11" t="s">
        <v>1144</v>
      </c>
      <c r="J22" s="11" t="s">
        <v>1145</v>
      </c>
      <c r="K22" s="11" t="s">
        <v>766</v>
      </c>
      <c r="L22" s="11" t="n">
        <v>1</v>
      </c>
      <c r="O22" s="11" t="s">
        <v>27</v>
      </c>
    </row>
    <row r="23" customFormat="false" ht="15" hidden="false" customHeight="false" outlineLevel="0" collapsed="false">
      <c r="A23" s="2" t="s">
        <v>3640</v>
      </c>
      <c r="B23" s="11" t="s">
        <v>2099</v>
      </c>
      <c r="C23" s="11" t="s">
        <v>1643</v>
      </c>
      <c r="D23" s="11" t="s">
        <v>781</v>
      </c>
      <c r="E23" s="11" t="s">
        <v>776</v>
      </c>
      <c r="G23" s="11" t="s">
        <v>1144</v>
      </c>
      <c r="H23" s="11" t="s">
        <v>1145</v>
      </c>
      <c r="I23" s="11" t="s">
        <v>1144</v>
      </c>
      <c r="J23" s="11" t="s">
        <v>1145</v>
      </c>
      <c r="K23" s="11" t="s">
        <v>766</v>
      </c>
      <c r="L23" s="11" t="n">
        <v>1</v>
      </c>
      <c r="O23" s="11" t="s">
        <v>27</v>
      </c>
    </row>
    <row r="24" customFormat="false" ht="15" hidden="false" customHeight="false" outlineLevel="0" collapsed="false">
      <c r="A24" s="2" t="s">
        <v>3641</v>
      </c>
      <c r="B24" s="11" t="s">
        <v>2107</v>
      </c>
      <c r="C24" s="11" t="s">
        <v>1656</v>
      </c>
      <c r="D24" s="11" t="s">
        <v>828</v>
      </c>
      <c r="E24" s="11" t="s">
        <v>750</v>
      </c>
      <c r="G24" s="11" t="s">
        <v>1144</v>
      </c>
      <c r="H24" s="11" t="s">
        <v>1145</v>
      </c>
      <c r="I24" s="11" t="s">
        <v>1144</v>
      </c>
      <c r="J24" s="11" t="s">
        <v>1145</v>
      </c>
      <c r="K24" s="11" t="s">
        <v>766</v>
      </c>
      <c r="L24" s="11" t="n">
        <v>1</v>
      </c>
      <c r="O24" s="11" t="s">
        <v>27</v>
      </c>
    </row>
    <row r="25" customFormat="false" ht="15" hidden="false" customHeight="false" outlineLevel="0" collapsed="false">
      <c r="A25" s="2" t="s">
        <v>3642</v>
      </c>
      <c r="B25" s="11" t="s">
        <v>2107</v>
      </c>
      <c r="C25" s="11" t="s">
        <v>1643</v>
      </c>
      <c r="D25" s="11" t="s">
        <v>828</v>
      </c>
      <c r="E25" s="11" t="s">
        <v>776</v>
      </c>
      <c r="G25" s="11" t="s">
        <v>1144</v>
      </c>
      <c r="H25" s="11" t="s">
        <v>1145</v>
      </c>
      <c r="I25" s="11" t="s">
        <v>1144</v>
      </c>
      <c r="J25" s="11" t="s">
        <v>1145</v>
      </c>
      <c r="K25" s="11" t="s">
        <v>766</v>
      </c>
      <c r="L25" s="11" t="n">
        <v>1</v>
      </c>
      <c r="O25" s="11" t="s">
        <v>27</v>
      </c>
    </row>
    <row r="26" customFormat="false" ht="15" hidden="false" customHeight="false" outlineLevel="0" collapsed="false">
      <c r="A26" s="2" t="s">
        <v>3643</v>
      </c>
      <c r="B26" s="11" t="s">
        <v>2117</v>
      </c>
      <c r="C26" s="11" t="s">
        <v>1656</v>
      </c>
      <c r="D26" s="11" t="s">
        <v>828</v>
      </c>
      <c r="E26" s="11" t="s">
        <v>750</v>
      </c>
      <c r="G26" s="11" t="s">
        <v>1144</v>
      </c>
      <c r="H26" s="11" t="s">
        <v>1145</v>
      </c>
      <c r="I26" s="11" t="s">
        <v>1144</v>
      </c>
      <c r="J26" s="11" t="s">
        <v>1145</v>
      </c>
      <c r="K26" s="11" t="s">
        <v>766</v>
      </c>
      <c r="L26" s="11" t="n">
        <v>1</v>
      </c>
      <c r="O26" s="11" t="s">
        <v>27</v>
      </c>
    </row>
    <row r="27" customFormat="false" ht="15" hidden="false" customHeight="false" outlineLevel="0" collapsed="false">
      <c r="A27" s="2" t="s">
        <v>3644</v>
      </c>
      <c r="B27" s="11" t="s">
        <v>2117</v>
      </c>
      <c r="C27" s="11" t="s">
        <v>1643</v>
      </c>
      <c r="D27" s="11" t="s">
        <v>828</v>
      </c>
      <c r="E27" s="11" t="s">
        <v>776</v>
      </c>
      <c r="G27" s="11" t="s">
        <v>1144</v>
      </c>
      <c r="H27" s="11" t="s">
        <v>1145</v>
      </c>
      <c r="I27" s="11" t="s">
        <v>1144</v>
      </c>
      <c r="J27" s="11" t="s">
        <v>1145</v>
      </c>
      <c r="K27" s="11" t="s">
        <v>766</v>
      </c>
      <c r="L27" s="11" t="n">
        <v>1</v>
      </c>
      <c r="O27" s="11" t="s">
        <v>27</v>
      </c>
    </row>
    <row r="28" customFormat="false" ht="15" hidden="false" customHeight="false" outlineLevel="0" collapsed="false">
      <c r="A28" s="2" t="s">
        <v>3645</v>
      </c>
      <c r="B28" s="11" t="s">
        <v>2122</v>
      </c>
      <c r="C28" s="11" t="s">
        <v>1656</v>
      </c>
      <c r="D28" s="11" t="s">
        <v>828</v>
      </c>
      <c r="E28" s="11" t="s">
        <v>750</v>
      </c>
      <c r="G28" s="11" t="s">
        <v>1144</v>
      </c>
      <c r="H28" s="11" t="s">
        <v>1145</v>
      </c>
      <c r="I28" s="11" t="s">
        <v>1144</v>
      </c>
      <c r="J28" s="11" t="s">
        <v>1145</v>
      </c>
      <c r="K28" s="11" t="s">
        <v>766</v>
      </c>
      <c r="L28" s="11" t="n">
        <v>1</v>
      </c>
      <c r="O28" s="11" t="s">
        <v>27</v>
      </c>
    </row>
    <row r="29" customFormat="false" ht="15" hidden="false" customHeight="false" outlineLevel="0" collapsed="false">
      <c r="A29" s="2" t="s">
        <v>3646</v>
      </c>
      <c r="B29" s="11" t="s">
        <v>2122</v>
      </c>
      <c r="C29" s="11" t="s">
        <v>1643</v>
      </c>
      <c r="D29" s="11" t="s">
        <v>828</v>
      </c>
      <c r="E29" s="11" t="s">
        <v>776</v>
      </c>
      <c r="G29" s="11" t="s">
        <v>1144</v>
      </c>
      <c r="H29" s="11" t="s">
        <v>1145</v>
      </c>
      <c r="I29" s="11" t="s">
        <v>1144</v>
      </c>
      <c r="J29" s="11" t="s">
        <v>1145</v>
      </c>
      <c r="K29" s="11" t="s">
        <v>766</v>
      </c>
      <c r="L29" s="11" t="n">
        <v>1</v>
      </c>
      <c r="O29" s="11" t="s">
        <v>27</v>
      </c>
    </row>
    <row r="30" customFormat="false" ht="15" hidden="false" customHeight="false" outlineLevel="0" collapsed="false">
      <c r="A30" s="2" t="s">
        <v>3647</v>
      </c>
      <c r="B30" s="11" t="s">
        <v>2127</v>
      </c>
      <c r="C30" s="11" t="s">
        <v>1656</v>
      </c>
      <c r="D30" s="11" t="s">
        <v>828</v>
      </c>
      <c r="E30" s="11" t="s">
        <v>750</v>
      </c>
      <c r="G30" s="11" t="s">
        <v>1144</v>
      </c>
      <c r="H30" s="11" t="s">
        <v>1145</v>
      </c>
      <c r="I30" s="11" t="s">
        <v>1144</v>
      </c>
      <c r="J30" s="11" t="s">
        <v>1145</v>
      </c>
      <c r="K30" s="11" t="s">
        <v>766</v>
      </c>
      <c r="L30" s="11" t="n">
        <v>1</v>
      </c>
      <c r="O30" s="11" t="s">
        <v>27</v>
      </c>
    </row>
    <row r="31" customFormat="false" ht="15" hidden="false" customHeight="false" outlineLevel="0" collapsed="false">
      <c r="A31" s="2" t="s">
        <v>3648</v>
      </c>
      <c r="B31" s="11" t="s">
        <v>2127</v>
      </c>
      <c r="C31" s="11" t="s">
        <v>1643</v>
      </c>
      <c r="D31" s="11" t="s">
        <v>828</v>
      </c>
      <c r="E31" s="11" t="s">
        <v>776</v>
      </c>
      <c r="G31" s="11" t="s">
        <v>1144</v>
      </c>
      <c r="H31" s="11" t="s">
        <v>1145</v>
      </c>
      <c r="I31" s="11" t="s">
        <v>1144</v>
      </c>
      <c r="J31" s="11" t="s">
        <v>1145</v>
      </c>
      <c r="K31" s="11" t="s">
        <v>766</v>
      </c>
      <c r="L31" s="11" t="n">
        <v>1</v>
      </c>
      <c r="O31" s="11" t="s">
        <v>27</v>
      </c>
    </row>
    <row r="32" customFormat="false" ht="15" hidden="false" customHeight="false" outlineLevel="0" collapsed="false">
      <c r="A32" s="2" t="s">
        <v>3649</v>
      </c>
      <c r="B32" s="11" t="s">
        <v>2133</v>
      </c>
      <c r="C32" s="11" t="s">
        <v>1617</v>
      </c>
      <c r="D32" s="11" t="s">
        <v>828</v>
      </c>
      <c r="E32" s="11" t="s">
        <v>750</v>
      </c>
      <c r="G32" s="11" t="s">
        <v>1144</v>
      </c>
      <c r="H32" s="11" t="s">
        <v>1145</v>
      </c>
      <c r="I32" s="11" t="s">
        <v>1144</v>
      </c>
      <c r="J32" s="11" t="s">
        <v>1145</v>
      </c>
      <c r="K32" s="11" t="s">
        <v>766</v>
      </c>
      <c r="L32" s="11" t="n">
        <v>1</v>
      </c>
      <c r="O32" s="11" t="s">
        <v>27</v>
      </c>
    </row>
    <row r="33" customFormat="false" ht="15" hidden="false" customHeight="false" outlineLevel="0" collapsed="false">
      <c r="A33" s="2" t="s">
        <v>3650</v>
      </c>
      <c r="B33" s="11" t="s">
        <v>2133</v>
      </c>
      <c r="C33" s="11" t="s">
        <v>1622</v>
      </c>
      <c r="D33" s="11" t="s">
        <v>828</v>
      </c>
      <c r="E33" s="11" t="s">
        <v>776</v>
      </c>
      <c r="G33" s="11" t="s">
        <v>1144</v>
      </c>
      <c r="H33" s="11" t="s">
        <v>1145</v>
      </c>
      <c r="I33" s="11" t="s">
        <v>1144</v>
      </c>
      <c r="J33" s="11" t="s">
        <v>1145</v>
      </c>
      <c r="K33" s="11" t="s">
        <v>766</v>
      </c>
      <c r="L33" s="11" t="n">
        <v>1</v>
      </c>
      <c r="O33" s="11" t="s">
        <v>27</v>
      </c>
    </row>
    <row r="34" customFormat="false" ht="15" hidden="false" customHeight="false" outlineLevel="0" collapsed="false">
      <c r="A34" s="2" t="s">
        <v>3651</v>
      </c>
      <c r="B34" s="11" t="s">
        <v>2141</v>
      </c>
      <c r="C34" s="11" t="s">
        <v>1617</v>
      </c>
      <c r="D34" s="11" t="s">
        <v>828</v>
      </c>
      <c r="E34" s="11" t="s">
        <v>750</v>
      </c>
      <c r="G34" s="11" t="s">
        <v>1144</v>
      </c>
      <c r="H34" s="11" t="s">
        <v>1145</v>
      </c>
      <c r="I34" s="11" t="s">
        <v>1144</v>
      </c>
      <c r="J34" s="11" t="s">
        <v>1145</v>
      </c>
      <c r="K34" s="11" t="s">
        <v>766</v>
      </c>
      <c r="L34" s="11" t="n">
        <v>1</v>
      </c>
      <c r="O34" s="11" t="s">
        <v>27</v>
      </c>
    </row>
    <row r="35" customFormat="false" ht="15" hidden="false" customHeight="false" outlineLevel="0" collapsed="false">
      <c r="A35" s="2" t="s">
        <v>3652</v>
      </c>
      <c r="B35" s="11" t="s">
        <v>2141</v>
      </c>
      <c r="C35" s="11" t="s">
        <v>1622</v>
      </c>
      <c r="D35" s="11" t="s">
        <v>828</v>
      </c>
      <c r="E35" s="11" t="s">
        <v>776</v>
      </c>
      <c r="G35" s="11" t="s">
        <v>1144</v>
      </c>
      <c r="H35" s="11" t="s">
        <v>1145</v>
      </c>
      <c r="I35" s="11" t="s">
        <v>1144</v>
      </c>
      <c r="J35" s="11" t="s">
        <v>1145</v>
      </c>
      <c r="K35" s="11" t="s">
        <v>766</v>
      </c>
      <c r="L35" s="11" t="n">
        <v>1</v>
      </c>
      <c r="O35" s="11" t="s">
        <v>27</v>
      </c>
    </row>
    <row r="36" customFormat="false" ht="15" hidden="false" customHeight="false" outlineLevel="0" collapsed="false">
      <c r="A36" s="2" t="s">
        <v>3653</v>
      </c>
      <c r="B36" s="11" t="s">
        <v>2147</v>
      </c>
      <c r="C36" s="11" t="s">
        <v>1617</v>
      </c>
      <c r="D36" s="11" t="s">
        <v>828</v>
      </c>
      <c r="E36" s="11" t="s">
        <v>750</v>
      </c>
      <c r="G36" s="11" t="s">
        <v>1144</v>
      </c>
      <c r="H36" s="11" t="s">
        <v>1145</v>
      </c>
      <c r="I36" s="11" t="s">
        <v>1144</v>
      </c>
      <c r="J36" s="11" t="s">
        <v>1145</v>
      </c>
      <c r="K36" s="11" t="s">
        <v>766</v>
      </c>
      <c r="L36" s="11" t="n">
        <v>1</v>
      </c>
      <c r="O36" s="11" t="s">
        <v>27</v>
      </c>
    </row>
    <row r="37" customFormat="false" ht="15" hidden="false" customHeight="false" outlineLevel="0" collapsed="false">
      <c r="A37" s="2" t="s">
        <v>3654</v>
      </c>
      <c r="B37" s="11" t="s">
        <v>2147</v>
      </c>
      <c r="C37" s="11" t="s">
        <v>1622</v>
      </c>
      <c r="D37" s="11" t="s">
        <v>828</v>
      </c>
      <c r="E37" s="11" t="s">
        <v>776</v>
      </c>
      <c r="G37" s="11" t="s">
        <v>1144</v>
      </c>
      <c r="H37" s="11" t="s">
        <v>1145</v>
      </c>
      <c r="I37" s="11" t="s">
        <v>1144</v>
      </c>
      <c r="J37" s="11" t="s">
        <v>1145</v>
      </c>
      <c r="K37" s="11" t="s">
        <v>766</v>
      </c>
      <c r="L37" s="11" t="n">
        <v>1</v>
      </c>
      <c r="O37" s="11" t="s">
        <v>27</v>
      </c>
    </row>
    <row r="38" customFormat="false" ht="15" hidden="false" customHeight="false" outlineLevel="0" collapsed="false">
      <c r="A38" s="2" t="s">
        <v>3655</v>
      </c>
      <c r="B38" s="11" t="s">
        <v>2152</v>
      </c>
      <c r="C38" s="11" t="s">
        <v>1617</v>
      </c>
      <c r="D38" s="11" t="s">
        <v>828</v>
      </c>
      <c r="E38" s="11" t="s">
        <v>750</v>
      </c>
      <c r="G38" s="11" t="s">
        <v>1144</v>
      </c>
      <c r="H38" s="11" t="s">
        <v>1145</v>
      </c>
      <c r="I38" s="11" t="s">
        <v>1144</v>
      </c>
      <c r="J38" s="11" t="s">
        <v>1145</v>
      </c>
      <c r="K38" s="11" t="s">
        <v>766</v>
      </c>
      <c r="L38" s="11" t="n">
        <v>1</v>
      </c>
      <c r="O38" s="11" t="s">
        <v>27</v>
      </c>
    </row>
    <row r="39" customFormat="false" ht="15" hidden="false" customHeight="false" outlineLevel="0" collapsed="false">
      <c r="A39" s="2" t="s">
        <v>3656</v>
      </c>
      <c r="B39" s="11" t="s">
        <v>2152</v>
      </c>
      <c r="C39" s="11" t="s">
        <v>1622</v>
      </c>
      <c r="D39" s="11" t="s">
        <v>828</v>
      </c>
      <c r="E39" s="11" t="s">
        <v>776</v>
      </c>
      <c r="G39" s="11" t="s">
        <v>1144</v>
      </c>
      <c r="H39" s="11" t="s">
        <v>1145</v>
      </c>
      <c r="I39" s="11" t="s">
        <v>1144</v>
      </c>
      <c r="J39" s="11" t="s">
        <v>1145</v>
      </c>
      <c r="K39" s="11" t="s">
        <v>766</v>
      </c>
      <c r="L39" s="11" t="n">
        <v>1</v>
      </c>
      <c r="O39" s="11" t="s">
        <v>27</v>
      </c>
    </row>
    <row r="40" customFormat="false" ht="15" hidden="false" customHeight="false" outlineLevel="0" collapsed="false">
      <c r="A40" s="2" t="s">
        <v>3657</v>
      </c>
      <c r="B40" s="11" t="s">
        <v>2158</v>
      </c>
      <c r="C40" s="11" t="s">
        <v>1617</v>
      </c>
      <c r="D40" s="11" t="s">
        <v>828</v>
      </c>
      <c r="E40" s="11" t="s">
        <v>750</v>
      </c>
      <c r="G40" s="11" t="s">
        <v>1144</v>
      </c>
      <c r="H40" s="11" t="s">
        <v>1145</v>
      </c>
      <c r="I40" s="11" t="s">
        <v>1144</v>
      </c>
      <c r="J40" s="11" t="s">
        <v>1145</v>
      </c>
      <c r="K40" s="11" t="s">
        <v>766</v>
      </c>
      <c r="L40" s="11" t="n">
        <v>1</v>
      </c>
      <c r="O40" s="11" t="s">
        <v>27</v>
      </c>
    </row>
    <row r="41" customFormat="false" ht="15" hidden="false" customHeight="false" outlineLevel="0" collapsed="false">
      <c r="A41" s="2" t="s">
        <v>3658</v>
      </c>
      <c r="B41" s="11" t="s">
        <v>2158</v>
      </c>
      <c r="C41" s="11" t="s">
        <v>1622</v>
      </c>
      <c r="D41" s="11" t="s">
        <v>828</v>
      </c>
      <c r="E41" s="11" t="s">
        <v>776</v>
      </c>
      <c r="G41" s="11" t="s">
        <v>1144</v>
      </c>
      <c r="H41" s="11" t="s">
        <v>1145</v>
      </c>
      <c r="I41" s="11" t="s">
        <v>1144</v>
      </c>
      <c r="J41" s="11" t="s">
        <v>1145</v>
      </c>
      <c r="K41" s="11" t="s">
        <v>766</v>
      </c>
      <c r="L41" s="11" t="n">
        <v>1</v>
      </c>
      <c r="O41" s="11" t="s">
        <v>27</v>
      </c>
    </row>
    <row r="42" customFormat="false" ht="15" hidden="false" customHeight="false" outlineLevel="0" collapsed="false">
      <c r="A42" s="2" t="s">
        <v>3659</v>
      </c>
      <c r="B42" s="11" t="s">
        <v>2158</v>
      </c>
      <c r="C42" s="11" t="s">
        <v>1651</v>
      </c>
      <c r="D42" s="11" t="s">
        <v>828</v>
      </c>
      <c r="E42" s="11" t="s">
        <v>776</v>
      </c>
      <c r="G42" s="11" t="s">
        <v>1144</v>
      </c>
      <c r="H42" s="11" t="s">
        <v>1145</v>
      </c>
      <c r="I42" s="11" t="s">
        <v>1144</v>
      </c>
      <c r="J42" s="11" t="s">
        <v>1145</v>
      </c>
      <c r="K42" s="11" t="s">
        <v>766</v>
      </c>
      <c r="L42" s="11" t="n">
        <v>1</v>
      </c>
      <c r="O42" s="11" t="s">
        <v>27</v>
      </c>
    </row>
    <row r="43" customFormat="false" ht="15" hidden="false" customHeight="false" outlineLevel="0" collapsed="false">
      <c r="A43" s="2" t="s">
        <v>3660</v>
      </c>
      <c r="B43" s="11" t="s">
        <v>2166</v>
      </c>
      <c r="C43" s="11" t="s">
        <v>1617</v>
      </c>
      <c r="D43" s="11" t="s">
        <v>781</v>
      </c>
      <c r="E43" s="11" t="s">
        <v>750</v>
      </c>
      <c r="G43" s="11" t="s">
        <v>1144</v>
      </c>
      <c r="H43" s="11" t="s">
        <v>1145</v>
      </c>
      <c r="I43" s="11" t="s">
        <v>1144</v>
      </c>
      <c r="J43" s="11" t="s">
        <v>1145</v>
      </c>
      <c r="K43" s="11" t="s">
        <v>766</v>
      </c>
      <c r="L43" s="11" t="n">
        <v>1</v>
      </c>
      <c r="O43" s="11" t="s">
        <v>27</v>
      </c>
    </row>
    <row r="44" customFormat="false" ht="15" hidden="false" customHeight="false" outlineLevel="0" collapsed="false">
      <c r="A44" s="2" t="s">
        <v>3661</v>
      </c>
      <c r="B44" s="11" t="s">
        <v>2166</v>
      </c>
      <c r="C44" s="11" t="s">
        <v>1622</v>
      </c>
      <c r="D44" s="11" t="s">
        <v>781</v>
      </c>
      <c r="E44" s="11" t="s">
        <v>776</v>
      </c>
      <c r="G44" s="11" t="s">
        <v>1144</v>
      </c>
      <c r="H44" s="11" t="s">
        <v>1145</v>
      </c>
      <c r="I44" s="11" t="s">
        <v>1144</v>
      </c>
      <c r="J44" s="11" t="s">
        <v>1145</v>
      </c>
      <c r="K44" s="11" t="s">
        <v>766</v>
      </c>
      <c r="L44" s="11" t="n">
        <v>1</v>
      </c>
      <c r="O44" s="11" t="s">
        <v>27</v>
      </c>
    </row>
    <row r="45" customFormat="false" ht="15" hidden="false" customHeight="false" outlineLevel="0" collapsed="false">
      <c r="A45" s="2" t="s">
        <v>3662</v>
      </c>
      <c r="B45" s="11" t="s">
        <v>2166</v>
      </c>
      <c r="C45" s="11" t="s">
        <v>1651</v>
      </c>
      <c r="D45" s="11" t="s">
        <v>781</v>
      </c>
      <c r="E45" s="11" t="s">
        <v>776</v>
      </c>
      <c r="G45" s="11" t="s">
        <v>1144</v>
      </c>
      <c r="H45" s="11" t="s">
        <v>1145</v>
      </c>
      <c r="I45" s="11" t="s">
        <v>1144</v>
      </c>
      <c r="J45" s="11" t="s">
        <v>1145</v>
      </c>
      <c r="K45" s="11" t="s">
        <v>766</v>
      </c>
      <c r="L45" s="11" t="n">
        <v>1</v>
      </c>
      <c r="O45" s="11" t="s">
        <v>27</v>
      </c>
    </row>
    <row r="46" customFormat="false" ht="15" hidden="false" customHeight="false" outlineLevel="0" collapsed="false">
      <c r="A46" s="2" t="s">
        <v>3663</v>
      </c>
      <c r="B46" s="11" t="s">
        <v>2171</v>
      </c>
      <c r="C46" s="11" t="s">
        <v>1648</v>
      </c>
      <c r="D46" s="11" t="s">
        <v>781</v>
      </c>
      <c r="E46" s="11" t="s">
        <v>750</v>
      </c>
      <c r="G46" s="11" t="s">
        <v>1144</v>
      </c>
      <c r="H46" s="11" t="s">
        <v>1145</v>
      </c>
      <c r="I46" s="11" t="s">
        <v>1144</v>
      </c>
      <c r="J46" s="11" t="s">
        <v>1145</v>
      </c>
      <c r="K46" s="11" t="s">
        <v>766</v>
      </c>
      <c r="L46" s="11" t="n">
        <v>1</v>
      </c>
      <c r="O46" s="11" t="s">
        <v>27</v>
      </c>
    </row>
    <row r="47" customFormat="false" ht="15" hidden="false" customHeight="false" outlineLevel="0" collapsed="false">
      <c r="A47" s="2" t="s">
        <v>3664</v>
      </c>
      <c r="B47" s="11" t="s">
        <v>2171</v>
      </c>
      <c r="C47" s="11" t="s">
        <v>1661</v>
      </c>
      <c r="D47" s="11" t="s">
        <v>781</v>
      </c>
      <c r="E47" s="11" t="s">
        <v>776</v>
      </c>
      <c r="G47" s="11" t="s">
        <v>1144</v>
      </c>
      <c r="H47" s="11" t="s">
        <v>1145</v>
      </c>
      <c r="I47" s="11" t="s">
        <v>1144</v>
      </c>
      <c r="J47" s="11" t="s">
        <v>1145</v>
      </c>
      <c r="K47" s="11" t="s">
        <v>766</v>
      </c>
      <c r="L47" s="11" t="n">
        <v>1</v>
      </c>
      <c r="O47" s="11" t="s">
        <v>27</v>
      </c>
    </row>
    <row r="48" customFormat="false" ht="15" hidden="false" customHeight="false" outlineLevel="0" collapsed="false">
      <c r="A48" s="2" t="s">
        <v>3665</v>
      </c>
      <c r="B48" s="11" t="s">
        <v>1841</v>
      </c>
      <c r="C48" s="11" t="s">
        <v>1648</v>
      </c>
      <c r="D48" s="11" t="s">
        <v>828</v>
      </c>
      <c r="E48" s="11" t="s">
        <v>750</v>
      </c>
      <c r="G48" s="11" t="s">
        <v>1144</v>
      </c>
      <c r="H48" s="11" t="s">
        <v>1145</v>
      </c>
      <c r="I48" s="11" t="s">
        <v>1144</v>
      </c>
      <c r="J48" s="11" t="s">
        <v>1145</v>
      </c>
      <c r="K48" s="11" t="s">
        <v>766</v>
      </c>
      <c r="L48" s="11" t="n">
        <v>1</v>
      </c>
      <c r="O48" s="11" t="s">
        <v>27</v>
      </c>
    </row>
    <row r="49" customFormat="false" ht="15" hidden="false" customHeight="false" outlineLevel="0" collapsed="false">
      <c r="A49" s="2" t="s">
        <v>3666</v>
      </c>
      <c r="B49" s="11" t="s">
        <v>1841</v>
      </c>
      <c r="C49" s="11" t="s">
        <v>1661</v>
      </c>
      <c r="D49" s="11" t="s">
        <v>828</v>
      </c>
      <c r="E49" s="11" t="s">
        <v>776</v>
      </c>
      <c r="G49" s="11" t="s">
        <v>1144</v>
      </c>
      <c r="H49" s="11" t="s">
        <v>1145</v>
      </c>
      <c r="I49" s="11" t="s">
        <v>1144</v>
      </c>
      <c r="J49" s="11" t="s">
        <v>1145</v>
      </c>
      <c r="K49" s="11" t="s">
        <v>766</v>
      </c>
      <c r="L49" s="11" t="n">
        <v>1</v>
      </c>
      <c r="O49" s="11" t="s">
        <v>27</v>
      </c>
    </row>
    <row r="50" customFormat="false" ht="15" hidden="false" customHeight="false" outlineLevel="0" collapsed="false">
      <c r="A50" s="2" t="s">
        <v>3667</v>
      </c>
      <c r="B50" s="11" t="s">
        <v>1832</v>
      </c>
      <c r="C50" s="11" t="s">
        <v>1605</v>
      </c>
      <c r="D50" s="11" t="s">
        <v>781</v>
      </c>
      <c r="E50" s="11" t="s">
        <v>750</v>
      </c>
      <c r="G50" s="11" t="s">
        <v>1144</v>
      </c>
      <c r="H50" s="11" t="s">
        <v>1145</v>
      </c>
      <c r="I50" s="11" t="s">
        <v>1144</v>
      </c>
      <c r="J50" s="11" t="s">
        <v>1145</v>
      </c>
      <c r="K50" s="11" t="s">
        <v>766</v>
      </c>
      <c r="L50" s="11" t="n">
        <v>1</v>
      </c>
      <c r="O50" s="11" t="s">
        <v>27</v>
      </c>
    </row>
    <row r="51" customFormat="false" ht="15" hidden="false" customHeight="false" outlineLevel="0" collapsed="false">
      <c r="A51" s="2" t="s">
        <v>3668</v>
      </c>
      <c r="B51" s="11" t="s">
        <v>1832</v>
      </c>
      <c r="C51" s="11" t="s">
        <v>1648</v>
      </c>
      <c r="D51" s="11" t="s">
        <v>781</v>
      </c>
      <c r="E51" s="11" t="s">
        <v>776</v>
      </c>
      <c r="G51" s="11" t="s">
        <v>1144</v>
      </c>
      <c r="H51" s="11" t="s">
        <v>1145</v>
      </c>
      <c r="I51" s="11" t="s">
        <v>1144</v>
      </c>
      <c r="J51" s="11" t="s">
        <v>1145</v>
      </c>
      <c r="K51" s="11" t="s">
        <v>766</v>
      </c>
      <c r="L51" s="11" t="n">
        <v>1</v>
      </c>
      <c r="O51" s="11" t="s">
        <v>27</v>
      </c>
    </row>
    <row r="52" customFormat="false" ht="15" hidden="false" customHeight="false" outlineLevel="0" collapsed="false">
      <c r="A52" s="2" t="s">
        <v>3669</v>
      </c>
      <c r="B52" s="11" t="s">
        <v>2193</v>
      </c>
      <c r="C52" s="11" t="s">
        <v>1605</v>
      </c>
      <c r="D52" s="11" t="s">
        <v>781</v>
      </c>
      <c r="E52" s="11" t="s">
        <v>750</v>
      </c>
      <c r="G52" s="11" t="s">
        <v>1144</v>
      </c>
      <c r="H52" s="11" t="s">
        <v>1145</v>
      </c>
      <c r="I52" s="11" t="s">
        <v>1144</v>
      </c>
      <c r="J52" s="11" t="s">
        <v>1145</v>
      </c>
      <c r="K52" s="11" t="s">
        <v>766</v>
      </c>
      <c r="L52" s="11" t="n">
        <v>1</v>
      </c>
      <c r="O52" s="11" t="s">
        <v>27</v>
      </c>
    </row>
    <row r="53" customFormat="false" ht="15" hidden="false" customHeight="false" outlineLevel="0" collapsed="false">
      <c r="A53" s="2" t="s">
        <v>3670</v>
      </c>
      <c r="B53" s="11" t="s">
        <v>2193</v>
      </c>
      <c r="C53" s="11" t="s">
        <v>1612</v>
      </c>
      <c r="D53" s="11" t="s">
        <v>781</v>
      </c>
      <c r="E53" s="11" t="s">
        <v>776</v>
      </c>
      <c r="G53" s="11" t="s">
        <v>1144</v>
      </c>
      <c r="H53" s="11" t="s">
        <v>1145</v>
      </c>
      <c r="I53" s="11" t="s">
        <v>1144</v>
      </c>
      <c r="J53" s="11" t="s">
        <v>1145</v>
      </c>
      <c r="K53" s="11" t="s">
        <v>766</v>
      </c>
      <c r="L53" s="11" t="n">
        <v>1</v>
      </c>
      <c r="O53" s="11" t="s">
        <v>27</v>
      </c>
    </row>
    <row r="54" customFormat="false" ht="15" hidden="false" customHeight="false" outlineLevel="0" collapsed="false">
      <c r="A54" s="2" t="s">
        <v>3671</v>
      </c>
      <c r="B54" s="11" t="s">
        <v>2201</v>
      </c>
      <c r="C54" s="11" t="s">
        <v>1628</v>
      </c>
      <c r="D54" s="11" t="s">
        <v>781</v>
      </c>
      <c r="E54" s="11" t="s">
        <v>750</v>
      </c>
      <c r="G54" s="11" t="s">
        <v>1144</v>
      </c>
      <c r="H54" s="11" t="s">
        <v>1145</v>
      </c>
      <c r="I54" s="11" t="s">
        <v>1144</v>
      </c>
      <c r="J54" s="11" t="s">
        <v>1145</v>
      </c>
      <c r="K54" s="11" t="s">
        <v>766</v>
      </c>
      <c r="L54" s="11" t="n">
        <v>1</v>
      </c>
      <c r="O54" s="11" t="s">
        <v>27</v>
      </c>
    </row>
    <row r="55" customFormat="false" ht="15" hidden="false" customHeight="false" outlineLevel="0" collapsed="false">
      <c r="A55" s="2" t="s">
        <v>3672</v>
      </c>
      <c r="B55" s="11" t="s">
        <v>2201</v>
      </c>
      <c r="C55" s="11" t="s">
        <v>1648</v>
      </c>
      <c r="D55" s="11" t="s">
        <v>781</v>
      </c>
      <c r="E55" s="11" t="s">
        <v>776</v>
      </c>
      <c r="G55" s="11" t="s">
        <v>1144</v>
      </c>
      <c r="H55" s="11" t="s">
        <v>1145</v>
      </c>
      <c r="I55" s="11" t="s">
        <v>1144</v>
      </c>
      <c r="J55" s="11" t="s">
        <v>1145</v>
      </c>
      <c r="K55" s="11" t="s">
        <v>766</v>
      </c>
      <c r="L55" s="11" t="n">
        <v>1</v>
      </c>
      <c r="O55" s="11" t="s">
        <v>27</v>
      </c>
    </row>
    <row r="56" customFormat="false" ht="15" hidden="false" customHeight="false" outlineLevel="0" collapsed="false">
      <c r="A56" s="2" t="s">
        <v>3673</v>
      </c>
      <c r="B56" s="11" t="s">
        <v>2207</v>
      </c>
      <c r="C56" s="11" t="s">
        <v>1656</v>
      </c>
      <c r="D56" s="11" t="s">
        <v>828</v>
      </c>
      <c r="E56" s="11" t="s">
        <v>750</v>
      </c>
      <c r="G56" s="11" t="s">
        <v>1144</v>
      </c>
      <c r="H56" s="11" t="s">
        <v>1145</v>
      </c>
      <c r="I56" s="11" t="s">
        <v>1144</v>
      </c>
      <c r="J56" s="11" t="s">
        <v>1145</v>
      </c>
      <c r="K56" s="11" t="s">
        <v>766</v>
      </c>
      <c r="L56" s="11" t="n">
        <v>1</v>
      </c>
      <c r="O56" s="11" t="s">
        <v>27</v>
      </c>
    </row>
    <row r="57" customFormat="false" ht="15" hidden="false" customHeight="false" outlineLevel="0" collapsed="false">
      <c r="A57" s="2" t="s">
        <v>3674</v>
      </c>
      <c r="B57" s="11" t="s">
        <v>2207</v>
      </c>
      <c r="C57" s="11" t="s">
        <v>1622</v>
      </c>
      <c r="D57" s="11" t="s">
        <v>828</v>
      </c>
      <c r="E57" s="11" t="s">
        <v>776</v>
      </c>
      <c r="G57" s="11" t="s">
        <v>1144</v>
      </c>
      <c r="H57" s="11" t="s">
        <v>1145</v>
      </c>
      <c r="I57" s="11" t="s">
        <v>1144</v>
      </c>
      <c r="J57" s="11" t="s">
        <v>1145</v>
      </c>
      <c r="K57" s="11" t="s">
        <v>766</v>
      </c>
      <c r="L57" s="11" t="n">
        <v>1</v>
      </c>
      <c r="O57" s="11" t="s">
        <v>27</v>
      </c>
    </row>
    <row r="58" customFormat="false" ht="15" hidden="false" customHeight="false" outlineLevel="0" collapsed="false">
      <c r="A58" s="2" t="s">
        <v>3675</v>
      </c>
      <c r="B58" s="11" t="s">
        <v>1882</v>
      </c>
      <c r="C58" s="11" t="s">
        <v>1633</v>
      </c>
      <c r="D58" s="11" t="s">
        <v>781</v>
      </c>
      <c r="E58" s="11" t="s">
        <v>750</v>
      </c>
      <c r="G58" s="11" t="s">
        <v>1144</v>
      </c>
      <c r="H58" s="11" t="s">
        <v>1145</v>
      </c>
      <c r="I58" s="11" t="s">
        <v>1144</v>
      </c>
      <c r="J58" s="11" t="s">
        <v>1145</v>
      </c>
      <c r="K58" s="11" t="s">
        <v>766</v>
      </c>
      <c r="L58" s="11" t="n">
        <v>1</v>
      </c>
      <c r="O58" s="11" t="s">
        <v>27</v>
      </c>
    </row>
    <row r="59" customFormat="false" ht="15" hidden="false" customHeight="false" outlineLevel="0" collapsed="false">
      <c r="A59" s="2" t="s">
        <v>3676</v>
      </c>
      <c r="B59" s="11" t="s">
        <v>2221</v>
      </c>
      <c r="C59" s="11" t="s">
        <v>1643</v>
      </c>
      <c r="D59" s="11" t="s">
        <v>828</v>
      </c>
      <c r="E59" s="11" t="s">
        <v>750</v>
      </c>
      <c r="G59" s="11" t="s">
        <v>1144</v>
      </c>
      <c r="H59" s="11" t="s">
        <v>1145</v>
      </c>
      <c r="I59" s="11" t="s">
        <v>1144</v>
      </c>
      <c r="J59" s="11" t="s">
        <v>1145</v>
      </c>
      <c r="K59" s="11" t="s">
        <v>766</v>
      </c>
      <c r="L59" s="11" t="n">
        <v>1</v>
      </c>
      <c r="O59" s="11" t="s">
        <v>27</v>
      </c>
    </row>
    <row r="60" customFormat="false" ht="15" hidden="false" customHeight="false" outlineLevel="0" collapsed="false">
      <c r="A60" s="2" t="s">
        <v>3677</v>
      </c>
      <c r="B60" s="11" t="s">
        <v>2230</v>
      </c>
      <c r="C60" s="11" t="s">
        <v>1656</v>
      </c>
      <c r="D60" s="11" t="s">
        <v>781</v>
      </c>
      <c r="E60" s="11" t="s">
        <v>750</v>
      </c>
      <c r="G60" s="11" t="s">
        <v>1144</v>
      </c>
      <c r="H60" s="11" t="s">
        <v>1145</v>
      </c>
      <c r="I60" s="11" t="s">
        <v>1144</v>
      </c>
      <c r="J60" s="11" t="s">
        <v>1145</v>
      </c>
      <c r="K60" s="11" t="s">
        <v>766</v>
      </c>
      <c r="L60" s="11" t="n">
        <v>1</v>
      </c>
      <c r="O60" s="11" t="s">
        <v>27</v>
      </c>
    </row>
    <row r="61" customFormat="false" ht="15" hidden="false" customHeight="false" outlineLevel="0" collapsed="false">
      <c r="A61" s="2" t="s">
        <v>3678</v>
      </c>
      <c r="B61" s="11" t="s">
        <v>2230</v>
      </c>
      <c r="C61" s="11" t="s">
        <v>1622</v>
      </c>
      <c r="D61" s="11" t="s">
        <v>781</v>
      </c>
      <c r="E61" s="11" t="s">
        <v>776</v>
      </c>
      <c r="G61" s="11" t="s">
        <v>1144</v>
      </c>
      <c r="H61" s="11" t="s">
        <v>1145</v>
      </c>
      <c r="I61" s="11" t="s">
        <v>1144</v>
      </c>
      <c r="J61" s="11" t="s">
        <v>1145</v>
      </c>
      <c r="K61" s="11" t="s">
        <v>766</v>
      </c>
      <c r="L61" s="11" t="n">
        <v>1</v>
      </c>
      <c r="O61" s="11" t="s">
        <v>27</v>
      </c>
    </row>
    <row r="62" customFormat="false" ht="15" hidden="false" customHeight="false" outlineLevel="0" collapsed="false">
      <c r="A62" s="2" t="s">
        <v>3679</v>
      </c>
      <c r="B62" s="11" t="s">
        <v>2236</v>
      </c>
      <c r="C62" s="11" t="s">
        <v>1656</v>
      </c>
      <c r="D62" s="11" t="s">
        <v>781</v>
      </c>
      <c r="E62" s="11" t="s">
        <v>750</v>
      </c>
      <c r="G62" s="11" t="s">
        <v>1144</v>
      </c>
      <c r="H62" s="11" t="s">
        <v>1145</v>
      </c>
      <c r="I62" s="11" t="s">
        <v>1144</v>
      </c>
      <c r="J62" s="11" t="s">
        <v>1145</v>
      </c>
      <c r="K62" s="11" t="s">
        <v>766</v>
      </c>
      <c r="L62" s="11" t="n">
        <v>1</v>
      </c>
      <c r="O62" s="11" t="s">
        <v>27</v>
      </c>
    </row>
    <row r="63" customFormat="false" ht="15" hidden="false" customHeight="false" outlineLevel="0" collapsed="false">
      <c r="A63" s="2" t="s">
        <v>3680</v>
      </c>
      <c r="B63" s="11" t="s">
        <v>2236</v>
      </c>
      <c r="C63" s="11" t="s">
        <v>1622</v>
      </c>
      <c r="D63" s="11" t="s">
        <v>781</v>
      </c>
      <c r="E63" s="11" t="s">
        <v>776</v>
      </c>
      <c r="G63" s="11" t="s">
        <v>1144</v>
      </c>
      <c r="H63" s="11" t="s">
        <v>1145</v>
      </c>
      <c r="I63" s="11" t="s">
        <v>1144</v>
      </c>
      <c r="J63" s="11" t="s">
        <v>1145</v>
      </c>
      <c r="K63" s="11" t="s">
        <v>766</v>
      </c>
      <c r="L63" s="11" t="n">
        <v>1</v>
      </c>
      <c r="O63" s="11" t="s">
        <v>27</v>
      </c>
    </row>
    <row r="64" customFormat="false" ht="15" hidden="false" customHeight="false" outlineLevel="0" collapsed="false">
      <c r="A64" s="2" t="s">
        <v>3681</v>
      </c>
      <c r="B64" s="11" t="s">
        <v>2242</v>
      </c>
      <c r="C64" s="11" t="s">
        <v>1656</v>
      </c>
      <c r="D64" s="11" t="s">
        <v>828</v>
      </c>
      <c r="E64" s="11" t="s">
        <v>750</v>
      </c>
      <c r="G64" s="11" t="s">
        <v>1144</v>
      </c>
      <c r="H64" s="11" t="s">
        <v>1145</v>
      </c>
      <c r="I64" s="11" t="s">
        <v>1144</v>
      </c>
      <c r="J64" s="11" t="s">
        <v>1145</v>
      </c>
      <c r="K64" s="11" t="s">
        <v>766</v>
      </c>
      <c r="L64" s="11" t="n">
        <v>1</v>
      </c>
      <c r="O64" s="11" t="s">
        <v>27</v>
      </c>
    </row>
    <row r="65" customFormat="false" ht="15" hidden="false" customHeight="false" outlineLevel="0" collapsed="false">
      <c r="A65" s="2" t="s">
        <v>3682</v>
      </c>
      <c r="B65" s="11" t="s">
        <v>2242</v>
      </c>
      <c r="C65" s="11" t="s">
        <v>1622</v>
      </c>
      <c r="D65" s="11" t="s">
        <v>828</v>
      </c>
      <c r="E65" s="11" t="s">
        <v>776</v>
      </c>
      <c r="G65" s="11" t="s">
        <v>1144</v>
      </c>
      <c r="H65" s="11" t="s">
        <v>1145</v>
      </c>
      <c r="I65" s="11" t="s">
        <v>1144</v>
      </c>
      <c r="J65" s="11" t="s">
        <v>1145</v>
      </c>
      <c r="K65" s="11" t="s">
        <v>766</v>
      </c>
      <c r="L65" s="11" t="n">
        <v>1</v>
      </c>
      <c r="O65" s="11" t="s">
        <v>27</v>
      </c>
    </row>
    <row r="66" customFormat="false" ht="15" hidden="false" customHeight="false" outlineLevel="0" collapsed="false">
      <c r="A66" s="2" t="s">
        <v>3683</v>
      </c>
      <c r="B66" s="11" t="s">
        <v>2248</v>
      </c>
      <c r="C66" s="11" t="s">
        <v>1628</v>
      </c>
      <c r="D66" s="11" t="s">
        <v>828</v>
      </c>
      <c r="E66" s="11" t="s">
        <v>750</v>
      </c>
      <c r="G66" s="11" t="s">
        <v>1144</v>
      </c>
      <c r="H66" s="11" t="s">
        <v>1145</v>
      </c>
      <c r="I66" s="11" t="s">
        <v>1144</v>
      </c>
      <c r="J66" s="11" t="s">
        <v>1145</v>
      </c>
      <c r="K66" s="11" t="s">
        <v>766</v>
      </c>
      <c r="L66" s="11" t="n">
        <v>1</v>
      </c>
      <c r="O66" s="11" t="s">
        <v>27</v>
      </c>
    </row>
    <row r="67" customFormat="false" ht="15" hidden="false" customHeight="false" outlineLevel="0" collapsed="false">
      <c r="A67" s="2" t="s">
        <v>3684</v>
      </c>
      <c r="B67" s="11" t="s">
        <v>2248</v>
      </c>
      <c r="C67" s="11" t="s">
        <v>1622</v>
      </c>
      <c r="D67" s="11" t="s">
        <v>828</v>
      </c>
      <c r="E67" s="11" t="s">
        <v>776</v>
      </c>
      <c r="G67" s="11" t="s">
        <v>1144</v>
      </c>
      <c r="H67" s="11" t="s">
        <v>1145</v>
      </c>
      <c r="I67" s="11" t="s">
        <v>1144</v>
      </c>
      <c r="J67" s="11" t="s">
        <v>1145</v>
      </c>
      <c r="K67" s="11" t="s">
        <v>766</v>
      </c>
      <c r="L67" s="11" t="n">
        <v>1</v>
      </c>
      <c r="O67" s="11" t="s">
        <v>27</v>
      </c>
    </row>
    <row r="68" customFormat="false" ht="15" hidden="false" customHeight="false" outlineLevel="0" collapsed="false">
      <c r="A68" s="2" t="s">
        <v>3685</v>
      </c>
      <c r="B68" s="11" t="s">
        <v>2254</v>
      </c>
      <c r="C68" s="11" t="s">
        <v>1628</v>
      </c>
      <c r="D68" s="11" t="s">
        <v>828</v>
      </c>
      <c r="E68" s="11" t="s">
        <v>750</v>
      </c>
      <c r="G68" s="11" t="s">
        <v>1144</v>
      </c>
      <c r="H68" s="11" t="s">
        <v>1145</v>
      </c>
      <c r="I68" s="11" t="s">
        <v>1144</v>
      </c>
      <c r="J68" s="11" t="s">
        <v>1145</v>
      </c>
      <c r="K68" s="11" t="s">
        <v>766</v>
      </c>
      <c r="L68" s="11" t="n">
        <v>1</v>
      </c>
      <c r="O68" s="11" t="s">
        <v>27</v>
      </c>
    </row>
    <row r="69" customFormat="false" ht="15" hidden="false" customHeight="false" outlineLevel="0" collapsed="false">
      <c r="A69" s="2" t="s">
        <v>3686</v>
      </c>
      <c r="B69" s="11" t="s">
        <v>2254</v>
      </c>
      <c r="C69" s="11" t="s">
        <v>1622</v>
      </c>
      <c r="D69" s="11" t="s">
        <v>828</v>
      </c>
      <c r="E69" s="11" t="s">
        <v>776</v>
      </c>
      <c r="G69" s="11" t="s">
        <v>1144</v>
      </c>
      <c r="H69" s="11" t="s">
        <v>1145</v>
      </c>
      <c r="I69" s="11" t="s">
        <v>1144</v>
      </c>
      <c r="J69" s="11" t="s">
        <v>1145</v>
      </c>
      <c r="K69" s="11" t="s">
        <v>766</v>
      </c>
      <c r="L69" s="11" t="n">
        <v>1</v>
      </c>
      <c r="O69" s="11" t="s">
        <v>27</v>
      </c>
    </row>
    <row r="70" customFormat="false" ht="15" hidden="false" customHeight="false" outlineLevel="0" collapsed="false">
      <c r="A70" s="2" t="s">
        <v>3687</v>
      </c>
      <c r="B70" s="11" t="s">
        <v>2260</v>
      </c>
      <c r="C70" s="11" t="s">
        <v>1656</v>
      </c>
      <c r="D70" s="11" t="s">
        <v>781</v>
      </c>
      <c r="E70" s="11" t="s">
        <v>750</v>
      </c>
      <c r="G70" s="11" t="s">
        <v>1144</v>
      </c>
      <c r="H70" s="11" t="s">
        <v>1145</v>
      </c>
      <c r="I70" s="11" t="s">
        <v>1144</v>
      </c>
      <c r="J70" s="11" t="s">
        <v>1145</v>
      </c>
      <c r="K70" s="11" t="s">
        <v>766</v>
      </c>
      <c r="L70" s="11" t="n">
        <v>1</v>
      </c>
      <c r="O70" s="11" t="s">
        <v>27</v>
      </c>
    </row>
    <row r="71" customFormat="false" ht="15" hidden="false" customHeight="false" outlineLevel="0" collapsed="false">
      <c r="A71" s="2" t="s">
        <v>3688</v>
      </c>
      <c r="B71" s="11" t="s">
        <v>2260</v>
      </c>
      <c r="C71" s="11" t="s">
        <v>1622</v>
      </c>
      <c r="D71" s="11" t="s">
        <v>781</v>
      </c>
      <c r="E71" s="11" t="s">
        <v>776</v>
      </c>
      <c r="G71" s="11" t="s">
        <v>1144</v>
      </c>
      <c r="H71" s="11" t="s">
        <v>1145</v>
      </c>
      <c r="I71" s="11" t="s">
        <v>1144</v>
      </c>
      <c r="J71" s="11" t="s">
        <v>1145</v>
      </c>
      <c r="K71" s="11" t="s">
        <v>766</v>
      </c>
      <c r="L71" s="11" t="n">
        <v>1</v>
      </c>
      <c r="O71" s="11" t="s">
        <v>27</v>
      </c>
    </row>
    <row r="72" customFormat="false" ht="15" hidden="false" customHeight="false" outlineLevel="0" collapsed="false">
      <c r="A72" s="2" t="s">
        <v>3689</v>
      </c>
      <c r="B72" s="11" t="s">
        <v>2265</v>
      </c>
      <c r="C72" s="11" t="s">
        <v>1628</v>
      </c>
      <c r="D72" s="11" t="s">
        <v>828</v>
      </c>
      <c r="E72" s="11" t="s">
        <v>750</v>
      </c>
      <c r="G72" s="11" t="s">
        <v>1144</v>
      </c>
      <c r="H72" s="11" t="s">
        <v>1145</v>
      </c>
      <c r="I72" s="11" t="s">
        <v>1144</v>
      </c>
      <c r="J72" s="11" t="s">
        <v>1145</v>
      </c>
      <c r="K72" s="11" t="s">
        <v>766</v>
      </c>
      <c r="L72" s="11" t="n">
        <v>1</v>
      </c>
      <c r="O72" s="11" t="s">
        <v>27</v>
      </c>
    </row>
    <row r="73" customFormat="false" ht="15" hidden="false" customHeight="false" outlineLevel="0" collapsed="false">
      <c r="A73" s="2" t="s">
        <v>3690</v>
      </c>
      <c r="B73" s="11" t="s">
        <v>2265</v>
      </c>
      <c r="C73" s="11" t="s">
        <v>1622</v>
      </c>
      <c r="D73" s="11" t="s">
        <v>828</v>
      </c>
      <c r="E73" s="11" t="s">
        <v>776</v>
      </c>
      <c r="G73" s="11" t="s">
        <v>1144</v>
      </c>
      <c r="H73" s="11" t="s">
        <v>1145</v>
      </c>
      <c r="I73" s="11" t="s">
        <v>1144</v>
      </c>
      <c r="J73" s="11" t="s">
        <v>1145</v>
      </c>
      <c r="K73" s="11" t="s">
        <v>766</v>
      </c>
      <c r="L73" s="11" t="n">
        <v>1</v>
      </c>
      <c r="O73" s="11" t="s">
        <v>27</v>
      </c>
    </row>
    <row r="74" customFormat="false" ht="15" hidden="false" customHeight="false" outlineLevel="0" collapsed="false">
      <c r="A74" s="2" t="s">
        <v>3691</v>
      </c>
      <c r="B74" s="11" t="s">
        <v>2271</v>
      </c>
      <c r="C74" s="11" t="s">
        <v>1605</v>
      </c>
      <c r="D74" s="11" t="s">
        <v>781</v>
      </c>
      <c r="E74" s="11" t="s">
        <v>750</v>
      </c>
      <c r="G74" s="11" t="s">
        <v>1144</v>
      </c>
      <c r="H74" s="11" t="s">
        <v>1145</v>
      </c>
      <c r="I74" s="11" t="s">
        <v>1144</v>
      </c>
      <c r="J74" s="11" t="s">
        <v>1145</v>
      </c>
      <c r="K74" s="11" t="s">
        <v>766</v>
      </c>
      <c r="L74" s="11" t="n">
        <v>1</v>
      </c>
      <c r="O74" s="11" t="s">
        <v>27</v>
      </c>
    </row>
    <row r="75" customFormat="false" ht="15" hidden="false" customHeight="false" outlineLevel="0" collapsed="false">
      <c r="A75" s="2" t="s">
        <v>3692</v>
      </c>
      <c r="B75" s="11" t="s">
        <v>2271</v>
      </c>
      <c r="C75" s="11" t="s">
        <v>1612</v>
      </c>
      <c r="D75" s="11" t="s">
        <v>781</v>
      </c>
      <c r="E75" s="11" t="s">
        <v>776</v>
      </c>
      <c r="G75" s="11" t="s">
        <v>1144</v>
      </c>
      <c r="H75" s="11" t="s">
        <v>1145</v>
      </c>
      <c r="I75" s="11" t="s">
        <v>1144</v>
      </c>
      <c r="J75" s="11" t="s">
        <v>1145</v>
      </c>
      <c r="K75" s="11" t="s">
        <v>766</v>
      </c>
      <c r="L75" s="11" t="n">
        <v>1</v>
      </c>
      <c r="O75" s="11" t="s">
        <v>27</v>
      </c>
    </row>
    <row r="76" customFormat="false" ht="15" hidden="false" customHeight="false" outlineLevel="0" collapsed="false">
      <c r="A76" s="2" t="s">
        <v>3693</v>
      </c>
      <c r="B76" s="11" t="s">
        <v>2277</v>
      </c>
      <c r="C76" s="11" t="s">
        <v>1605</v>
      </c>
      <c r="D76" s="11" t="s">
        <v>781</v>
      </c>
      <c r="E76" s="11" t="s">
        <v>750</v>
      </c>
      <c r="G76" s="11" t="s">
        <v>1144</v>
      </c>
      <c r="H76" s="11" t="s">
        <v>1145</v>
      </c>
      <c r="I76" s="11" t="s">
        <v>1144</v>
      </c>
      <c r="J76" s="11" t="s">
        <v>1145</v>
      </c>
      <c r="K76" s="11" t="s">
        <v>766</v>
      </c>
      <c r="L76" s="11" t="n">
        <v>1</v>
      </c>
      <c r="O76" s="11" t="s">
        <v>27</v>
      </c>
    </row>
    <row r="77" customFormat="false" ht="15" hidden="false" customHeight="false" outlineLevel="0" collapsed="false">
      <c r="A77" s="2" t="s">
        <v>3694</v>
      </c>
      <c r="B77" s="11" t="s">
        <v>2277</v>
      </c>
      <c r="C77" s="11" t="s">
        <v>1612</v>
      </c>
      <c r="D77" s="11" t="s">
        <v>781</v>
      </c>
      <c r="E77" s="11" t="s">
        <v>776</v>
      </c>
      <c r="G77" s="11" t="s">
        <v>1144</v>
      </c>
      <c r="H77" s="11" t="s">
        <v>1145</v>
      </c>
      <c r="I77" s="11" t="s">
        <v>1144</v>
      </c>
      <c r="J77" s="11" t="s">
        <v>1145</v>
      </c>
      <c r="K77" s="11" t="s">
        <v>766</v>
      </c>
      <c r="L77" s="11" t="n">
        <v>1</v>
      </c>
      <c r="O77" s="11" t="s">
        <v>27</v>
      </c>
    </row>
    <row r="78" customFormat="false" ht="15" hidden="false" customHeight="false" outlineLevel="0" collapsed="false">
      <c r="A78" s="2" t="s">
        <v>3695</v>
      </c>
      <c r="B78" s="11" t="s">
        <v>1845</v>
      </c>
      <c r="C78" s="11" t="s">
        <v>1605</v>
      </c>
      <c r="D78" s="11" t="s">
        <v>781</v>
      </c>
      <c r="E78" s="11" t="s">
        <v>750</v>
      </c>
      <c r="G78" s="11" t="s">
        <v>1144</v>
      </c>
      <c r="H78" s="11" t="s">
        <v>1145</v>
      </c>
      <c r="I78" s="11" t="s">
        <v>1144</v>
      </c>
      <c r="J78" s="11" t="s">
        <v>1145</v>
      </c>
      <c r="K78" s="11" t="s">
        <v>766</v>
      </c>
      <c r="L78" s="11" t="n">
        <v>1</v>
      </c>
      <c r="O78" s="11" t="s">
        <v>27</v>
      </c>
    </row>
    <row r="79" customFormat="false" ht="15" hidden="false" customHeight="false" outlineLevel="0" collapsed="false">
      <c r="A79" s="2" t="s">
        <v>3696</v>
      </c>
      <c r="B79" s="11" t="s">
        <v>1845</v>
      </c>
      <c r="C79" s="11" t="s">
        <v>1648</v>
      </c>
      <c r="D79" s="11" t="s">
        <v>781</v>
      </c>
      <c r="E79" s="11" t="s">
        <v>776</v>
      </c>
      <c r="G79" s="11" t="s">
        <v>1144</v>
      </c>
      <c r="H79" s="11" t="s">
        <v>1145</v>
      </c>
      <c r="I79" s="11" t="s">
        <v>1144</v>
      </c>
      <c r="J79" s="11" t="s">
        <v>1145</v>
      </c>
      <c r="K79" s="11" t="s">
        <v>766</v>
      </c>
      <c r="L79" s="11" t="n">
        <v>1</v>
      </c>
      <c r="O79" s="11" t="s">
        <v>27</v>
      </c>
    </row>
    <row r="80" customFormat="false" ht="15" hidden="false" customHeight="false" outlineLevel="0" collapsed="false">
      <c r="A80" s="2" t="s">
        <v>3697</v>
      </c>
      <c r="B80" s="11" t="s">
        <v>2287</v>
      </c>
      <c r="C80" s="11" t="s">
        <v>1628</v>
      </c>
      <c r="D80" s="11" t="s">
        <v>781</v>
      </c>
      <c r="E80" s="11" t="s">
        <v>750</v>
      </c>
      <c r="G80" s="11" t="s">
        <v>1144</v>
      </c>
      <c r="H80" s="11" t="s">
        <v>1145</v>
      </c>
      <c r="I80" s="11" t="s">
        <v>1144</v>
      </c>
      <c r="J80" s="11" t="s">
        <v>1145</v>
      </c>
      <c r="K80" s="11" t="s">
        <v>766</v>
      </c>
      <c r="L80" s="11" t="n">
        <v>1</v>
      </c>
      <c r="O80" s="11" t="s">
        <v>27</v>
      </c>
    </row>
    <row r="81" customFormat="false" ht="15" hidden="false" customHeight="false" outlineLevel="0" collapsed="false">
      <c r="A81" s="2" t="s">
        <v>3698</v>
      </c>
      <c r="B81" s="11" t="s">
        <v>2287</v>
      </c>
      <c r="C81" s="11" t="s">
        <v>1648</v>
      </c>
      <c r="D81" s="11" t="s">
        <v>781</v>
      </c>
      <c r="E81" s="11" t="s">
        <v>776</v>
      </c>
      <c r="G81" s="11" t="s">
        <v>1144</v>
      </c>
      <c r="H81" s="11" t="s">
        <v>1145</v>
      </c>
      <c r="I81" s="11" t="s">
        <v>1144</v>
      </c>
      <c r="J81" s="11" t="s">
        <v>1145</v>
      </c>
      <c r="K81" s="11" t="s">
        <v>766</v>
      </c>
      <c r="L81" s="11" t="n">
        <v>1</v>
      </c>
      <c r="O81" s="11" t="s">
        <v>27</v>
      </c>
    </row>
    <row r="82" customFormat="false" ht="15" hidden="false" customHeight="false" outlineLevel="0" collapsed="false">
      <c r="A82" s="2" t="s">
        <v>3699</v>
      </c>
      <c r="B82" s="11" t="s">
        <v>2294</v>
      </c>
      <c r="C82" s="11" t="s">
        <v>1648</v>
      </c>
      <c r="D82" s="11" t="s">
        <v>781</v>
      </c>
      <c r="E82" s="11" t="s">
        <v>750</v>
      </c>
      <c r="G82" s="11" t="s">
        <v>1144</v>
      </c>
      <c r="H82" s="11" t="s">
        <v>1145</v>
      </c>
      <c r="I82" s="11" t="s">
        <v>1144</v>
      </c>
      <c r="J82" s="11" t="s">
        <v>1145</v>
      </c>
      <c r="K82" s="11" t="s">
        <v>766</v>
      </c>
      <c r="L82" s="11" t="n">
        <v>1</v>
      </c>
      <c r="O82" s="11" t="s">
        <v>27</v>
      </c>
    </row>
    <row r="83" customFormat="false" ht="15" hidden="false" customHeight="false" outlineLevel="0" collapsed="false">
      <c r="A83" s="2" t="s">
        <v>3700</v>
      </c>
      <c r="B83" s="11" t="s">
        <v>2294</v>
      </c>
      <c r="C83" s="11" t="s">
        <v>1661</v>
      </c>
      <c r="D83" s="11" t="s">
        <v>781</v>
      </c>
      <c r="E83" s="11" t="s">
        <v>776</v>
      </c>
      <c r="G83" s="11" t="s">
        <v>1144</v>
      </c>
      <c r="H83" s="11" t="s">
        <v>1145</v>
      </c>
      <c r="I83" s="11" t="s">
        <v>1144</v>
      </c>
      <c r="J83" s="11" t="s">
        <v>1145</v>
      </c>
      <c r="K83" s="11" t="s">
        <v>766</v>
      </c>
      <c r="L83" s="11" t="n">
        <v>1</v>
      </c>
      <c r="O83" s="11" t="s">
        <v>27</v>
      </c>
    </row>
    <row r="84" customFormat="false" ht="15" hidden="false" customHeight="false" outlineLevel="0" collapsed="false">
      <c r="A84" s="2" t="s">
        <v>3701</v>
      </c>
      <c r="B84" s="11" t="s">
        <v>2299</v>
      </c>
      <c r="C84" s="11" t="s">
        <v>1605</v>
      </c>
      <c r="D84" s="11" t="s">
        <v>781</v>
      </c>
      <c r="E84" s="11" t="s">
        <v>750</v>
      </c>
      <c r="G84" s="11" t="s">
        <v>1144</v>
      </c>
      <c r="H84" s="11" t="s">
        <v>1145</v>
      </c>
      <c r="I84" s="11" t="s">
        <v>1144</v>
      </c>
      <c r="J84" s="11" t="s">
        <v>1145</v>
      </c>
      <c r="K84" s="11" t="s">
        <v>766</v>
      </c>
      <c r="L84" s="11" t="n">
        <v>1</v>
      </c>
      <c r="O84" s="11" t="s">
        <v>27</v>
      </c>
    </row>
    <row r="85" customFormat="false" ht="15" hidden="false" customHeight="false" outlineLevel="0" collapsed="false">
      <c r="A85" s="2" t="s">
        <v>3702</v>
      </c>
      <c r="B85" s="11" t="s">
        <v>2299</v>
      </c>
      <c r="C85" s="11" t="s">
        <v>1648</v>
      </c>
      <c r="D85" s="11" t="s">
        <v>781</v>
      </c>
      <c r="E85" s="11" t="s">
        <v>776</v>
      </c>
      <c r="G85" s="11" t="s">
        <v>1144</v>
      </c>
      <c r="H85" s="11" t="s">
        <v>1145</v>
      </c>
      <c r="I85" s="11" t="s">
        <v>1144</v>
      </c>
      <c r="J85" s="11" t="s">
        <v>1145</v>
      </c>
      <c r="K85" s="11" t="s">
        <v>766</v>
      </c>
      <c r="L85" s="11" t="n">
        <v>1</v>
      </c>
      <c r="O85" s="11" t="s">
        <v>27</v>
      </c>
    </row>
    <row r="86" customFormat="false" ht="15" hidden="false" customHeight="false" outlineLevel="0" collapsed="false">
      <c r="A86" s="2" t="s">
        <v>3703</v>
      </c>
      <c r="B86" s="11" t="s">
        <v>2305</v>
      </c>
      <c r="C86" s="11" t="s">
        <v>1633</v>
      </c>
      <c r="D86" s="11" t="s">
        <v>781</v>
      </c>
      <c r="E86" s="11" t="s">
        <v>750</v>
      </c>
      <c r="G86" s="11" t="s">
        <v>1144</v>
      </c>
      <c r="H86" s="11" t="s">
        <v>1145</v>
      </c>
      <c r="I86" s="11" t="s">
        <v>1144</v>
      </c>
      <c r="J86" s="11" t="s">
        <v>1145</v>
      </c>
      <c r="K86" s="11" t="s">
        <v>766</v>
      </c>
      <c r="L86" s="11" t="n">
        <v>1</v>
      </c>
      <c r="O86" s="11" t="s">
        <v>27</v>
      </c>
    </row>
    <row r="87" customFormat="false" ht="15" hidden="false" customHeight="false" outlineLevel="0" collapsed="false">
      <c r="A87" s="2" t="s">
        <v>3704</v>
      </c>
      <c r="B87" s="11" t="s">
        <v>2305</v>
      </c>
      <c r="C87" s="11" t="s">
        <v>1651</v>
      </c>
      <c r="D87" s="11" t="s">
        <v>781</v>
      </c>
      <c r="E87" s="11" t="s">
        <v>776</v>
      </c>
      <c r="G87" s="11" t="s">
        <v>1144</v>
      </c>
      <c r="H87" s="11" t="s">
        <v>1145</v>
      </c>
      <c r="I87" s="11" t="s">
        <v>1144</v>
      </c>
      <c r="J87" s="11" t="s">
        <v>1145</v>
      </c>
      <c r="K87" s="11" t="s">
        <v>766</v>
      </c>
      <c r="L87" s="11" t="n">
        <v>1</v>
      </c>
      <c r="O87" s="11" t="s">
        <v>27</v>
      </c>
    </row>
    <row r="88" customFormat="false" ht="15" hidden="false" customHeight="false" outlineLevel="0" collapsed="false">
      <c r="A88" s="2" t="s">
        <v>3705</v>
      </c>
      <c r="B88" s="11" t="s">
        <v>2311</v>
      </c>
      <c r="C88" s="11" t="s">
        <v>1643</v>
      </c>
      <c r="D88" s="11" t="s">
        <v>828</v>
      </c>
      <c r="E88" s="11" t="s">
        <v>750</v>
      </c>
      <c r="G88" s="11" t="s">
        <v>1144</v>
      </c>
      <c r="H88" s="11" t="s">
        <v>1145</v>
      </c>
      <c r="I88" s="11" t="s">
        <v>1144</v>
      </c>
      <c r="J88" s="11" t="s">
        <v>1145</v>
      </c>
      <c r="K88" s="11" t="s">
        <v>766</v>
      </c>
      <c r="L88" s="11" t="n">
        <v>1</v>
      </c>
      <c r="O88" s="11" t="s">
        <v>27</v>
      </c>
    </row>
    <row r="89" customFormat="false" ht="15" hidden="false" customHeight="false" outlineLevel="0" collapsed="false">
      <c r="A89" s="2" t="s">
        <v>3706</v>
      </c>
      <c r="B89" s="11" t="s">
        <v>2317</v>
      </c>
      <c r="C89" s="11" t="s">
        <v>1643</v>
      </c>
      <c r="D89" s="11" t="s">
        <v>781</v>
      </c>
      <c r="E89" s="11" t="s">
        <v>750</v>
      </c>
      <c r="G89" s="11" t="s">
        <v>1144</v>
      </c>
      <c r="H89" s="11" t="s">
        <v>1145</v>
      </c>
      <c r="I89" s="11" t="s">
        <v>1144</v>
      </c>
      <c r="J89" s="11" t="s">
        <v>1145</v>
      </c>
      <c r="K89" s="11" t="s">
        <v>766</v>
      </c>
      <c r="L89" s="11" t="n">
        <v>1</v>
      </c>
      <c r="O89" s="11" t="s">
        <v>27</v>
      </c>
    </row>
    <row r="90" customFormat="false" ht="15" hidden="false" customHeight="false" outlineLevel="0" collapsed="false">
      <c r="A90" s="2" t="s">
        <v>3707</v>
      </c>
      <c r="B90" s="11" t="s">
        <v>2322</v>
      </c>
      <c r="C90" s="11" t="s">
        <v>1633</v>
      </c>
      <c r="D90" s="11" t="s">
        <v>828</v>
      </c>
      <c r="E90" s="11" t="s">
        <v>750</v>
      </c>
      <c r="G90" s="11" t="s">
        <v>1144</v>
      </c>
      <c r="H90" s="11" t="s">
        <v>1145</v>
      </c>
      <c r="I90" s="11" t="s">
        <v>1144</v>
      </c>
      <c r="J90" s="11" t="s">
        <v>1145</v>
      </c>
      <c r="K90" s="11" t="s">
        <v>766</v>
      </c>
      <c r="L90" s="11" t="n">
        <v>1</v>
      </c>
      <c r="O90" s="11" t="s">
        <v>27</v>
      </c>
    </row>
    <row r="91" customFormat="false" ht="15" hidden="false" customHeight="false" outlineLevel="0" collapsed="false">
      <c r="A91" s="2" t="s">
        <v>3708</v>
      </c>
      <c r="B91" s="11" t="s">
        <v>2329</v>
      </c>
      <c r="C91" s="11" t="s">
        <v>1617</v>
      </c>
      <c r="D91" s="11" t="s">
        <v>828</v>
      </c>
      <c r="E91" s="11" t="s">
        <v>750</v>
      </c>
      <c r="G91" s="11" t="s">
        <v>1144</v>
      </c>
      <c r="H91" s="11" t="s">
        <v>1145</v>
      </c>
      <c r="I91" s="11" t="s">
        <v>1144</v>
      </c>
      <c r="J91" s="11" t="s">
        <v>1145</v>
      </c>
      <c r="K91" s="11" t="s">
        <v>766</v>
      </c>
      <c r="L91" s="11" t="n">
        <v>1</v>
      </c>
      <c r="O91" s="11" t="s">
        <v>27</v>
      </c>
    </row>
    <row r="92" customFormat="false" ht="15" hidden="false" customHeight="false" outlineLevel="0" collapsed="false">
      <c r="A92" s="2" t="s">
        <v>3709</v>
      </c>
      <c r="B92" s="11" t="s">
        <v>2329</v>
      </c>
      <c r="C92" s="11" t="s">
        <v>1622</v>
      </c>
      <c r="D92" s="11" t="s">
        <v>828</v>
      </c>
      <c r="E92" s="11" t="s">
        <v>776</v>
      </c>
      <c r="G92" s="11" t="s">
        <v>1144</v>
      </c>
      <c r="H92" s="11" t="s">
        <v>1145</v>
      </c>
      <c r="I92" s="11" t="s">
        <v>1144</v>
      </c>
      <c r="J92" s="11" t="s">
        <v>1145</v>
      </c>
      <c r="K92" s="11" t="s">
        <v>766</v>
      </c>
      <c r="L92" s="11" t="n">
        <v>1</v>
      </c>
      <c r="O92" s="11" t="s">
        <v>27</v>
      </c>
    </row>
    <row r="93" customFormat="false" ht="15" hidden="false" customHeight="false" outlineLevel="0" collapsed="false">
      <c r="A93" s="2" t="s">
        <v>3710</v>
      </c>
      <c r="B93" s="11" t="s">
        <v>2335</v>
      </c>
      <c r="C93" s="11" t="s">
        <v>1605</v>
      </c>
      <c r="D93" s="11" t="s">
        <v>781</v>
      </c>
      <c r="E93" s="11" t="s">
        <v>750</v>
      </c>
      <c r="G93" s="11" t="s">
        <v>1144</v>
      </c>
      <c r="H93" s="11" t="s">
        <v>1145</v>
      </c>
      <c r="I93" s="11" t="s">
        <v>1144</v>
      </c>
      <c r="J93" s="11" t="s">
        <v>1145</v>
      </c>
      <c r="K93" s="11" t="s">
        <v>766</v>
      </c>
      <c r="L93" s="11" t="n">
        <v>1</v>
      </c>
      <c r="O93" s="11" t="s">
        <v>27</v>
      </c>
    </row>
    <row r="94" customFormat="false" ht="15" hidden="false" customHeight="false" outlineLevel="0" collapsed="false">
      <c r="A94" s="2" t="s">
        <v>3711</v>
      </c>
      <c r="B94" s="11" t="s">
        <v>2335</v>
      </c>
      <c r="C94" s="11" t="s">
        <v>1612</v>
      </c>
      <c r="D94" s="11" t="s">
        <v>781</v>
      </c>
      <c r="E94" s="11" t="s">
        <v>776</v>
      </c>
      <c r="G94" s="11" t="s">
        <v>1144</v>
      </c>
      <c r="H94" s="11" t="s">
        <v>1145</v>
      </c>
      <c r="I94" s="11" t="s">
        <v>1144</v>
      </c>
      <c r="J94" s="11" t="s">
        <v>1145</v>
      </c>
      <c r="K94" s="11" t="s">
        <v>766</v>
      </c>
      <c r="L94" s="11" t="n">
        <v>1</v>
      </c>
      <c r="O94" s="11" t="s">
        <v>27</v>
      </c>
    </row>
    <row r="95" customFormat="false" ht="15" hidden="false" customHeight="false" outlineLevel="0" collapsed="false">
      <c r="A95" s="2" t="s">
        <v>3712</v>
      </c>
      <c r="B95" s="11" t="s">
        <v>2340</v>
      </c>
      <c r="C95" s="11" t="s">
        <v>1605</v>
      </c>
      <c r="D95" s="11" t="s">
        <v>781</v>
      </c>
      <c r="E95" s="11" t="s">
        <v>750</v>
      </c>
      <c r="G95" s="11" t="s">
        <v>1144</v>
      </c>
      <c r="H95" s="11" t="s">
        <v>1145</v>
      </c>
      <c r="I95" s="11" t="s">
        <v>1144</v>
      </c>
      <c r="J95" s="11" t="s">
        <v>1145</v>
      </c>
      <c r="K95" s="11" t="s">
        <v>766</v>
      </c>
      <c r="L95" s="11" t="n">
        <v>1</v>
      </c>
      <c r="O95" s="11" t="s">
        <v>27</v>
      </c>
    </row>
    <row r="96" customFormat="false" ht="15" hidden="false" customHeight="false" outlineLevel="0" collapsed="false">
      <c r="A96" s="2" t="s">
        <v>3713</v>
      </c>
      <c r="B96" s="11" t="s">
        <v>2340</v>
      </c>
      <c r="C96" s="11" t="s">
        <v>1612</v>
      </c>
      <c r="D96" s="11" t="s">
        <v>781</v>
      </c>
      <c r="E96" s="11" t="s">
        <v>776</v>
      </c>
      <c r="G96" s="11" t="s">
        <v>1144</v>
      </c>
      <c r="H96" s="11" t="s">
        <v>1145</v>
      </c>
      <c r="I96" s="11" t="s">
        <v>1144</v>
      </c>
      <c r="J96" s="11" t="s">
        <v>1145</v>
      </c>
      <c r="K96" s="11" t="s">
        <v>766</v>
      </c>
      <c r="L96" s="11" t="n">
        <v>1</v>
      </c>
      <c r="O96" s="11" t="s">
        <v>27</v>
      </c>
    </row>
    <row r="97" customFormat="false" ht="15" hidden="false" customHeight="false" outlineLevel="0" collapsed="false">
      <c r="A97" s="2" t="s">
        <v>3714</v>
      </c>
      <c r="B97" s="11" t="s">
        <v>2345</v>
      </c>
      <c r="C97" s="11" t="s">
        <v>1656</v>
      </c>
      <c r="D97" s="11" t="s">
        <v>828</v>
      </c>
      <c r="E97" s="11" t="s">
        <v>750</v>
      </c>
      <c r="G97" s="11" t="s">
        <v>1144</v>
      </c>
      <c r="H97" s="11" t="s">
        <v>1145</v>
      </c>
      <c r="I97" s="11" t="s">
        <v>1144</v>
      </c>
      <c r="J97" s="11" t="s">
        <v>1145</v>
      </c>
      <c r="K97" s="11" t="s">
        <v>766</v>
      </c>
      <c r="L97" s="11" t="n">
        <v>1</v>
      </c>
      <c r="O97" s="11" t="s">
        <v>27</v>
      </c>
    </row>
    <row r="98" customFormat="false" ht="15" hidden="false" customHeight="false" outlineLevel="0" collapsed="false">
      <c r="A98" s="2" t="s">
        <v>3715</v>
      </c>
      <c r="B98" s="11" t="s">
        <v>2345</v>
      </c>
      <c r="C98" s="11" t="s">
        <v>1622</v>
      </c>
      <c r="D98" s="11" t="s">
        <v>828</v>
      </c>
      <c r="E98" s="11" t="s">
        <v>776</v>
      </c>
      <c r="G98" s="11" t="s">
        <v>1144</v>
      </c>
      <c r="H98" s="11" t="s">
        <v>1145</v>
      </c>
      <c r="I98" s="11" t="s">
        <v>1144</v>
      </c>
      <c r="J98" s="11" t="s">
        <v>1145</v>
      </c>
      <c r="K98" s="11" t="s">
        <v>766</v>
      </c>
      <c r="L98" s="11" t="n">
        <v>1</v>
      </c>
      <c r="O98" s="11" t="s">
        <v>27</v>
      </c>
    </row>
    <row r="99" customFormat="false" ht="15" hidden="false" customHeight="false" outlineLevel="0" collapsed="false">
      <c r="A99" s="2" t="s">
        <v>3716</v>
      </c>
      <c r="B99" s="11" t="s">
        <v>2352</v>
      </c>
      <c r="C99" s="11" t="s">
        <v>1656</v>
      </c>
      <c r="D99" s="11" t="s">
        <v>828</v>
      </c>
      <c r="E99" s="11" t="s">
        <v>750</v>
      </c>
      <c r="G99" s="11" t="s">
        <v>1144</v>
      </c>
      <c r="H99" s="11" t="s">
        <v>1145</v>
      </c>
      <c r="I99" s="11" t="s">
        <v>1144</v>
      </c>
      <c r="J99" s="11" t="s">
        <v>1145</v>
      </c>
      <c r="K99" s="11" t="s">
        <v>766</v>
      </c>
      <c r="L99" s="11" t="n">
        <v>1</v>
      </c>
      <c r="O99" s="11" t="s">
        <v>27</v>
      </c>
    </row>
    <row r="100" customFormat="false" ht="15" hidden="false" customHeight="false" outlineLevel="0" collapsed="false">
      <c r="A100" s="2" t="s">
        <v>3717</v>
      </c>
      <c r="B100" s="11" t="s">
        <v>2352</v>
      </c>
      <c r="C100" s="11" t="s">
        <v>1622</v>
      </c>
      <c r="D100" s="11" t="s">
        <v>828</v>
      </c>
      <c r="E100" s="11" t="s">
        <v>776</v>
      </c>
      <c r="G100" s="11" t="s">
        <v>1144</v>
      </c>
      <c r="H100" s="11" t="s">
        <v>1145</v>
      </c>
      <c r="I100" s="11" t="s">
        <v>1144</v>
      </c>
      <c r="J100" s="11" t="s">
        <v>1145</v>
      </c>
      <c r="K100" s="11" t="s">
        <v>766</v>
      </c>
      <c r="L100" s="11" t="n">
        <v>1</v>
      </c>
      <c r="O100" s="11" t="s">
        <v>27</v>
      </c>
    </row>
    <row r="101" customFormat="false" ht="15" hidden="false" customHeight="false" outlineLevel="0" collapsed="false">
      <c r="A101" s="2" t="s">
        <v>3718</v>
      </c>
      <c r="B101" s="11" t="s">
        <v>2359</v>
      </c>
      <c r="C101" s="11" t="s">
        <v>1656</v>
      </c>
      <c r="D101" s="11" t="s">
        <v>828</v>
      </c>
      <c r="E101" s="11" t="s">
        <v>750</v>
      </c>
      <c r="G101" s="11" t="s">
        <v>1144</v>
      </c>
      <c r="H101" s="11" t="s">
        <v>1145</v>
      </c>
      <c r="I101" s="11" t="s">
        <v>1144</v>
      </c>
      <c r="J101" s="11" t="s">
        <v>1145</v>
      </c>
      <c r="K101" s="11" t="s">
        <v>766</v>
      </c>
      <c r="L101" s="11" t="n">
        <v>1</v>
      </c>
      <c r="O101" s="11" t="s">
        <v>27</v>
      </c>
    </row>
    <row r="102" customFormat="false" ht="15" hidden="false" customHeight="false" outlineLevel="0" collapsed="false">
      <c r="A102" s="2" t="s">
        <v>3719</v>
      </c>
      <c r="B102" s="11" t="s">
        <v>2359</v>
      </c>
      <c r="C102" s="11" t="s">
        <v>1622</v>
      </c>
      <c r="D102" s="11" t="s">
        <v>828</v>
      </c>
      <c r="E102" s="11" t="s">
        <v>776</v>
      </c>
      <c r="G102" s="11" t="s">
        <v>1144</v>
      </c>
      <c r="H102" s="11" t="s">
        <v>1145</v>
      </c>
      <c r="I102" s="11" t="s">
        <v>1144</v>
      </c>
      <c r="J102" s="11" t="s">
        <v>1145</v>
      </c>
      <c r="K102" s="11" t="s">
        <v>766</v>
      </c>
      <c r="L102" s="11" t="n">
        <v>1</v>
      </c>
      <c r="O102" s="11" t="s">
        <v>27</v>
      </c>
    </row>
    <row r="103" customFormat="false" ht="15" hidden="false" customHeight="false" outlineLevel="0" collapsed="false">
      <c r="A103" s="2" t="s">
        <v>3720</v>
      </c>
      <c r="B103" s="11" t="s">
        <v>2366</v>
      </c>
      <c r="C103" s="11" t="s">
        <v>1656</v>
      </c>
      <c r="D103" s="11" t="s">
        <v>828</v>
      </c>
      <c r="E103" s="11" t="s">
        <v>750</v>
      </c>
      <c r="G103" s="11" t="s">
        <v>1144</v>
      </c>
      <c r="H103" s="11" t="s">
        <v>1145</v>
      </c>
      <c r="I103" s="11" t="s">
        <v>1144</v>
      </c>
      <c r="J103" s="11" t="s">
        <v>1145</v>
      </c>
      <c r="K103" s="11" t="s">
        <v>766</v>
      </c>
      <c r="L103" s="11" t="n">
        <v>1</v>
      </c>
      <c r="O103" s="11" t="s">
        <v>27</v>
      </c>
    </row>
    <row r="104" customFormat="false" ht="15" hidden="false" customHeight="false" outlineLevel="0" collapsed="false">
      <c r="A104" s="2" t="s">
        <v>3721</v>
      </c>
      <c r="B104" s="11" t="s">
        <v>2366</v>
      </c>
      <c r="C104" s="11" t="s">
        <v>1643</v>
      </c>
      <c r="D104" s="11" t="s">
        <v>828</v>
      </c>
      <c r="E104" s="11" t="s">
        <v>776</v>
      </c>
      <c r="G104" s="11" t="s">
        <v>1144</v>
      </c>
      <c r="H104" s="11" t="s">
        <v>1145</v>
      </c>
      <c r="I104" s="11" t="s">
        <v>1144</v>
      </c>
      <c r="J104" s="11" t="s">
        <v>1145</v>
      </c>
      <c r="K104" s="11" t="s">
        <v>766</v>
      </c>
      <c r="L104" s="11" t="n">
        <v>1</v>
      </c>
      <c r="O104" s="11" t="s">
        <v>27</v>
      </c>
    </row>
    <row r="105" customFormat="false" ht="15" hidden="false" customHeight="false" outlineLevel="0" collapsed="false">
      <c r="A105" s="2" t="s">
        <v>3722</v>
      </c>
      <c r="B105" s="11" t="s">
        <v>2373</v>
      </c>
      <c r="C105" s="11" t="s">
        <v>1612</v>
      </c>
      <c r="D105" s="11" t="s">
        <v>781</v>
      </c>
      <c r="E105" s="11" t="s">
        <v>750</v>
      </c>
      <c r="G105" s="11" t="s">
        <v>1144</v>
      </c>
      <c r="H105" s="11" t="s">
        <v>1145</v>
      </c>
      <c r="I105" s="11" t="s">
        <v>1144</v>
      </c>
      <c r="J105" s="11" t="s">
        <v>1145</v>
      </c>
      <c r="K105" s="11" t="s">
        <v>766</v>
      </c>
      <c r="L105" s="11" t="n">
        <v>1</v>
      </c>
      <c r="O105" s="11" t="s">
        <v>27</v>
      </c>
    </row>
    <row r="106" customFormat="false" ht="15" hidden="false" customHeight="false" outlineLevel="0" collapsed="false">
      <c r="A106" s="2" t="s">
        <v>3723</v>
      </c>
      <c r="B106" s="11" t="s">
        <v>2380</v>
      </c>
      <c r="C106" s="11" t="s">
        <v>1628</v>
      </c>
      <c r="D106" s="11" t="s">
        <v>781</v>
      </c>
      <c r="E106" s="11" t="s">
        <v>750</v>
      </c>
      <c r="G106" s="11" t="s">
        <v>1144</v>
      </c>
      <c r="H106" s="11" t="s">
        <v>1145</v>
      </c>
      <c r="I106" s="11" t="s">
        <v>1144</v>
      </c>
      <c r="J106" s="11" t="s">
        <v>1145</v>
      </c>
      <c r="K106" s="11" t="s">
        <v>766</v>
      </c>
      <c r="L106" s="11" t="n">
        <v>1</v>
      </c>
      <c r="O106" s="11" t="s">
        <v>27</v>
      </c>
    </row>
    <row r="107" customFormat="false" ht="15" hidden="false" customHeight="false" outlineLevel="0" collapsed="false">
      <c r="A107" s="2" t="s">
        <v>3724</v>
      </c>
      <c r="B107" s="11" t="s">
        <v>2380</v>
      </c>
      <c r="C107" s="11" t="s">
        <v>1622</v>
      </c>
      <c r="D107" s="11" t="s">
        <v>781</v>
      </c>
      <c r="E107" s="11" t="s">
        <v>776</v>
      </c>
      <c r="G107" s="11" t="s">
        <v>1144</v>
      </c>
      <c r="H107" s="11" t="s">
        <v>1145</v>
      </c>
      <c r="I107" s="11" t="s">
        <v>1144</v>
      </c>
      <c r="J107" s="11" t="s">
        <v>1145</v>
      </c>
      <c r="K107" s="11" t="s">
        <v>766</v>
      </c>
      <c r="L107" s="11" t="n">
        <v>1</v>
      </c>
      <c r="O107" s="11" t="s">
        <v>27</v>
      </c>
    </row>
    <row r="108" customFormat="false" ht="15" hidden="false" customHeight="false" outlineLevel="0" collapsed="false">
      <c r="A108" s="2" t="s">
        <v>3725</v>
      </c>
      <c r="B108" s="11" t="s">
        <v>2387</v>
      </c>
      <c r="C108" s="11" t="s">
        <v>1656</v>
      </c>
      <c r="D108" s="11" t="s">
        <v>828</v>
      </c>
      <c r="E108" s="11" t="s">
        <v>750</v>
      </c>
      <c r="G108" s="11" t="s">
        <v>1144</v>
      </c>
      <c r="H108" s="11" t="s">
        <v>1145</v>
      </c>
      <c r="I108" s="11" t="s">
        <v>1144</v>
      </c>
      <c r="J108" s="11" t="s">
        <v>1145</v>
      </c>
      <c r="K108" s="11" t="s">
        <v>766</v>
      </c>
      <c r="L108" s="11" t="n">
        <v>1</v>
      </c>
      <c r="O108" s="11" t="s">
        <v>27</v>
      </c>
    </row>
    <row r="109" customFormat="false" ht="15" hidden="false" customHeight="false" outlineLevel="0" collapsed="false">
      <c r="A109" s="2" t="s">
        <v>3726</v>
      </c>
      <c r="B109" s="11" t="s">
        <v>2387</v>
      </c>
      <c r="C109" s="11" t="s">
        <v>1622</v>
      </c>
      <c r="D109" s="11" t="s">
        <v>828</v>
      </c>
      <c r="E109" s="11" t="s">
        <v>776</v>
      </c>
      <c r="G109" s="11" t="s">
        <v>1144</v>
      </c>
      <c r="H109" s="11" t="s">
        <v>1145</v>
      </c>
      <c r="I109" s="11" t="s">
        <v>1144</v>
      </c>
      <c r="J109" s="11" t="s">
        <v>1145</v>
      </c>
      <c r="K109" s="11" t="s">
        <v>766</v>
      </c>
      <c r="L109" s="11" t="n">
        <v>1</v>
      </c>
      <c r="O109" s="11" t="s">
        <v>27</v>
      </c>
    </row>
    <row r="110" customFormat="false" ht="15" hidden="false" customHeight="false" outlineLevel="0" collapsed="false">
      <c r="A110" s="2" t="s">
        <v>3727</v>
      </c>
      <c r="B110" s="11" t="s">
        <v>2394</v>
      </c>
      <c r="C110" s="11" t="s">
        <v>1656</v>
      </c>
      <c r="D110" s="11" t="s">
        <v>828</v>
      </c>
      <c r="E110" s="11" t="s">
        <v>750</v>
      </c>
      <c r="G110" s="11" t="s">
        <v>1144</v>
      </c>
      <c r="H110" s="11" t="s">
        <v>1145</v>
      </c>
      <c r="I110" s="11" t="s">
        <v>1144</v>
      </c>
      <c r="J110" s="11" t="s">
        <v>1145</v>
      </c>
      <c r="K110" s="11" t="s">
        <v>766</v>
      </c>
      <c r="L110" s="11" t="n">
        <v>1</v>
      </c>
      <c r="O110" s="11" t="s">
        <v>27</v>
      </c>
    </row>
    <row r="111" customFormat="false" ht="15" hidden="false" customHeight="false" outlineLevel="0" collapsed="false">
      <c r="A111" s="2" t="s">
        <v>3728</v>
      </c>
      <c r="B111" s="11" t="s">
        <v>2394</v>
      </c>
      <c r="C111" s="11" t="s">
        <v>1643</v>
      </c>
      <c r="D111" s="11" t="s">
        <v>828</v>
      </c>
      <c r="E111" s="11" t="s">
        <v>776</v>
      </c>
      <c r="G111" s="11" t="s">
        <v>1144</v>
      </c>
      <c r="H111" s="11" t="s">
        <v>1145</v>
      </c>
      <c r="I111" s="11" t="s">
        <v>1144</v>
      </c>
      <c r="J111" s="11" t="s">
        <v>1145</v>
      </c>
      <c r="K111" s="11" t="s">
        <v>766</v>
      </c>
      <c r="L111" s="11" t="n">
        <v>1</v>
      </c>
      <c r="O111" s="11" t="s">
        <v>27</v>
      </c>
    </row>
    <row r="112" customFormat="false" ht="15" hidden="false" customHeight="false" outlineLevel="0" collapsed="false">
      <c r="A112" s="2" t="s">
        <v>3729</v>
      </c>
      <c r="B112" s="11" t="s">
        <v>2394</v>
      </c>
      <c r="C112" s="11" t="s">
        <v>1651</v>
      </c>
      <c r="D112" s="11" t="s">
        <v>828</v>
      </c>
      <c r="E112" s="11" t="s">
        <v>776</v>
      </c>
      <c r="G112" s="11" t="s">
        <v>1144</v>
      </c>
      <c r="H112" s="11" t="s">
        <v>1145</v>
      </c>
      <c r="I112" s="11" t="s">
        <v>1144</v>
      </c>
      <c r="J112" s="11" t="s">
        <v>1145</v>
      </c>
      <c r="K112" s="11" t="s">
        <v>766</v>
      </c>
      <c r="L112" s="11" t="n">
        <v>1</v>
      </c>
      <c r="O112" s="11" t="s">
        <v>27</v>
      </c>
    </row>
    <row r="113" customFormat="false" ht="15" hidden="false" customHeight="false" outlineLevel="0" collapsed="false">
      <c r="A113" s="2" t="s">
        <v>3730</v>
      </c>
      <c r="B113" s="11" t="s">
        <v>2401</v>
      </c>
      <c r="C113" s="11" t="s">
        <v>1617</v>
      </c>
      <c r="D113" s="11" t="s">
        <v>828</v>
      </c>
      <c r="E113" s="11" t="s">
        <v>750</v>
      </c>
      <c r="G113" s="11" t="s">
        <v>1144</v>
      </c>
      <c r="H113" s="11" t="s">
        <v>1145</v>
      </c>
      <c r="I113" s="11" t="s">
        <v>1144</v>
      </c>
      <c r="J113" s="11" t="s">
        <v>1145</v>
      </c>
      <c r="K113" s="11" t="s">
        <v>766</v>
      </c>
      <c r="L113" s="11" t="n">
        <v>1</v>
      </c>
      <c r="O113" s="11" t="s">
        <v>27</v>
      </c>
    </row>
    <row r="114" customFormat="false" ht="15" hidden="false" customHeight="false" outlineLevel="0" collapsed="false">
      <c r="A114" s="2" t="s">
        <v>3731</v>
      </c>
      <c r="B114" s="11" t="s">
        <v>2401</v>
      </c>
      <c r="C114" s="11" t="s">
        <v>1622</v>
      </c>
      <c r="D114" s="11" t="s">
        <v>828</v>
      </c>
      <c r="E114" s="11" t="s">
        <v>776</v>
      </c>
      <c r="G114" s="11" t="s">
        <v>1144</v>
      </c>
      <c r="H114" s="11" t="s">
        <v>1145</v>
      </c>
      <c r="I114" s="11" t="s">
        <v>1144</v>
      </c>
      <c r="J114" s="11" t="s">
        <v>1145</v>
      </c>
      <c r="K114" s="11" t="s">
        <v>766</v>
      </c>
      <c r="L114" s="11" t="n">
        <v>1</v>
      </c>
      <c r="O114" s="11" t="s">
        <v>27</v>
      </c>
    </row>
    <row r="115" customFormat="false" ht="15" hidden="false" customHeight="false" outlineLevel="0" collapsed="false">
      <c r="A115" s="2" t="s">
        <v>3732</v>
      </c>
      <c r="B115" s="11" t="s">
        <v>2401</v>
      </c>
      <c r="C115" s="11" t="s">
        <v>1651</v>
      </c>
      <c r="D115" s="11" t="s">
        <v>828</v>
      </c>
      <c r="E115" s="11" t="s">
        <v>776</v>
      </c>
      <c r="G115" s="11" t="s">
        <v>1144</v>
      </c>
      <c r="H115" s="11" t="s">
        <v>1145</v>
      </c>
      <c r="I115" s="11" t="s">
        <v>1144</v>
      </c>
      <c r="J115" s="11" t="s">
        <v>1145</v>
      </c>
      <c r="K115" s="11" t="s">
        <v>766</v>
      </c>
      <c r="L115" s="11" t="n">
        <v>1</v>
      </c>
      <c r="O115" s="11" t="s">
        <v>27</v>
      </c>
    </row>
    <row r="116" customFormat="false" ht="15" hidden="false" customHeight="false" outlineLevel="0" collapsed="false">
      <c r="A116" s="2" t="s">
        <v>3733</v>
      </c>
      <c r="B116" s="11" t="s">
        <v>2408</v>
      </c>
      <c r="C116" s="11" t="s">
        <v>1617</v>
      </c>
      <c r="D116" s="11" t="s">
        <v>828</v>
      </c>
      <c r="E116" s="11" t="s">
        <v>750</v>
      </c>
      <c r="G116" s="11" t="s">
        <v>1144</v>
      </c>
      <c r="H116" s="11" t="s">
        <v>1145</v>
      </c>
      <c r="I116" s="11" t="s">
        <v>1144</v>
      </c>
      <c r="J116" s="11" t="s">
        <v>1145</v>
      </c>
      <c r="K116" s="11" t="s">
        <v>766</v>
      </c>
      <c r="L116" s="11" t="n">
        <v>1</v>
      </c>
      <c r="O116" s="11" t="s">
        <v>27</v>
      </c>
    </row>
    <row r="117" customFormat="false" ht="15" hidden="false" customHeight="false" outlineLevel="0" collapsed="false">
      <c r="A117" s="2" t="s">
        <v>3734</v>
      </c>
      <c r="B117" s="11" t="s">
        <v>2408</v>
      </c>
      <c r="C117" s="11" t="s">
        <v>1622</v>
      </c>
      <c r="D117" s="11" t="s">
        <v>828</v>
      </c>
      <c r="E117" s="11" t="s">
        <v>776</v>
      </c>
      <c r="G117" s="11" t="s">
        <v>1144</v>
      </c>
      <c r="H117" s="11" t="s">
        <v>1145</v>
      </c>
      <c r="I117" s="11" t="s">
        <v>1144</v>
      </c>
      <c r="J117" s="11" t="s">
        <v>1145</v>
      </c>
      <c r="K117" s="11" t="s">
        <v>766</v>
      </c>
      <c r="L117" s="11" t="n">
        <v>1</v>
      </c>
      <c r="O117" s="11" t="s">
        <v>27</v>
      </c>
    </row>
    <row r="118" customFormat="false" ht="15" hidden="false" customHeight="false" outlineLevel="0" collapsed="false">
      <c r="A118" s="2" t="s">
        <v>3735</v>
      </c>
      <c r="B118" s="11" t="s">
        <v>2415</v>
      </c>
      <c r="C118" s="11" t="s">
        <v>1605</v>
      </c>
      <c r="D118" s="11" t="s">
        <v>828</v>
      </c>
      <c r="E118" s="11" t="s">
        <v>750</v>
      </c>
      <c r="G118" s="11" t="s">
        <v>1144</v>
      </c>
      <c r="H118" s="11" t="s">
        <v>1145</v>
      </c>
      <c r="I118" s="11" t="s">
        <v>1144</v>
      </c>
      <c r="J118" s="11" t="s">
        <v>1145</v>
      </c>
      <c r="K118" s="11" t="s">
        <v>766</v>
      </c>
      <c r="L118" s="11" t="n">
        <v>1</v>
      </c>
      <c r="O118" s="11" t="s">
        <v>27</v>
      </c>
    </row>
    <row r="119" customFormat="false" ht="15" hidden="false" customHeight="false" outlineLevel="0" collapsed="false">
      <c r="A119" s="2" t="s">
        <v>3736</v>
      </c>
      <c r="B119" s="11" t="s">
        <v>2415</v>
      </c>
      <c r="C119" s="11" t="s">
        <v>1648</v>
      </c>
      <c r="D119" s="11" t="s">
        <v>828</v>
      </c>
      <c r="E119" s="11" t="s">
        <v>776</v>
      </c>
      <c r="G119" s="11" t="s">
        <v>1144</v>
      </c>
      <c r="H119" s="11" t="s">
        <v>1145</v>
      </c>
      <c r="I119" s="11" t="s">
        <v>1144</v>
      </c>
      <c r="J119" s="11" t="s">
        <v>1145</v>
      </c>
      <c r="K119" s="11" t="s">
        <v>766</v>
      </c>
      <c r="L119" s="11" t="n">
        <v>1</v>
      </c>
      <c r="O119" s="11" t="s">
        <v>27</v>
      </c>
    </row>
    <row r="120" customFormat="false" ht="15" hidden="false" customHeight="false" outlineLevel="0" collapsed="false">
      <c r="A120" s="2" t="s">
        <v>3737</v>
      </c>
      <c r="B120" s="11" t="s">
        <v>2422</v>
      </c>
      <c r="C120" s="11" t="s">
        <v>1628</v>
      </c>
      <c r="D120" s="11" t="s">
        <v>781</v>
      </c>
      <c r="E120" s="11" t="s">
        <v>750</v>
      </c>
      <c r="G120" s="11" t="s">
        <v>1144</v>
      </c>
      <c r="H120" s="11" t="s">
        <v>1145</v>
      </c>
      <c r="I120" s="11" t="s">
        <v>1144</v>
      </c>
      <c r="J120" s="11" t="s">
        <v>1145</v>
      </c>
      <c r="K120" s="11" t="s">
        <v>766</v>
      </c>
      <c r="L120" s="11" t="n">
        <v>1</v>
      </c>
      <c r="O120" s="11" t="s">
        <v>27</v>
      </c>
    </row>
    <row r="121" customFormat="false" ht="15" hidden="false" customHeight="false" outlineLevel="0" collapsed="false">
      <c r="A121" s="2" t="s">
        <v>3738</v>
      </c>
      <c r="B121" s="11" t="s">
        <v>2422</v>
      </c>
      <c r="C121" s="11" t="s">
        <v>1648</v>
      </c>
      <c r="D121" s="11" t="s">
        <v>781</v>
      </c>
      <c r="E121" s="11" t="s">
        <v>776</v>
      </c>
      <c r="G121" s="11" t="s">
        <v>1144</v>
      </c>
      <c r="H121" s="11" t="s">
        <v>1145</v>
      </c>
      <c r="I121" s="11" t="s">
        <v>1144</v>
      </c>
      <c r="J121" s="11" t="s">
        <v>1145</v>
      </c>
      <c r="K121" s="11" t="s">
        <v>766</v>
      </c>
      <c r="L121" s="11" t="n">
        <v>1</v>
      </c>
      <c r="O121" s="11" t="s">
        <v>27</v>
      </c>
    </row>
    <row r="122" customFormat="false" ht="15" hidden="false" customHeight="false" outlineLevel="0" collapsed="false">
      <c r="A122" s="2" t="s">
        <v>3739</v>
      </c>
      <c r="B122" s="11" t="s">
        <v>2429</v>
      </c>
      <c r="C122" s="11" t="s">
        <v>1628</v>
      </c>
      <c r="D122" s="11" t="s">
        <v>781</v>
      </c>
      <c r="E122" s="11" t="s">
        <v>750</v>
      </c>
      <c r="G122" s="11" t="s">
        <v>1144</v>
      </c>
      <c r="H122" s="11" t="s">
        <v>1145</v>
      </c>
      <c r="I122" s="11" t="s">
        <v>1144</v>
      </c>
      <c r="J122" s="11" t="s">
        <v>1145</v>
      </c>
      <c r="K122" s="11" t="s">
        <v>766</v>
      </c>
      <c r="L122" s="11" t="n">
        <v>1</v>
      </c>
      <c r="O122" s="11" t="s">
        <v>27</v>
      </c>
    </row>
    <row r="123" customFormat="false" ht="15" hidden="false" customHeight="false" outlineLevel="0" collapsed="false">
      <c r="A123" s="2" t="s">
        <v>3740</v>
      </c>
      <c r="B123" s="11" t="s">
        <v>2429</v>
      </c>
      <c r="C123" s="11" t="s">
        <v>1648</v>
      </c>
      <c r="D123" s="11" t="s">
        <v>781</v>
      </c>
      <c r="E123" s="11" t="s">
        <v>776</v>
      </c>
      <c r="G123" s="11" t="s">
        <v>1144</v>
      </c>
      <c r="H123" s="11" t="s">
        <v>1145</v>
      </c>
      <c r="I123" s="11" t="s">
        <v>1144</v>
      </c>
      <c r="J123" s="11" t="s">
        <v>1145</v>
      </c>
      <c r="K123" s="11" t="s">
        <v>766</v>
      </c>
      <c r="L123" s="11" t="n">
        <v>1</v>
      </c>
      <c r="O123" s="11" t="s">
        <v>27</v>
      </c>
    </row>
    <row r="124" customFormat="false" ht="15" hidden="false" customHeight="false" outlineLevel="0" collapsed="false">
      <c r="A124" s="2" t="s">
        <v>3741</v>
      </c>
      <c r="B124" s="11" t="s">
        <v>2436</v>
      </c>
      <c r="C124" s="11" t="s">
        <v>1628</v>
      </c>
      <c r="D124" s="11" t="s">
        <v>781</v>
      </c>
      <c r="E124" s="11" t="s">
        <v>750</v>
      </c>
      <c r="G124" s="11" t="s">
        <v>1144</v>
      </c>
      <c r="H124" s="11" t="s">
        <v>1145</v>
      </c>
      <c r="I124" s="11" t="s">
        <v>1144</v>
      </c>
      <c r="J124" s="11" t="s">
        <v>1145</v>
      </c>
      <c r="K124" s="11" t="s">
        <v>766</v>
      </c>
      <c r="L124" s="11" t="n">
        <v>1</v>
      </c>
      <c r="O124" s="11" t="s">
        <v>27</v>
      </c>
    </row>
    <row r="125" customFormat="false" ht="15" hidden="false" customHeight="false" outlineLevel="0" collapsed="false">
      <c r="A125" s="2" t="s">
        <v>3742</v>
      </c>
      <c r="B125" s="11" t="s">
        <v>2436</v>
      </c>
      <c r="C125" s="11" t="s">
        <v>1648</v>
      </c>
      <c r="D125" s="11" t="s">
        <v>781</v>
      </c>
      <c r="E125" s="11" t="s">
        <v>776</v>
      </c>
      <c r="G125" s="11" t="s">
        <v>1144</v>
      </c>
      <c r="H125" s="11" t="s">
        <v>1145</v>
      </c>
      <c r="I125" s="11" t="s">
        <v>1144</v>
      </c>
      <c r="J125" s="11" t="s">
        <v>1145</v>
      </c>
      <c r="K125" s="11" t="s">
        <v>766</v>
      </c>
      <c r="L125" s="11" t="n">
        <v>1</v>
      </c>
      <c r="O125" s="11" t="s">
        <v>27</v>
      </c>
    </row>
    <row r="126" customFormat="false" ht="15" hidden="false" customHeight="false" outlineLevel="0" collapsed="false">
      <c r="A126" s="2" t="s">
        <v>3743</v>
      </c>
      <c r="B126" s="11" t="s">
        <v>2443</v>
      </c>
      <c r="C126" s="11" t="s">
        <v>1617</v>
      </c>
      <c r="D126" s="11" t="s">
        <v>828</v>
      </c>
      <c r="E126" s="11" t="s">
        <v>750</v>
      </c>
      <c r="G126" s="11" t="s">
        <v>1144</v>
      </c>
      <c r="H126" s="11" t="s">
        <v>1145</v>
      </c>
      <c r="I126" s="11" t="s">
        <v>1144</v>
      </c>
      <c r="J126" s="11" t="s">
        <v>1145</v>
      </c>
      <c r="K126" s="11" t="s">
        <v>766</v>
      </c>
      <c r="L126" s="11" t="n">
        <v>1</v>
      </c>
      <c r="O126" s="11" t="s">
        <v>27</v>
      </c>
    </row>
    <row r="127" customFormat="false" ht="15" hidden="false" customHeight="false" outlineLevel="0" collapsed="false">
      <c r="A127" s="2" t="s">
        <v>3744</v>
      </c>
      <c r="B127" s="11" t="s">
        <v>2443</v>
      </c>
      <c r="C127" s="11" t="s">
        <v>1622</v>
      </c>
      <c r="D127" s="11" t="s">
        <v>828</v>
      </c>
      <c r="E127" s="11" t="s">
        <v>776</v>
      </c>
      <c r="G127" s="11" t="s">
        <v>1144</v>
      </c>
      <c r="H127" s="11" t="s">
        <v>1145</v>
      </c>
      <c r="I127" s="11" t="s">
        <v>1144</v>
      </c>
      <c r="J127" s="11" t="s">
        <v>1145</v>
      </c>
      <c r="K127" s="11" t="s">
        <v>766</v>
      </c>
      <c r="L127" s="11" t="n">
        <v>1</v>
      </c>
      <c r="O127" s="11" t="s">
        <v>27</v>
      </c>
    </row>
    <row r="128" customFormat="false" ht="15" hidden="false" customHeight="false" outlineLevel="0" collapsed="false">
      <c r="A128" s="2" t="s">
        <v>3745</v>
      </c>
      <c r="B128" s="11" t="s">
        <v>2450</v>
      </c>
      <c r="C128" s="11" t="s">
        <v>1638</v>
      </c>
      <c r="D128" s="11" t="s">
        <v>781</v>
      </c>
      <c r="E128" s="11" t="s">
        <v>750</v>
      </c>
      <c r="G128" s="11" t="s">
        <v>1144</v>
      </c>
      <c r="H128" s="11" t="s">
        <v>1145</v>
      </c>
      <c r="I128" s="11" t="s">
        <v>1144</v>
      </c>
      <c r="J128" s="11" t="s">
        <v>1145</v>
      </c>
      <c r="K128" s="11" t="s">
        <v>766</v>
      </c>
      <c r="L128" s="11" t="n">
        <v>1</v>
      </c>
      <c r="O128" s="11" t="s">
        <v>27</v>
      </c>
    </row>
    <row r="129" customFormat="false" ht="15" hidden="false" customHeight="false" outlineLevel="0" collapsed="false">
      <c r="A129" s="2" t="s">
        <v>3746</v>
      </c>
      <c r="B129" s="11" t="s">
        <v>2456</v>
      </c>
      <c r="C129" s="11" t="s">
        <v>1617</v>
      </c>
      <c r="D129" s="11" t="s">
        <v>828</v>
      </c>
      <c r="E129" s="11" t="s">
        <v>750</v>
      </c>
      <c r="G129" s="11" t="s">
        <v>1144</v>
      </c>
      <c r="H129" s="11" t="s">
        <v>1145</v>
      </c>
      <c r="I129" s="11" t="s">
        <v>1144</v>
      </c>
      <c r="J129" s="11" t="s">
        <v>1145</v>
      </c>
      <c r="K129" s="11" t="s">
        <v>766</v>
      </c>
      <c r="L129" s="11" t="n">
        <v>1</v>
      </c>
      <c r="O129" s="11" t="s">
        <v>27</v>
      </c>
    </row>
    <row r="130" customFormat="false" ht="15" hidden="false" customHeight="false" outlineLevel="0" collapsed="false">
      <c r="A130" s="2" t="s">
        <v>3747</v>
      </c>
      <c r="B130" s="11" t="s">
        <v>2456</v>
      </c>
      <c r="C130" s="11" t="s">
        <v>1622</v>
      </c>
      <c r="D130" s="11" t="s">
        <v>828</v>
      </c>
      <c r="E130" s="11" t="s">
        <v>776</v>
      </c>
      <c r="G130" s="11" t="s">
        <v>1144</v>
      </c>
      <c r="H130" s="11" t="s">
        <v>1145</v>
      </c>
      <c r="I130" s="11" t="s">
        <v>1144</v>
      </c>
      <c r="J130" s="11" t="s">
        <v>1145</v>
      </c>
      <c r="K130" s="11" t="s">
        <v>766</v>
      </c>
      <c r="L130" s="11" t="n">
        <v>1</v>
      </c>
      <c r="O130" s="11" t="s">
        <v>27</v>
      </c>
    </row>
    <row r="131" customFormat="false" ht="15" hidden="false" customHeight="false" outlineLevel="0" collapsed="false">
      <c r="A131" s="2" t="s">
        <v>3748</v>
      </c>
      <c r="B131" s="11" t="s">
        <v>2462</v>
      </c>
      <c r="C131" s="11" t="s">
        <v>1656</v>
      </c>
      <c r="D131" s="11" t="s">
        <v>828</v>
      </c>
      <c r="E131" s="11" t="s">
        <v>750</v>
      </c>
      <c r="G131" s="11" t="s">
        <v>1144</v>
      </c>
      <c r="H131" s="11" t="s">
        <v>1145</v>
      </c>
      <c r="I131" s="11" t="s">
        <v>1144</v>
      </c>
      <c r="J131" s="11" t="s">
        <v>1145</v>
      </c>
      <c r="K131" s="11" t="s">
        <v>766</v>
      </c>
      <c r="L131" s="11" t="n">
        <v>1</v>
      </c>
      <c r="O131" s="11" t="s">
        <v>27</v>
      </c>
    </row>
    <row r="132" customFormat="false" ht="15" hidden="false" customHeight="false" outlineLevel="0" collapsed="false">
      <c r="A132" s="2" t="s">
        <v>3749</v>
      </c>
      <c r="B132" s="11" t="s">
        <v>2462</v>
      </c>
      <c r="C132" s="11" t="s">
        <v>1622</v>
      </c>
      <c r="D132" s="11" t="s">
        <v>828</v>
      </c>
      <c r="E132" s="11" t="s">
        <v>776</v>
      </c>
      <c r="G132" s="11" t="s">
        <v>1144</v>
      </c>
      <c r="H132" s="11" t="s">
        <v>1145</v>
      </c>
      <c r="I132" s="11" t="s">
        <v>1144</v>
      </c>
      <c r="J132" s="11" t="s">
        <v>1145</v>
      </c>
      <c r="K132" s="11" t="s">
        <v>766</v>
      </c>
      <c r="L132" s="11" t="n">
        <v>1</v>
      </c>
      <c r="O132" s="11" t="s">
        <v>27</v>
      </c>
    </row>
    <row r="133" customFormat="false" ht="15" hidden="false" customHeight="false" outlineLevel="0" collapsed="false">
      <c r="A133" s="2" t="s">
        <v>3750</v>
      </c>
      <c r="B133" s="11" t="s">
        <v>2467</v>
      </c>
      <c r="C133" s="11" t="s">
        <v>1656</v>
      </c>
      <c r="D133" s="11" t="s">
        <v>828</v>
      </c>
      <c r="E133" s="11" t="s">
        <v>750</v>
      </c>
      <c r="G133" s="11" t="s">
        <v>1144</v>
      </c>
      <c r="H133" s="11" t="s">
        <v>1145</v>
      </c>
      <c r="I133" s="11" t="s">
        <v>1144</v>
      </c>
      <c r="J133" s="11" t="s">
        <v>1145</v>
      </c>
      <c r="K133" s="11" t="s">
        <v>766</v>
      </c>
      <c r="L133" s="11" t="n">
        <v>1</v>
      </c>
      <c r="O133" s="11" t="s">
        <v>27</v>
      </c>
    </row>
    <row r="134" customFormat="false" ht="15" hidden="false" customHeight="false" outlineLevel="0" collapsed="false">
      <c r="A134" s="2" t="s">
        <v>3751</v>
      </c>
      <c r="B134" s="11" t="s">
        <v>2467</v>
      </c>
      <c r="C134" s="11" t="s">
        <v>1643</v>
      </c>
      <c r="D134" s="11" t="s">
        <v>828</v>
      </c>
      <c r="E134" s="11" t="s">
        <v>776</v>
      </c>
      <c r="G134" s="11" t="s">
        <v>1144</v>
      </c>
      <c r="H134" s="11" t="s">
        <v>1145</v>
      </c>
      <c r="I134" s="11" t="s">
        <v>1144</v>
      </c>
      <c r="J134" s="11" t="s">
        <v>1145</v>
      </c>
      <c r="K134" s="11" t="s">
        <v>766</v>
      </c>
      <c r="L134" s="11" t="n">
        <v>1</v>
      </c>
      <c r="O134" s="11" t="s">
        <v>27</v>
      </c>
    </row>
    <row r="135" customFormat="false" ht="15" hidden="false" customHeight="false" outlineLevel="0" collapsed="false">
      <c r="A135" s="2" t="s">
        <v>3752</v>
      </c>
      <c r="B135" s="11" t="s">
        <v>2473</v>
      </c>
      <c r="C135" s="11" t="s">
        <v>1656</v>
      </c>
      <c r="D135" s="11" t="s">
        <v>781</v>
      </c>
      <c r="E135" s="11" t="s">
        <v>750</v>
      </c>
      <c r="G135" s="11" t="s">
        <v>1144</v>
      </c>
      <c r="H135" s="11" t="s">
        <v>1145</v>
      </c>
      <c r="I135" s="11" t="s">
        <v>1144</v>
      </c>
      <c r="J135" s="11" t="s">
        <v>1145</v>
      </c>
      <c r="K135" s="11" t="s">
        <v>766</v>
      </c>
      <c r="L135" s="11" t="n">
        <v>1</v>
      </c>
      <c r="O135" s="11" t="s">
        <v>27</v>
      </c>
    </row>
    <row r="136" customFormat="false" ht="15" hidden="false" customHeight="false" outlineLevel="0" collapsed="false">
      <c r="A136" s="2" t="s">
        <v>3753</v>
      </c>
      <c r="B136" s="11" t="s">
        <v>2473</v>
      </c>
      <c r="C136" s="11" t="s">
        <v>1622</v>
      </c>
      <c r="D136" s="11" t="s">
        <v>781</v>
      </c>
      <c r="E136" s="11" t="s">
        <v>776</v>
      </c>
      <c r="G136" s="11" t="s">
        <v>1144</v>
      </c>
      <c r="H136" s="11" t="s">
        <v>1145</v>
      </c>
      <c r="I136" s="11" t="s">
        <v>1144</v>
      </c>
      <c r="J136" s="11" t="s">
        <v>1145</v>
      </c>
      <c r="K136" s="11" t="s">
        <v>766</v>
      </c>
      <c r="L136" s="11" t="n">
        <v>1</v>
      </c>
      <c r="O136" s="11" t="s">
        <v>27</v>
      </c>
    </row>
    <row r="137" customFormat="false" ht="15" hidden="false" customHeight="false" outlineLevel="0" collapsed="false">
      <c r="A137" s="2" t="s">
        <v>3754</v>
      </c>
      <c r="B137" s="11" t="s">
        <v>2479</v>
      </c>
      <c r="C137" s="11" t="s">
        <v>1656</v>
      </c>
      <c r="D137" s="11" t="s">
        <v>781</v>
      </c>
      <c r="E137" s="11" t="s">
        <v>750</v>
      </c>
      <c r="G137" s="11" t="s">
        <v>1144</v>
      </c>
      <c r="H137" s="11" t="s">
        <v>1145</v>
      </c>
      <c r="I137" s="11" t="s">
        <v>1144</v>
      </c>
      <c r="J137" s="11" t="s">
        <v>1145</v>
      </c>
      <c r="K137" s="11" t="s">
        <v>766</v>
      </c>
      <c r="L137" s="11" t="n">
        <v>1</v>
      </c>
      <c r="O137" s="11" t="s">
        <v>27</v>
      </c>
    </row>
    <row r="138" customFormat="false" ht="15" hidden="false" customHeight="false" outlineLevel="0" collapsed="false">
      <c r="A138" s="2" t="s">
        <v>3755</v>
      </c>
      <c r="B138" s="11" t="s">
        <v>2479</v>
      </c>
      <c r="C138" s="11" t="s">
        <v>1622</v>
      </c>
      <c r="D138" s="11" t="s">
        <v>781</v>
      </c>
      <c r="E138" s="11" t="s">
        <v>776</v>
      </c>
      <c r="G138" s="11" t="s">
        <v>1144</v>
      </c>
      <c r="H138" s="11" t="s">
        <v>1145</v>
      </c>
      <c r="I138" s="11" t="s">
        <v>1144</v>
      </c>
      <c r="J138" s="11" t="s">
        <v>1145</v>
      </c>
      <c r="K138" s="11" t="s">
        <v>766</v>
      </c>
      <c r="L138" s="11" t="n">
        <v>1</v>
      </c>
      <c r="O138" s="11" t="s">
        <v>27</v>
      </c>
    </row>
    <row r="139" customFormat="false" ht="15" hidden="false" customHeight="false" outlineLevel="0" collapsed="false">
      <c r="A139" s="2" t="s">
        <v>3756</v>
      </c>
      <c r="B139" s="11" t="s">
        <v>2485</v>
      </c>
      <c r="C139" s="11" t="s">
        <v>1628</v>
      </c>
      <c r="D139" s="11" t="s">
        <v>781</v>
      </c>
      <c r="E139" s="11" t="s">
        <v>750</v>
      </c>
      <c r="G139" s="11" t="s">
        <v>1144</v>
      </c>
      <c r="H139" s="11" t="s">
        <v>1145</v>
      </c>
      <c r="I139" s="11" t="s">
        <v>1144</v>
      </c>
      <c r="J139" s="11" t="s">
        <v>1145</v>
      </c>
      <c r="K139" s="11" t="s">
        <v>766</v>
      </c>
      <c r="L139" s="11" t="n">
        <v>1</v>
      </c>
      <c r="O139" s="11" t="s">
        <v>27</v>
      </c>
    </row>
    <row r="140" customFormat="false" ht="15" hidden="false" customHeight="false" outlineLevel="0" collapsed="false">
      <c r="A140" s="2" t="s">
        <v>3757</v>
      </c>
      <c r="B140" s="11" t="s">
        <v>2485</v>
      </c>
      <c r="C140" s="11" t="s">
        <v>1622</v>
      </c>
      <c r="D140" s="11" t="s">
        <v>781</v>
      </c>
      <c r="E140" s="11" t="s">
        <v>776</v>
      </c>
      <c r="G140" s="11" t="s">
        <v>1144</v>
      </c>
      <c r="H140" s="11" t="s">
        <v>1145</v>
      </c>
      <c r="I140" s="11" t="s">
        <v>1144</v>
      </c>
      <c r="J140" s="11" t="s">
        <v>1145</v>
      </c>
      <c r="K140" s="11" t="s">
        <v>766</v>
      </c>
      <c r="L140" s="11" t="n">
        <v>1</v>
      </c>
      <c r="O140" s="11" t="s">
        <v>27</v>
      </c>
    </row>
    <row r="141" customFormat="false" ht="15" hidden="false" customHeight="false" outlineLevel="0" collapsed="false">
      <c r="A141" s="2" t="s">
        <v>3758</v>
      </c>
      <c r="B141" s="11" t="s">
        <v>2491</v>
      </c>
      <c r="C141" s="11" t="s">
        <v>1628</v>
      </c>
      <c r="D141" s="11" t="s">
        <v>781</v>
      </c>
      <c r="E141" s="11" t="s">
        <v>750</v>
      </c>
      <c r="G141" s="11" t="s">
        <v>1144</v>
      </c>
      <c r="H141" s="11" t="s">
        <v>1145</v>
      </c>
      <c r="I141" s="11" t="s">
        <v>1144</v>
      </c>
      <c r="J141" s="11" t="s">
        <v>1145</v>
      </c>
      <c r="K141" s="11" t="s">
        <v>766</v>
      </c>
      <c r="L141" s="11" t="n">
        <v>1</v>
      </c>
      <c r="O141" s="11" t="s">
        <v>27</v>
      </c>
    </row>
    <row r="142" customFormat="false" ht="15" hidden="false" customHeight="false" outlineLevel="0" collapsed="false">
      <c r="A142" s="2" t="s">
        <v>3759</v>
      </c>
      <c r="B142" s="11" t="s">
        <v>2491</v>
      </c>
      <c r="C142" s="11" t="s">
        <v>1622</v>
      </c>
      <c r="D142" s="11" t="s">
        <v>781</v>
      </c>
      <c r="E142" s="11" t="s">
        <v>776</v>
      </c>
      <c r="G142" s="11" t="s">
        <v>1144</v>
      </c>
      <c r="H142" s="11" t="s">
        <v>1145</v>
      </c>
      <c r="I142" s="11" t="s">
        <v>1144</v>
      </c>
      <c r="J142" s="11" t="s">
        <v>1145</v>
      </c>
      <c r="K142" s="11" t="s">
        <v>766</v>
      </c>
      <c r="L142" s="11" t="n">
        <v>1</v>
      </c>
      <c r="O142" s="11" t="s">
        <v>27</v>
      </c>
    </row>
    <row r="143" customFormat="false" ht="15" hidden="false" customHeight="false" outlineLevel="0" collapsed="false">
      <c r="A143" s="2" t="s">
        <v>3760</v>
      </c>
      <c r="B143" s="11" t="s">
        <v>2497</v>
      </c>
      <c r="C143" s="11" t="s">
        <v>1617</v>
      </c>
      <c r="D143" s="11" t="s">
        <v>828</v>
      </c>
      <c r="E143" s="11" t="s">
        <v>750</v>
      </c>
      <c r="G143" s="11" t="s">
        <v>1144</v>
      </c>
      <c r="H143" s="11" t="s">
        <v>1145</v>
      </c>
      <c r="I143" s="11" t="s">
        <v>1144</v>
      </c>
      <c r="J143" s="11" t="s">
        <v>1145</v>
      </c>
      <c r="K143" s="11" t="s">
        <v>766</v>
      </c>
      <c r="L143" s="11" t="n">
        <v>1</v>
      </c>
      <c r="O143" s="11" t="s">
        <v>27</v>
      </c>
    </row>
    <row r="144" customFormat="false" ht="15" hidden="false" customHeight="false" outlineLevel="0" collapsed="false">
      <c r="A144" s="2" t="s">
        <v>3761</v>
      </c>
      <c r="B144" s="11" t="s">
        <v>2497</v>
      </c>
      <c r="C144" s="11" t="s">
        <v>1622</v>
      </c>
      <c r="D144" s="11" t="s">
        <v>828</v>
      </c>
      <c r="E144" s="11" t="s">
        <v>776</v>
      </c>
      <c r="G144" s="11" t="s">
        <v>1144</v>
      </c>
      <c r="H144" s="11" t="s">
        <v>1145</v>
      </c>
      <c r="I144" s="11" t="s">
        <v>1144</v>
      </c>
      <c r="J144" s="11" t="s">
        <v>1145</v>
      </c>
      <c r="K144" s="11" t="s">
        <v>766</v>
      </c>
      <c r="L144" s="11" t="n">
        <v>1</v>
      </c>
      <c r="O144" s="11" t="s">
        <v>27</v>
      </c>
    </row>
    <row r="145" customFormat="false" ht="15" hidden="false" customHeight="false" outlineLevel="0" collapsed="false">
      <c r="A145" s="2" t="s">
        <v>3762</v>
      </c>
      <c r="B145" s="11" t="s">
        <v>2503</v>
      </c>
      <c r="C145" s="11" t="s">
        <v>1617</v>
      </c>
      <c r="D145" s="11" t="s">
        <v>828</v>
      </c>
      <c r="E145" s="11" t="s">
        <v>750</v>
      </c>
      <c r="G145" s="11" t="s">
        <v>1144</v>
      </c>
      <c r="H145" s="11" t="s">
        <v>1145</v>
      </c>
      <c r="I145" s="11" t="s">
        <v>1144</v>
      </c>
      <c r="J145" s="11" t="s">
        <v>1145</v>
      </c>
      <c r="K145" s="11" t="s">
        <v>766</v>
      </c>
      <c r="L145" s="11" t="n">
        <v>1</v>
      </c>
      <c r="O145" s="11" t="s">
        <v>27</v>
      </c>
    </row>
    <row r="146" customFormat="false" ht="15" hidden="false" customHeight="false" outlineLevel="0" collapsed="false">
      <c r="A146" s="2" t="s">
        <v>3763</v>
      </c>
      <c r="B146" s="11" t="s">
        <v>2503</v>
      </c>
      <c r="C146" s="11" t="s">
        <v>1622</v>
      </c>
      <c r="D146" s="11" t="s">
        <v>828</v>
      </c>
      <c r="E146" s="11" t="s">
        <v>776</v>
      </c>
      <c r="G146" s="11" t="s">
        <v>1144</v>
      </c>
      <c r="H146" s="11" t="s">
        <v>1145</v>
      </c>
      <c r="I146" s="11" t="s">
        <v>1144</v>
      </c>
      <c r="J146" s="11" t="s">
        <v>1145</v>
      </c>
      <c r="K146" s="11" t="s">
        <v>766</v>
      </c>
      <c r="L146" s="11" t="n">
        <v>1</v>
      </c>
      <c r="O146" s="11" t="s">
        <v>27</v>
      </c>
    </row>
    <row r="147" customFormat="false" ht="15" hidden="false" customHeight="false" outlineLevel="0" collapsed="false">
      <c r="A147" s="2" t="s">
        <v>3764</v>
      </c>
      <c r="B147" s="11" t="s">
        <v>2508</v>
      </c>
      <c r="C147" s="11" t="s">
        <v>1617</v>
      </c>
      <c r="D147" s="11" t="s">
        <v>828</v>
      </c>
      <c r="E147" s="11" t="s">
        <v>750</v>
      </c>
      <c r="G147" s="11" t="s">
        <v>1144</v>
      </c>
      <c r="H147" s="11" t="s">
        <v>1145</v>
      </c>
      <c r="I147" s="11" t="s">
        <v>1144</v>
      </c>
      <c r="J147" s="11" t="s">
        <v>1145</v>
      </c>
      <c r="K147" s="11" t="s">
        <v>766</v>
      </c>
      <c r="L147" s="11" t="n">
        <v>1</v>
      </c>
      <c r="O147" s="11" t="s">
        <v>27</v>
      </c>
    </row>
    <row r="148" customFormat="false" ht="15" hidden="false" customHeight="false" outlineLevel="0" collapsed="false">
      <c r="A148" s="2" t="s">
        <v>3765</v>
      </c>
      <c r="B148" s="11" t="s">
        <v>2508</v>
      </c>
      <c r="C148" s="11" t="s">
        <v>1622</v>
      </c>
      <c r="D148" s="11" t="s">
        <v>828</v>
      </c>
      <c r="E148" s="11" t="s">
        <v>776</v>
      </c>
      <c r="G148" s="11" t="s">
        <v>1144</v>
      </c>
      <c r="H148" s="11" t="s">
        <v>1145</v>
      </c>
      <c r="I148" s="11" t="s">
        <v>1144</v>
      </c>
      <c r="J148" s="11" t="s">
        <v>1145</v>
      </c>
      <c r="K148" s="11" t="s">
        <v>766</v>
      </c>
      <c r="L148" s="11" t="n">
        <v>1</v>
      </c>
      <c r="O148" s="11" t="s">
        <v>27</v>
      </c>
    </row>
    <row r="149" customFormat="false" ht="15" hidden="false" customHeight="false" outlineLevel="0" collapsed="false">
      <c r="A149" s="2" t="s">
        <v>3766</v>
      </c>
      <c r="B149" s="11" t="s">
        <v>2508</v>
      </c>
      <c r="C149" s="11" t="s">
        <v>1651</v>
      </c>
      <c r="D149" s="11" t="s">
        <v>828</v>
      </c>
      <c r="E149" s="11" t="s">
        <v>776</v>
      </c>
      <c r="G149" s="11" t="s">
        <v>1144</v>
      </c>
      <c r="H149" s="11" t="s">
        <v>1145</v>
      </c>
      <c r="I149" s="11" t="s">
        <v>1144</v>
      </c>
      <c r="J149" s="11" t="s">
        <v>1145</v>
      </c>
      <c r="K149" s="11" t="s">
        <v>766</v>
      </c>
      <c r="L149" s="11" t="n">
        <v>1</v>
      </c>
      <c r="O149" s="11" t="s">
        <v>27</v>
      </c>
    </row>
    <row r="150" customFormat="false" ht="15" hidden="false" customHeight="false" outlineLevel="0" collapsed="false">
      <c r="A150" s="2" t="s">
        <v>3767</v>
      </c>
      <c r="B150" s="11" t="s">
        <v>2514</v>
      </c>
      <c r="C150" s="11" t="s">
        <v>1656</v>
      </c>
      <c r="D150" s="11" t="s">
        <v>781</v>
      </c>
      <c r="E150" s="11" t="s">
        <v>750</v>
      </c>
      <c r="G150" s="11" t="s">
        <v>1144</v>
      </c>
      <c r="H150" s="11" t="s">
        <v>1145</v>
      </c>
      <c r="I150" s="11" t="s">
        <v>1144</v>
      </c>
      <c r="J150" s="11" t="s">
        <v>1145</v>
      </c>
      <c r="K150" s="11" t="s">
        <v>766</v>
      </c>
      <c r="L150" s="11" t="n">
        <v>1</v>
      </c>
      <c r="O150" s="11" t="s">
        <v>27</v>
      </c>
    </row>
    <row r="151" customFormat="false" ht="15" hidden="false" customHeight="false" outlineLevel="0" collapsed="false">
      <c r="A151" s="2" t="s">
        <v>3768</v>
      </c>
      <c r="B151" s="11" t="s">
        <v>2514</v>
      </c>
      <c r="C151" s="11" t="s">
        <v>1622</v>
      </c>
      <c r="D151" s="11" t="s">
        <v>781</v>
      </c>
      <c r="E151" s="11" t="s">
        <v>776</v>
      </c>
      <c r="G151" s="11" t="s">
        <v>1144</v>
      </c>
      <c r="H151" s="11" t="s">
        <v>1145</v>
      </c>
      <c r="I151" s="11" t="s">
        <v>1144</v>
      </c>
      <c r="J151" s="11" t="s">
        <v>1145</v>
      </c>
      <c r="K151" s="11" t="s">
        <v>766</v>
      </c>
      <c r="L151" s="11" t="n">
        <v>1</v>
      </c>
      <c r="O151" s="11" t="s">
        <v>27</v>
      </c>
    </row>
  </sheetData>
  <autoFilter ref="A1:O151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151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151" type="list">
      <formula1>financiele_vraag!$B$2:$B$2000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151" type="list">
      <formula1>Keuzelijsten!$P$5:$P$60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151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572</v>
      </c>
      <c r="B1" s="13" t="s">
        <v>469</v>
      </c>
      <c r="C1" s="13" t="s">
        <v>412</v>
      </c>
      <c r="D1" s="13" t="s">
        <v>574</v>
      </c>
      <c r="E1" s="13" t="s">
        <v>554</v>
      </c>
      <c r="F1" s="14" t="s">
        <v>410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3769</v>
      </c>
      <c r="B2" s="11" t="s">
        <v>2008</v>
      </c>
      <c r="C2" s="11" t="s">
        <v>1514</v>
      </c>
      <c r="D2" s="11" t="s">
        <v>755</v>
      </c>
      <c r="E2" s="11" t="s">
        <v>258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3123</v>
      </c>
    </row>
    <row r="3" customFormat="false" ht="15" hidden="false" customHeight="false" outlineLevel="0" collapsed="false">
      <c r="A3" s="2" t="s">
        <v>3770</v>
      </c>
      <c r="B3" s="11" t="s">
        <v>2008</v>
      </c>
      <c r="C3" s="11" t="s">
        <v>1516</v>
      </c>
      <c r="D3" s="11" t="s">
        <v>782</v>
      </c>
      <c r="E3" s="11" t="s">
        <v>272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3123</v>
      </c>
    </row>
    <row r="4" customFormat="false" ht="15" hidden="false" customHeight="false" outlineLevel="0" collapsed="false">
      <c r="A4" s="2" t="s">
        <v>3771</v>
      </c>
      <c r="B4" s="11" t="s">
        <v>2008</v>
      </c>
      <c r="C4" s="11" t="s">
        <v>1519</v>
      </c>
      <c r="D4" s="11" t="s">
        <v>782</v>
      </c>
      <c r="E4" s="11" t="s">
        <v>272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3123</v>
      </c>
    </row>
    <row r="5" customFormat="false" ht="15" hidden="false" customHeight="false" outlineLevel="0" collapsed="false">
      <c r="A5" s="2" t="s">
        <v>3772</v>
      </c>
      <c r="B5" s="11" t="s">
        <v>2023</v>
      </c>
      <c r="C5" s="11" t="s">
        <v>1514</v>
      </c>
      <c r="D5" s="11" t="s">
        <v>755</v>
      </c>
      <c r="E5" s="11" t="s">
        <v>258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3123</v>
      </c>
    </row>
    <row r="6" customFormat="false" ht="15" hidden="false" customHeight="false" outlineLevel="0" collapsed="false">
      <c r="A6" s="2" t="s">
        <v>3773</v>
      </c>
      <c r="B6" s="11" t="s">
        <v>2023</v>
      </c>
      <c r="C6" s="11" t="s">
        <v>1516</v>
      </c>
      <c r="D6" s="11" t="s">
        <v>782</v>
      </c>
      <c r="E6" s="11" t="s">
        <v>272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3123</v>
      </c>
    </row>
    <row r="7" customFormat="false" ht="15" hidden="false" customHeight="false" outlineLevel="0" collapsed="false">
      <c r="A7" s="2" t="s">
        <v>3774</v>
      </c>
      <c r="B7" s="11" t="s">
        <v>2023</v>
      </c>
      <c r="C7" s="11" t="s">
        <v>1519</v>
      </c>
      <c r="D7" s="11" t="s">
        <v>782</v>
      </c>
      <c r="E7" s="11" t="s">
        <v>272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3123</v>
      </c>
    </row>
    <row r="8" customFormat="false" ht="15" hidden="false" customHeight="false" outlineLevel="0" collapsed="false">
      <c r="A8" s="2" t="s">
        <v>3775</v>
      </c>
      <c r="B8" s="11" t="s">
        <v>2030</v>
      </c>
      <c r="C8" s="11" t="s">
        <v>1514</v>
      </c>
      <c r="D8" s="11" t="s">
        <v>755</v>
      </c>
      <c r="E8" s="11" t="s">
        <v>258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3123</v>
      </c>
    </row>
    <row r="9" customFormat="false" ht="15" hidden="false" customHeight="false" outlineLevel="0" collapsed="false">
      <c r="A9" s="2" t="s">
        <v>3776</v>
      </c>
      <c r="B9" s="11" t="s">
        <v>2030</v>
      </c>
      <c r="C9" s="11" t="s">
        <v>1516</v>
      </c>
      <c r="D9" s="11" t="s">
        <v>782</v>
      </c>
      <c r="E9" s="11" t="s">
        <v>272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3123</v>
      </c>
    </row>
    <row r="10" customFormat="false" ht="15" hidden="false" customHeight="false" outlineLevel="0" collapsed="false">
      <c r="A10" s="2" t="s">
        <v>3777</v>
      </c>
      <c r="B10" s="11" t="s">
        <v>2030</v>
      </c>
      <c r="C10" s="11" t="s">
        <v>1519</v>
      </c>
      <c r="D10" s="11" t="s">
        <v>782</v>
      </c>
      <c r="E10" s="11" t="s">
        <v>272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3123</v>
      </c>
    </row>
    <row r="11" customFormat="false" ht="15" hidden="false" customHeight="false" outlineLevel="0" collapsed="false">
      <c r="A11" s="2" t="s">
        <v>3778</v>
      </c>
      <c r="B11" s="11" t="s">
        <v>2036</v>
      </c>
      <c r="C11" s="11" t="s">
        <v>1519</v>
      </c>
      <c r="D11" s="11" t="s">
        <v>755</v>
      </c>
      <c r="E11" s="11" t="s">
        <v>258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3123</v>
      </c>
    </row>
    <row r="12" customFormat="false" ht="15" hidden="false" customHeight="false" outlineLevel="0" collapsed="false">
      <c r="A12" s="2" t="s">
        <v>3779</v>
      </c>
      <c r="B12" s="11" t="s">
        <v>2045</v>
      </c>
      <c r="C12" s="11" t="s">
        <v>1516</v>
      </c>
      <c r="D12" s="11" t="s">
        <v>755</v>
      </c>
      <c r="E12" s="11" t="s">
        <v>258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3123</v>
      </c>
    </row>
    <row r="13" customFormat="false" ht="15" hidden="false" customHeight="false" outlineLevel="0" collapsed="false">
      <c r="A13" s="2" t="s">
        <v>3780</v>
      </c>
      <c r="B13" s="11" t="s">
        <v>2051</v>
      </c>
      <c r="C13" s="11" t="s">
        <v>1514</v>
      </c>
      <c r="D13" s="11" t="s">
        <v>755</v>
      </c>
      <c r="E13" s="11" t="s">
        <v>258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3123</v>
      </c>
    </row>
    <row r="14" customFormat="false" ht="15" hidden="false" customHeight="false" outlineLevel="0" collapsed="false">
      <c r="A14" s="2" t="s">
        <v>3781</v>
      </c>
      <c r="B14" s="11" t="s">
        <v>2060</v>
      </c>
      <c r="C14" s="11" t="s">
        <v>1514</v>
      </c>
      <c r="D14" s="11" t="s">
        <v>755</v>
      </c>
      <c r="E14" s="11" t="s">
        <v>258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3123</v>
      </c>
    </row>
    <row r="15" customFormat="false" ht="15" hidden="false" customHeight="false" outlineLevel="0" collapsed="false">
      <c r="A15" s="2" t="s">
        <v>3782</v>
      </c>
      <c r="B15" s="11" t="s">
        <v>2060</v>
      </c>
      <c r="C15" s="11" t="s">
        <v>1516</v>
      </c>
      <c r="D15" s="11" t="s">
        <v>782</v>
      </c>
      <c r="E15" s="11" t="s">
        <v>272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3123</v>
      </c>
    </row>
    <row r="16" customFormat="false" ht="15" hidden="false" customHeight="false" outlineLevel="0" collapsed="false">
      <c r="A16" s="2" t="s">
        <v>3783</v>
      </c>
      <c r="B16" s="11" t="s">
        <v>2060</v>
      </c>
      <c r="C16" s="11" t="s">
        <v>1519</v>
      </c>
      <c r="D16" s="11" t="s">
        <v>782</v>
      </c>
      <c r="E16" s="11" t="s">
        <v>272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3123</v>
      </c>
    </row>
    <row r="17" customFormat="false" ht="15" hidden="false" customHeight="false" outlineLevel="0" collapsed="false">
      <c r="A17" s="2" t="s">
        <v>3784</v>
      </c>
      <c r="B17" s="11" t="s">
        <v>2065</v>
      </c>
      <c r="C17" s="11" t="s">
        <v>1514</v>
      </c>
      <c r="D17" s="11" t="s">
        <v>755</v>
      </c>
      <c r="E17" s="11" t="s">
        <v>258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3123</v>
      </c>
    </row>
    <row r="18" customFormat="false" ht="15" hidden="false" customHeight="false" outlineLevel="0" collapsed="false">
      <c r="A18" s="2" t="s">
        <v>3785</v>
      </c>
      <c r="B18" s="11" t="s">
        <v>2065</v>
      </c>
      <c r="C18" s="11" t="s">
        <v>1516</v>
      </c>
      <c r="D18" s="11" t="s">
        <v>782</v>
      </c>
      <c r="E18" s="11" t="s">
        <v>272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3123</v>
      </c>
    </row>
    <row r="19" customFormat="false" ht="15" hidden="false" customHeight="false" outlineLevel="0" collapsed="false">
      <c r="A19" s="2" t="s">
        <v>3786</v>
      </c>
      <c r="B19" s="11" t="s">
        <v>2065</v>
      </c>
      <c r="C19" s="11" t="s">
        <v>1519</v>
      </c>
      <c r="D19" s="11" t="s">
        <v>782</v>
      </c>
      <c r="E19" s="11" t="s">
        <v>272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3123</v>
      </c>
    </row>
    <row r="20" customFormat="false" ht="15" hidden="false" customHeight="false" outlineLevel="0" collapsed="false">
      <c r="A20" s="2" t="s">
        <v>3787</v>
      </c>
      <c r="B20" s="11" t="s">
        <v>2075</v>
      </c>
      <c r="C20" s="11" t="s">
        <v>1514</v>
      </c>
      <c r="D20" s="11" t="s">
        <v>755</v>
      </c>
      <c r="E20" s="11" t="s">
        <v>258</v>
      </c>
      <c r="G20" s="11" t="s">
        <v>1144</v>
      </c>
      <c r="H20" s="11" t="s">
        <v>1145</v>
      </c>
      <c r="I20" s="11" t="s">
        <v>1144</v>
      </c>
      <c r="J20" s="11" t="s">
        <v>1145</v>
      </c>
      <c r="K20" s="11" t="s">
        <v>766</v>
      </c>
      <c r="L20" s="11" t="n">
        <v>1</v>
      </c>
      <c r="O20" s="11" t="s">
        <v>3123</v>
      </c>
    </row>
    <row r="21" customFormat="false" ht="15" hidden="false" customHeight="false" outlineLevel="0" collapsed="false">
      <c r="A21" s="2" t="s">
        <v>3788</v>
      </c>
      <c r="B21" s="11" t="s">
        <v>2084</v>
      </c>
      <c r="C21" s="11" t="s">
        <v>1519</v>
      </c>
      <c r="D21" s="11" t="s">
        <v>755</v>
      </c>
      <c r="E21" s="11" t="s">
        <v>258</v>
      </c>
      <c r="G21" s="11" t="s">
        <v>1144</v>
      </c>
      <c r="H21" s="11" t="s">
        <v>1145</v>
      </c>
      <c r="I21" s="11" t="s">
        <v>1144</v>
      </c>
      <c r="J21" s="11" t="s">
        <v>1145</v>
      </c>
      <c r="K21" s="11" t="s">
        <v>766</v>
      </c>
      <c r="L21" s="11" t="n">
        <v>1</v>
      </c>
      <c r="O21" s="11" t="s">
        <v>3123</v>
      </c>
    </row>
    <row r="22" customFormat="false" ht="15" hidden="false" customHeight="false" outlineLevel="0" collapsed="false">
      <c r="A22" s="2" t="s">
        <v>3789</v>
      </c>
      <c r="B22" s="11" t="s">
        <v>2089</v>
      </c>
      <c r="C22" s="11" t="s">
        <v>1514</v>
      </c>
      <c r="D22" s="11" t="s">
        <v>755</v>
      </c>
      <c r="E22" s="11" t="s">
        <v>258</v>
      </c>
      <c r="G22" s="11" t="s">
        <v>1144</v>
      </c>
      <c r="H22" s="11" t="s">
        <v>1145</v>
      </c>
      <c r="I22" s="11" t="s">
        <v>1144</v>
      </c>
      <c r="J22" s="11" t="s">
        <v>1145</v>
      </c>
      <c r="K22" s="11" t="s">
        <v>766</v>
      </c>
      <c r="L22" s="11" t="n">
        <v>1</v>
      </c>
      <c r="O22" s="11" t="s">
        <v>3123</v>
      </c>
    </row>
    <row r="23" customFormat="false" ht="15" hidden="false" customHeight="false" outlineLevel="0" collapsed="false">
      <c r="A23" s="2" t="s">
        <v>3790</v>
      </c>
      <c r="B23" s="11" t="s">
        <v>2099</v>
      </c>
      <c r="C23" s="11" t="s">
        <v>1519</v>
      </c>
      <c r="D23" s="11" t="s">
        <v>755</v>
      </c>
      <c r="E23" s="11" t="s">
        <v>258</v>
      </c>
      <c r="G23" s="11" t="s">
        <v>1144</v>
      </c>
      <c r="H23" s="11" t="s">
        <v>1145</v>
      </c>
      <c r="I23" s="11" t="s">
        <v>1144</v>
      </c>
      <c r="J23" s="11" t="s">
        <v>1145</v>
      </c>
      <c r="K23" s="11" t="s">
        <v>766</v>
      </c>
      <c r="L23" s="11" t="n">
        <v>1</v>
      </c>
      <c r="O23" s="11" t="s">
        <v>3123</v>
      </c>
    </row>
    <row r="24" customFormat="false" ht="15" hidden="false" customHeight="false" outlineLevel="0" collapsed="false">
      <c r="A24" s="2" t="s">
        <v>3791</v>
      </c>
      <c r="B24" s="11" t="s">
        <v>2107</v>
      </c>
      <c r="C24" s="11" t="s">
        <v>1514</v>
      </c>
      <c r="D24" s="11" t="s">
        <v>755</v>
      </c>
      <c r="E24" s="11" t="s">
        <v>258</v>
      </c>
      <c r="G24" s="11" t="s">
        <v>1144</v>
      </c>
      <c r="H24" s="11" t="s">
        <v>1145</v>
      </c>
      <c r="I24" s="11" t="s">
        <v>1144</v>
      </c>
      <c r="J24" s="11" t="s">
        <v>1145</v>
      </c>
      <c r="K24" s="11" t="s">
        <v>766</v>
      </c>
      <c r="L24" s="11" t="n">
        <v>1</v>
      </c>
      <c r="O24" s="11" t="s">
        <v>3123</v>
      </c>
    </row>
    <row r="25" customFormat="false" ht="15" hidden="false" customHeight="false" outlineLevel="0" collapsed="false">
      <c r="A25" s="2" t="s">
        <v>3792</v>
      </c>
      <c r="B25" s="11" t="s">
        <v>2107</v>
      </c>
      <c r="C25" s="11" t="s">
        <v>1516</v>
      </c>
      <c r="D25" s="11" t="s">
        <v>782</v>
      </c>
      <c r="E25" s="11" t="s">
        <v>272</v>
      </c>
      <c r="G25" s="11" t="s">
        <v>1144</v>
      </c>
      <c r="H25" s="11" t="s">
        <v>1145</v>
      </c>
      <c r="I25" s="11" t="s">
        <v>1144</v>
      </c>
      <c r="J25" s="11" t="s">
        <v>1145</v>
      </c>
      <c r="K25" s="11" t="s">
        <v>766</v>
      </c>
      <c r="L25" s="11" t="n">
        <v>1</v>
      </c>
      <c r="O25" s="11" t="s">
        <v>3123</v>
      </c>
    </row>
    <row r="26" customFormat="false" ht="15" hidden="false" customHeight="false" outlineLevel="0" collapsed="false">
      <c r="A26" s="2" t="s">
        <v>3793</v>
      </c>
      <c r="B26" s="11" t="s">
        <v>2107</v>
      </c>
      <c r="C26" s="11" t="s">
        <v>1519</v>
      </c>
      <c r="D26" s="11" t="s">
        <v>782</v>
      </c>
      <c r="E26" s="11" t="s">
        <v>272</v>
      </c>
      <c r="G26" s="11" t="s">
        <v>1144</v>
      </c>
      <c r="H26" s="11" t="s">
        <v>1145</v>
      </c>
      <c r="I26" s="11" t="s">
        <v>1144</v>
      </c>
      <c r="J26" s="11" t="s">
        <v>1145</v>
      </c>
      <c r="K26" s="11" t="s">
        <v>766</v>
      </c>
      <c r="L26" s="11" t="n">
        <v>1</v>
      </c>
      <c r="O26" s="11" t="s">
        <v>3123</v>
      </c>
    </row>
    <row r="27" customFormat="false" ht="15" hidden="false" customHeight="false" outlineLevel="0" collapsed="false">
      <c r="A27" s="2" t="s">
        <v>3794</v>
      </c>
      <c r="B27" s="11" t="s">
        <v>2117</v>
      </c>
      <c r="C27" s="11" t="s">
        <v>1514</v>
      </c>
      <c r="D27" s="11" t="s">
        <v>755</v>
      </c>
      <c r="E27" s="11" t="s">
        <v>258</v>
      </c>
      <c r="G27" s="11" t="s">
        <v>1144</v>
      </c>
      <c r="H27" s="11" t="s">
        <v>1145</v>
      </c>
      <c r="I27" s="11" t="s">
        <v>1144</v>
      </c>
      <c r="J27" s="11" t="s">
        <v>1145</v>
      </c>
      <c r="K27" s="11" t="s">
        <v>766</v>
      </c>
      <c r="L27" s="11" t="n">
        <v>1</v>
      </c>
      <c r="O27" s="11" t="s">
        <v>3123</v>
      </c>
    </row>
    <row r="28" customFormat="false" ht="15" hidden="false" customHeight="false" outlineLevel="0" collapsed="false">
      <c r="A28" s="2" t="s">
        <v>3795</v>
      </c>
      <c r="B28" s="11" t="s">
        <v>2122</v>
      </c>
      <c r="C28" s="11" t="s">
        <v>1514</v>
      </c>
      <c r="D28" s="11" t="s">
        <v>755</v>
      </c>
      <c r="E28" s="11" t="s">
        <v>258</v>
      </c>
      <c r="G28" s="11" t="s">
        <v>1144</v>
      </c>
      <c r="H28" s="11" t="s">
        <v>1145</v>
      </c>
      <c r="I28" s="11" t="s">
        <v>1144</v>
      </c>
      <c r="J28" s="11" t="s">
        <v>1145</v>
      </c>
      <c r="K28" s="11" t="s">
        <v>766</v>
      </c>
      <c r="L28" s="11" t="n">
        <v>1</v>
      </c>
      <c r="O28" s="11" t="s">
        <v>3123</v>
      </c>
    </row>
    <row r="29" customFormat="false" ht="15" hidden="false" customHeight="false" outlineLevel="0" collapsed="false">
      <c r="A29" s="2" t="s">
        <v>3796</v>
      </c>
      <c r="B29" s="11" t="s">
        <v>2127</v>
      </c>
      <c r="C29" s="11" t="s">
        <v>1514</v>
      </c>
      <c r="D29" s="11" t="s">
        <v>755</v>
      </c>
      <c r="E29" s="11" t="s">
        <v>258</v>
      </c>
      <c r="G29" s="11" t="s">
        <v>1144</v>
      </c>
      <c r="H29" s="11" t="s">
        <v>1145</v>
      </c>
      <c r="I29" s="11" t="s">
        <v>1144</v>
      </c>
      <c r="J29" s="11" t="s">
        <v>1145</v>
      </c>
      <c r="K29" s="11" t="s">
        <v>766</v>
      </c>
      <c r="L29" s="11" t="n">
        <v>1</v>
      </c>
      <c r="O29" s="11" t="s">
        <v>3123</v>
      </c>
    </row>
    <row r="30" customFormat="false" ht="15" hidden="false" customHeight="false" outlineLevel="0" collapsed="false">
      <c r="A30" s="2" t="s">
        <v>3797</v>
      </c>
      <c r="B30" s="11" t="s">
        <v>2133</v>
      </c>
      <c r="C30" s="11" t="s">
        <v>1514</v>
      </c>
      <c r="D30" s="11" t="s">
        <v>755</v>
      </c>
      <c r="E30" s="11" t="s">
        <v>258</v>
      </c>
      <c r="G30" s="11" t="s">
        <v>1144</v>
      </c>
      <c r="H30" s="11" t="s">
        <v>1145</v>
      </c>
      <c r="I30" s="11" t="s">
        <v>1144</v>
      </c>
      <c r="J30" s="11" t="s">
        <v>1145</v>
      </c>
      <c r="K30" s="11" t="s">
        <v>766</v>
      </c>
      <c r="L30" s="11" t="n">
        <v>1</v>
      </c>
      <c r="O30" s="11" t="s">
        <v>3123</v>
      </c>
    </row>
    <row r="31" customFormat="false" ht="15" hidden="false" customHeight="false" outlineLevel="0" collapsed="false">
      <c r="A31" s="2" t="s">
        <v>3798</v>
      </c>
      <c r="B31" s="11" t="s">
        <v>2141</v>
      </c>
      <c r="C31" s="11" t="s">
        <v>1514</v>
      </c>
      <c r="D31" s="11" t="s">
        <v>755</v>
      </c>
      <c r="E31" s="11" t="s">
        <v>258</v>
      </c>
      <c r="G31" s="11" t="s">
        <v>1144</v>
      </c>
      <c r="H31" s="11" t="s">
        <v>1145</v>
      </c>
      <c r="I31" s="11" t="s">
        <v>1144</v>
      </c>
      <c r="J31" s="11" t="s">
        <v>1145</v>
      </c>
      <c r="K31" s="11" t="s">
        <v>766</v>
      </c>
      <c r="L31" s="11" t="n">
        <v>1</v>
      </c>
      <c r="O31" s="11" t="s">
        <v>3123</v>
      </c>
    </row>
    <row r="32" customFormat="false" ht="15" hidden="false" customHeight="false" outlineLevel="0" collapsed="false">
      <c r="A32" s="2" t="s">
        <v>3799</v>
      </c>
      <c r="B32" s="11" t="s">
        <v>2147</v>
      </c>
      <c r="C32" s="11" t="s">
        <v>1514</v>
      </c>
      <c r="D32" s="11" t="s">
        <v>755</v>
      </c>
      <c r="E32" s="11" t="s">
        <v>258</v>
      </c>
      <c r="G32" s="11" t="s">
        <v>1144</v>
      </c>
      <c r="H32" s="11" t="s">
        <v>1145</v>
      </c>
      <c r="I32" s="11" t="s">
        <v>1144</v>
      </c>
      <c r="J32" s="11" t="s">
        <v>1145</v>
      </c>
      <c r="K32" s="11" t="s">
        <v>766</v>
      </c>
      <c r="L32" s="11" t="n">
        <v>1</v>
      </c>
      <c r="O32" s="11" t="s">
        <v>3123</v>
      </c>
    </row>
    <row r="33" customFormat="false" ht="15" hidden="false" customHeight="false" outlineLevel="0" collapsed="false">
      <c r="A33" s="2" t="s">
        <v>3800</v>
      </c>
      <c r="B33" s="11" t="s">
        <v>2152</v>
      </c>
      <c r="C33" s="11" t="s">
        <v>1514</v>
      </c>
      <c r="D33" s="11" t="s">
        <v>755</v>
      </c>
      <c r="E33" s="11" t="s">
        <v>258</v>
      </c>
      <c r="G33" s="11" t="s">
        <v>1144</v>
      </c>
      <c r="H33" s="11" t="s">
        <v>1145</v>
      </c>
      <c r="I33" s="11" t="s">
        <v>1144</v>
      </c>
      <c r="J33" s="11" t="s">
        <v>1145</v>
      </c>
      <c r="K33" s="11" t="s">
        <v>766</v>
      </c>
      <c r="L33" s="11" t="n">
        <v>1</v>
      </c>
      <c r="O33" s="11" t="s">
        <v>3123</v>
      </c>
    </row>
    <row r="34" customFormat="false" ht="15" hidden="false" customHeight="false" outlineLevel="0" collapsed="false">
      <c r="A34" s="2" t="s">
        <v>3801</v>
      </c>
      <c r="B34" s="11" t="s">
        <v>2158</v>
      </c>
      <c r="C34" s="11" t="s">
        <v>1514</v>
      </c>
      <c r="D34" s="11" t="s">
        <v>755</v>
      </c>
      <c r="E34" s="11" t="s">
        <v>258</v>
      </c>
      <c r="G34" s="11" t="s">
        <v>1144</v>
      </c>
      <c r="H34" s="11" t="s">
        <v>1145</v>
      </c>
      <c r="I34" s="11" t="s">
        <v>1144</v>
      </c>
      <c r="J34" s="11" t="s">
        <v>1145</v>
      </c>
      <c r="K34" s="11" t="s">
        <v>766</v>
      </c>
      <c r="L34" s="11" t="n">
        <v>1</v>
      </c>
      <c r="O34" s="11" t="s">
        <v>3123</v>
      </c>
    </row>
    <row r="35" customFormat="false" ht="15" hidden="false" customHeight="false" outlineLevel="0" collapsed="false">
      <c r="A35" s="2" t="s">
        <v>3802</v>
      </c>
      <c r="B35" s="11" t="s">
        <v>2166</v>
      </c>
      <c r="C35" s="11" t="s">
        <v>1514</v>
      </c>
      <c r="D35" s="11" t="s">
        <v>755</v>
      </c>
      <c r="E35" s="11" t="s">
        <v>258</v>
      </c>
      <c r="G35" s="11" t="s">
        <v>1144</v>
      </c>
      <c r="H35" s="11" t="s">
        <v>1145</v>
      </c>
      <c r="I35" s="11" t="s">
        <v>1144</v>
      </c>
      <c r="J35" s="11" t="s">
        <v>1145</v>
      </c>
      <c r="K35" s="11" t="s">
        <v>766</v>
      </c>
      <c r="L35" s="11" t="n">
        <v>1</v>
      </c>
      <c r="O35" s="11" t="s">
        <v>3123</v>
      </c>
    </row>
    <row r="36" customFormat="false" ht="15" hidden="false" customHeight="false" outlineLevel="0" collapsed="false">
      <c r="A36" s="2" t="s">
        <v>3803</v>
      </c>
      <c r="B36" s="11" t="s">
        <v>2166</v>
      </c>
      <c r="C36" s="11" t="s">
        <v>1516</v>
      </c>
      <c r="D36" s="11" t="s">
        <v>782</v>
      </c>
      <c r="E36" s="11" t="s">
        <v>272</v>
      </c>
      <c r="G36" s="11" t="s">
        <v>1144</v>
      </c>
      <c r="H36" s="11" t="s">
        <v>1145</v>
      </c>
      <c r="I36" s="11" t="s">
        <v>1144</v>
      </c>
      <c r="J36" s="11" t="s">
        <v>1145</v>
      </c>
      <c r="K36" s="11" t="s">
        <v>766</v>
      </c>
      <c r="L36" s="11" t="n">
        <v>1</v>
      </c>
      <c r="O36" s="11" t="s">
        <v>3123</v>
      </c>
    </row>
    <row r="37" customFormat="false" ht="15" hidden="false" customHeight="false" outlineLevel="0" collapsed="false">
      <c r="A37" s="2" t="s">
        <v>3804</v>
      </c>
      <c r="B37" s="11" t="s">
        <v>2166</v>
      </c>
      <c r="C37" s="11" t="s">
        <v>1519</v>
      </c>
      <c r="D37" s="11" t="s">
        <v>782</v>
      </c>
      <c r="E37" s="11" t="s">
        <v>272</v>
      </c>
      <c r="G37" s="11" t="s">
        <v>1144</v>
      </c>
      <c r="H37" s="11" t="s">
        <v>1145</v>
      </c>
      <c r="I37" s="11" t="s">
        <v>1144</v>
      </c>
      <c r="J37" s="11" t="s">
        <v>1145</v>
      </c>
      <c r="K37" s="11" t="s">
        <v>766</v>
      </c>
      <c r="L37" s="11" t="n">
        <v>1</v>
      </c>
      <c r="O37" s="11" t="s">
        <v>3123</v>
      </c>
    </row>
    <row r="38" customFormat="false" ht="15" hidden="false" customHeight="false" outlineLevel="0" collapsed="false">
      <c r="A38" s="2" t="s">
        <v>3805</v>
      </c>
      <c r="B38" s="11" t="s">
        <v>2171</v>
      </c>
      <c r="C38" s="11" t="s">
        <v>1514</v>
      </c>
      <c r="D38" s="11" t="s">
        <v>755</v>
      </c>
      <c r="E38" s="11" t="s">
        <v>258</v>
      </c>
      <c r="G38" s="11" t="s">
        <v>1144</v>
      </c>
      <c r="H38" s="11" t="s">
        <v>1145</v>
      </c>
      <c r="I38" s="11" t="s">
        <v>1144</v>
      </c>
      <c r="J38" s="11" t="s">
        <v>1145</v>
      </c>
      <c r="K38" s="11" t="s">
        <v>766</v>
      </c>
      <c r="L38" s="11" t="n">
        <v>1</v>
      </c>
      <c r="O38" s="11" t="s">
        <v>3123</v>
      </c>
    </row>
    <row r="39" customFormat="false" ht="15" hidden="false" customHeight="false" outlineLevel="0" collapsed="false">
      <c r="A39" s="2" t="s">
        <v>3806</v>
      </c>
      <c r="B39" s="11" t="s">
        <v>1841</v>
      </c>
      <c r="C39" s="11" t="s">
        <v>1514</v>
      </c>
      <c r="D39" s="11" t="s">
        <v>755</v>
      </c>
      <c r="E39" s="11" t="s">
        <v>258</v>
      </c>
      <c r="G39" s="11" t="s">
        <v>1144</v>
      </c>
      <c r="H39" s="11" t="s">
        <v>1145</v>
      </c>
      <c r="I39" s="11" t="s">
        <v>1144</v>
      </c>
      <c r="J39" s="11" t="s">
        <v>1145</v>
      </c>
      <c r="K39" s="11" t="s">
        <v>766</v>
      </c>
      <c r="L39" s="11" t="n">
        <v>1</v>
      </c>
      <c r="O39" s="11" t="s">
        <v>3123</v>
      </c>
    </row>
    <row r="40" customFormat="false" ht="15" hidden="false" customHeight="false" outlineLevel="0" collapsed="false">
      <c r="A40" s="2" t="s">
        <v>3807</v>
      </c>
      <c r="B40" s="11" t="s">
        <v>1832</v>
      </c>
      <c r="C40" s="11" t="s">
        <v>1514</v>
      </c>
      <c r="D40" s="11" t="s">
        <v>755</v>
      </c>
      <c r="E40" s="11" t="s">
        <v>258</v>
      </c>
      <c r="G40" s="11" t="s">
        <v>1144</v>
      </c>
      <c r="H40" s="11" t="s">
        <v>1145</v>
      </c>
      <c r="I40" s="11" t="s">
        <v>1144</v>
      </c>
      <c r="J40" s="11" t="s">
        <v>1145</v>
      </c>
      <c r="K40" s="11" t="s">
        <v>766</v>
      </c>
      <c r="L40" s="11" t="n">
        <v>1</v>
      </c>
      <c r="O40" s="11" t="s">
        <v>3123</v>
      </c>
    </row>
    <row r="41" customFormat="false" ht="15" hidden="false" customHeight="false" outlineLevel="0" collapsed="false">
      <c r="A41" s="2" t="s">
        <v>3808</v>
      </c>
      <c r="B41" s="11" t="s">
        <v>2193</v>
      </c>
      <c r="C41" s="11" t="s">
        <v>1514</v>
      </c>
      <c r="D41" s="11" t="s">
        <v>755</v>
      </c>
      <c r="E41" s="11" t="s">
        <v>258</v>
      </c>
      <c r="G41" s="11" t="s">
        <v>1144</v>
      </c>
      <c r="H41" s="11" t="s">
        <v>1145</v>
      </c>
      <c r="I41" s="11" t="s">
        <v>1144</v>
      </c>
      <c r="J41" s="11" t="s">
        <v>1145</v>
      </c>
      <c r="K41" s="11" t="s">
        <v>766</v>
      </c>
      <c r="L41" s="11" t="n">
        <v>1</v>
      </c>
      <c r="O41" s="11" t="s">
        <v>3123</v>
      </c>
    </row>
    <row r="42" customFormat="false" ht="15" hidden="false" customHeight="false" outlineLevel="0" collapsed="false">
      <c r="A42" s="2" t="s">
        <v>3809</v>
      </c>
      <c r="B42" s="11" t="s">
        <v>2193</v>
      </c>
      <c r="C42" s="11" t="s">
        <v>1516</v>
      </c>
      <c r="D42" s="11" t="s">
        <v>782</v>
      </c>
      <c r="E42" s="11" t="s">
        <v>272</v>
      </c>
      <c r="G42" s="11" t="s">
        <v>1144</v>
      </c>
      <c r="H42" s="11" t="s">
        <v>1145</v>
      </c>
      <c r="I42" s="11" t="s">
        <v>1144</v>
      </c>
      <c r="J42" s="11" t="s">
        <v>1145</v>
      </c>
      <c r="K42" s="11" t="s">
        <v>766</v>
      </c>
      <c r="L42" s="11" t="n">
        <v>1</v>
      </c>
      <c r="O42" s="11" t="s">
        <v>3123</v>
      </c>
    </row>
    <row r="43" customFormat="false" ht="15" hidden="false" customHeight="false" outlineLevel="0" collapsed="false">
      <c r="A43" s="2" t="s">
        <v>3810</v>
      </c>
      <c r="B43" s="11" t="s">
        <v>2193</v>
      </c>
      <c r="C43" s="11" t="s">
        <v>1519</v>
      </c>
      <c r="D43" s="11" t="s">
        <v>782</v>
      </c>
      <c r="E43" s="11" t="s">
        <v>272</v>
      </c>
      <c r="G43" s="11" t="s">
        <v>1144</v>
      </c>
      <c r="H43" s="11" t="s">
        <v>1145</v>
      </c>
      <c r="I43" s="11" t="s">
        <v>1144</v>
      </c>
      <c r="J43" s="11" t="s">
        <v>1145</v>
      </c>
      <c r="K43" s="11" t="s">
        <v>766</v>
      </c>
      <c r="L43" s="11" t="n">
        <v>1</v>
      </c>
      <c r="O43" s="11" t="s">
        <v>3123</v>
      </c>
    </row>
    <row r="44" customFormat="false" ht="15" hidden="false" customHeight="false" outlineLevel="0" collapsed="false">
      <c r="A44" s="2" t="s">
        <v>3811</v>
      </c>
      <c r="B44" s="11" t="s">
        <v>2201</v>
      </c>
      <c r="C44" s="11" t="s">
        <v>1514</v>
      </c>
      <c r="D44" s="11" t="s">
        <v>755</v>
      </c>
      <c r="E44" s="11" t="s">
        <v>258</v>
      </c>
      <c r="G44" s="11" t="s">
        <v>1144</v>
      </c>
      <c r="H44" s="11" t="s">
        <v>1145</v>
      </c>
      <c r="I44" s="11" t="s">
        <v>1144</v>
      </c>
      <c r="J44" s="11" t="s">
        <v>1145</v>
      </c>
      <c r="K44" s="11" t="s">
        <v>766</v>
      </c>
      <c r="L44" s="11" t="n">
        <v>1</v>
      </c>
      <c r="O44" s="11" t="s">
        <v>3123</v>
      </c>
    </row>
    <row r="45" customFormat="false" ht="15" hidden="false" customHeight="false" outlineLevel="0" collapsed="false">
      <c r="A45" s="2" t="s">
        <v>3812</v>
      </c>
      <c r="B45" s="11" t="s">
        <v>2201</v>
      </c>
      <c r="C45" s="11" t="s">
        <v>1516</v>
      </c>
      <c r="D45" s="11" t="s">
        <v>782</v>
      </c>
      <c r="E45" s="11" t="s">
        <v>272</v>
      </c>
      <c r="G45" s="11" t="s">
        <v>1144</v>
      </c>
      <c r="H45" s="11" t="s">
        <v>1145</v>
      </c>
      <c r="I45" s="11" t="s">
        <v>1144</v>
      </c>
      <c r="J45" s="11" t="s">
        <v>1145</v>
      </c>
      <c r="K45" s="11" t="s">
        <v>766</v>
      </c>
      <c r="L45" s="11" t="n">
        <v>1</v>
      </c>
      <c r="O45" s="11" t="s">
        <v>3123</v>
      </c>
    </row>
    <row r="46" customFormat="false" ht="15" hidden="false" customHeight="false" outlineLevel="0" collapsed="false">
      <c r="A46" s="2" t="s">
        <v>3813</v>
      </c>
      <c r="B46" s="11" t="s">
        <v>2201</v>
      </c>
      <c r="C46" s="11" t="s">
        <v>1519</v>
      </c>
      <c r="D46" s="11" t="s">
        <v>782</v>
      </c>
      <c r="E46" s="11" t="s">
        <v>272</v>
      </c>
      <c r="G46" s="11" t="s">
        <v>1144</v>
      </c>
      <c r="H46" s="11" t="s">
        <v>1145</v>
      </c>
      <c r="I46" s="11" t="s">
        <v>1144</v>
      </c>
      <c r="J46" s="11" t="s">
        <v>1145</v>
      </c>
      <c r="K46" s="11" t="s">
        <v>766</v>
      </c>
      <c r="L46" s="11" t="n">
        <v>1</v>
      </c>
      <c r="O46" s="11" t="s">
        <v>3123</v>
      </c>
    </row>
    <row r="47" customFormat="false" ht="15" hidden="false" customHeight="false" outlineLevel="0" collapsed="false">
      <c r="A47" s="2" t="s">
        <v>3814</v>
      </c>
      <c r="B47" s="11" t="s">
        <v>2207</v>
      </c>
      <c r="C47" s="11" t="s">
        <v>1514</v>
      </c>
      <c r="D47" s="11" t="s">
        <v>755</v>
      </c>
      <c r="E47" s="11" t="s">
        <v>258</v>
      </c>
      <c r="G47" s="11" t="s">
        <v>1144</v>
      </c>
      <c r="H47" s="11" t="s">
        <v>1145</v>
      </c>
      <c r="I47" s="11" t="s">
        <v>1144</v>
      </c>
      <c r="J47" s="11" t="s">
        <v>1145</v>
      </c>
      <c r="K47" s="11" t="s">
        <v>766</v>
      </c>
      <c r="L47" s="11" t="n">
        <v>1</v>
      </c>
      <c r="O47" s="11" t="s">
        <v>3123</v>
      </c>
    </row>
    <row r="48" customFormat="false" ht="15" hidden="false" customHeight="false" outlineLevel="0" collapsed="false">
      <c r="A48" s="2" t="s">
        <v>3815</v>
      </c>
      <c r="B48" s="11" t="s">
        <v>2207</v>
      </c>
      <c r="C48" s="11" t="s">
        <v>1516</v>
      </c>
      <c r="D48" s="11" t="s">
        <v>782</v>
      </c>
      <c r="E48" s="11" t="s">
        <v>272</v>
      </c>
      <c r="G48" s="11" t="s">
        <v>1144</v>
      </c>
      <c r="H48" s="11" t="s">
        <v>1145</v>
      </c>
      <c r="I48" s="11" t="s">
        <v>1144</v>
      </c>
      <c r="J48" s="11" t="s">
        <v>1145</v>
      </c>
      <c r="K48" s="11" t="s">
        <v>766</v>
      </c>
      <c r="L48" s="11" t="n">
        <v>1</v>
      </c>
      <c r="O48" s="11" t="s">
        <v>3123</v>
      </c>
    </row>
    <row r="49" customFormat="false" ht="15" hidden="false" customHeight="false" outlineLevel="0" collapsed="false">
      <c r="A49" s="2" t="s">
        <v>3816</v>
      </c>
      <c r="B49" s="11" t="s">
        <v>2207</v>
      </c>
      <c r="C49" s="11" t="s">
        <v>1519</v>
      </c>
      <c r="D49" s="11" t="s">
        <v>782</v>
      </c>
      <c r="E49" s="11" t="s">
        <v>272</v>
      </c>
      <c r="G49" s="11" t="s">
        <v>1144</v>
      </c>
      <c r="H49" s="11" t="s">
        <v>1145</v>
      </c>
      <c r="I49" s="11" t="s">
        <v>1144</v>
      </c>
      <c r="J49" s="11" t="s">
        <v>1145</v>
      </c>
      <c r="K49" s="11" t="s">
        <v>766</v>
      </c>
      <c r="L49" s="11" t="n">
        <v>1</v>
      </c>
      <c r="O49" s="11" t="s">
        <v>3123</v>
      </c>
    </row>
    <row r="50" customFormat="false" ht="15" hidden="false" customHeight="false" outlineLevel="0" collapsed="false">
      <c r="A50" s="2" t="s">
        <v>3817</v>
      </c>
      <c r="B50" s="11" t="s">
        <v>1882</v>
      </c>
      <c r="C50" s="11" t="s">
        <v>1514</v>
      </c>
      <c r="D50" s="11" t="s">
        <v>755</v>
      </c>
      <c r="E50" s="11" t="s">
        <v>258</v>
      </c>
      <c r="G50" s="11" t="s">
        <v>1144</v>
      </c>
      <c r="H50" s="11" t="s">
        <v>1145</v>
      </c>
      <c r="I50" s="11" t="s">
        <v>1144</v>
      </c>
      <c r="J50" s="11" t="s">
        <v>1145</v>
      </c>
      <c r="K50" s="11" t="s">
        <v>766</v>
      </c>
      <c r="L50" s="11" t="n">
        <v>1</v>
      </c>
      <c r="O50" s="11" t="s">
        <v>3123</v>
      </c>
    </row>
    <row r="51" customFormat="false" ht="15" hidden="false" customHeight="false" outlineLevel="0" collapsed="false">
      <c r="A51" s="2" t="s">
        <v>3818</v>
      </c>
      <c r="B51" s="11" t="s">
        <v>2221</v>
      </c>
      <c r="C51" s="11" t="s">
        <v>1514</v>
      </c>
      <c r="D51" s="11" t="s">
        <v>755</v>
      </c>
      <c r="E51" s="11" t="s">
        <v>258</v>
      </c>
      <c r="G51" s="11" t="s">
        <v>1144</v>
      </c>
      <c r="H51" s="11" t="s">
        <v>1145</v>
      </c>
      <c r="I51" s="11" t="s">
        <v>1144</v>
      </c>
      <c r="J51" s="11" t="s">
        <v>1145</v>
      </c>
      <c r="K51" s="11" t="s">
        <v>766</v>
      </c>
      <c r="L51" s="11" t="n">
        <v>1</v>
      </c>
      <c r="O51" s="11" t="s">
        <v>3123</v>
      </c>
    </row>
    <row r="52" customFormat="false" ht="15" hidden="false" customHeight="false" outlineLevel="0" collapsed="false">
      <c r="A52" s="2" t="s">
        <v>3819</v>
      </c>
      <c r="B52" s="11" t="s">
        <v>2230</v>
      </c>
      <c r="C52" s="11" t="s">
        <v>1516</v>
      </c>
      <c r="D52" s="11" t="s">
        <v>755</v>
      </c>
      <c r="E52" s="11" t="s">
        <v>258</v>
      </c>
      <c r="G52" s="11" t="s">
        <v>1144</v>
      </c>
      <c r="H52" s="11" t="s">
        <v>1145</v>
      </c>
      <c r="I52" s="11" t="s">
        <v>1144</v>
      </c>
      <c r="J52" s="11" t="s">
        <v>1145</v>
      </c>
      <c r="K52" s="11" t="s">
        <v>766</v>
      </c>
      <c r="L52" s="11" t="n">
        <v>1</v>
      </c>
      <c r="O52" s="11" t="s">
        <v>3123</v>
      </c>
    </row>
    <row r="53" customFormat="false" ht="15" hidden="false" customHeight="false" outlineLevel="0" collapsed="false">
      <c r="A53" s="2" t="s">
        <v>3820</v>
      </c>
      <c r="B53" s="11" t="s">
        <v>2236</v>
      </c>
      <c r="C53" s="11" t="s">
        <v>1516</v>
      </c>
      <c r="D53" s="11" t="s">
        <v>755</v>
      </c>
      <c r="E53" s="11" t="s">
        <v>258</v>
      </c>
      <c r="G53" s="11" t="s">
        <v>1144</v>
      </c>
      <c r="H53" s="11" t="s">
        <v>1145</v>
      </c>
      <c r="I53" s="11" t="s">
        <v>1144</v>
      </c>
      <c r="J53" s="11" t="s">
        <v>1145</v>
      </c>
      <c r="K53" s="11" t="s">
        <v>766</v>
      </c>
      <c r="L53" s="11" t="n">
        <v>1</v>
      </c>
      <c r="O53" s="11" t="s">
        <v>3123</v>
      </c>
    </row>
    <row r="54" customFormat="false" ht="15" hidden="false" customHeight="false" outlineLevel="0" collapsed="false">
      <c r="A54" s="2" t="s">
        <v>3821</v>
      </c>
      <c r="B54" s="11" t="s">
        <v>2242</v>
      </c>
      <c r="C54" s="11" t="s">
        <v>1514</v>
      </c>
      <c r="D54" s="11" t="s">
        <v>755</v>
      </c>
      <c r="E54" s="11" t="s">
        <v>258</v>
      </c>
      <c r="G54" s="11" t="s">
        <v>1144</v>
      </c>
      <c r="H54" s="11" t="s">
        <v>1145</v>
      </c>
      <c r="I54" s="11" t="s">
        <v>1144</v>
      </c>
      <c r="J54" s="11" t="s">
        <v>1145</v>
      </c>
      <c r="K54" s="11" t="s">
        <v>766</v>
      </c>
      <c r="L54" s="11" t="n">
        <v>1</v>
      </c>
      <c r="O54" s="11" t="s">
        <v>3123</v>
      </c>
    </row>
    <row r="55" customFormat="false" ht="15" hidden="false" customHeight="false" outlineLevel="0" collapsed="false">
      <c r="A55" s="2" t="s">
        <v>3822</v>
      </c>
      <c r="B55" s="11" t="s">
        <v>2242</v>
      </c>
      <c r="C55" s="11" t="s">
        <v>1516</v>
      </c>
      <c r="D55" s="11" t="s">
        <v>782</v>
      </c>
      <c r="E55" s="11" t="s">
        <v>272</v>
      </c>
      <c r="G55" s="11" t="s">
        <v>1144</v>
      </c>
      <c r="H55" s="11" t="s">
        <v>1145</v>
      </c>
      <c r="I55" s="11" t="s">
        <v>1144</v>
      </c>
      <c r="J55" s="11" t="s">
        <v>1145</v>
      </c>
      <c r="K55" s="11" t="s">
        <v>766</v>
      </c>
      <c r="L55" s="11" t="n">
        <v>1</v>
      </c>
      <c r="O55" s="11" t="s">
        <v>3123</v>
      </c>
    </row>
    <row r="56" customFormat="false" ht="15" hidden="false" customHeight="false" outlineLevel="0" collapsed="false">
      <c r="A56" s="2" t="s">
        <v>3823</v>
      </c>
      <c r="B56" s="11" t="s">
        <v>2242</v>
      </c>
      <c r="C56" s="11" t="s">
        <v>1519</v>
      </c>
      <c r="D56" s="11" t="s">
        <v>782</v>
      </c>
      <c r="E56" s="11" t="s">
        <v>272</v>
      </c>
      <c r="G56" s="11" t="s">
        <v>1144</v>
      </c>
      <c r="H56" s="11" t="s">
        <v>1145</v>
      </c>
      <c r="I56" s="11" t="s">
        <v>1144</v>
      </c>
      <c r="J56" s="11" t="s">
        <v>1145</v>
      </c>
      <c r="K56" s="11" t="s">
        <v>766</v>
      </c>
      <c r="L56" s="11" t="n">
        <v>1</v>
      </c>
      <c r="O56" s="11" t="s">
        <v>3123</v>
      </c>
    </row>
    <row r="57" customFormat="false" ht="15" hidden="false" customHeight="false" outlineLevel="0" collapsed="false">
      <c r="A57" s="2" t="s">
        <v>3824</v>
      </c>
      <c r="B57" s="11" t="s">
        <v>2248</v>
      </c>
      <c r="C57" s="11" t="s">
        <v>1514</v>
      </c>
      <c r="D57" s="11" t="s">
        <v>755</v>
      </c>
      <c r="E57" s="11" t="s">
        <v>258</v>
      </c>
      <c r="G57" s="11" t="s">
        <v>1144</v>
      </c>
      <c r="H57" s="11" t="s">
        <v>1145</v>
      </c>
      <c r="I57" s="11" t="s">
        <v>1144</v>
      </c>
      <c r="J57" s="11" t="s">
        <v>1145</v>
      </c>
      <c r="K57" s="11" t="s">
        <v>766</v>
      </c>
      <c r="L57" s="11" t="n">
        <v>1</v>
      </c>
      <c r="O57" s="11" t="s">
        <v>3123</v>
      </c>
    </row>
    <row r="58" customFormat="false" ht="15" hidden="false" customHeight="false" outlineLevel="0" collapsed="false">
      <c r="A58" s="2" t="s">
        <v>3825</v>
      </c>
      <c r="B58" s="11" t="s">
        <v>2254</v>
      </c>
      <c r="C58" s="11" t="s">
        <v>1514</v>
      </c>
      <c r="D58" s="11" t="s">
        <v>755</v>
      </c>
      <c r="E58" s="11" t="s">
        <v>258</v>
      </c>
      <c r="G58" s="11" t="s">
        <v>1144</v>
      </c>
      <c r="H58" s="11" t="s">
        <v>1145</v>
      </c>
      <c r="I58" s="11" t="s">
        <v>1144</v>
      </c>
      <c r="J58" s="11" t="s">
        <v>1145</v>
      </c>
      <c r="K58" s="11" t="s">
        <v>766</v>
      </c>
      <c r="L58" s="11" t="n">
        <v>1</v>
      </c>
      <c r="O58" s="11" t="s">
        <v>3123</v>
      </c>
    </row>
    <row r="59" customFormat="false" ht="15" hidden="false" customHeight="false" outlineLevel="0" collapsed="false">
      <c r="A59" s="2" t="s">
        <v>3826</v>
      </c>
      <c r="B59" s="11" t="s">
        <v>2260</v>
      </c>
      <c r="C59" s="11" t="s">
        <v>1514</v>
      </c>
      <c r="D59" s="11" t="s">
        <v>755</v>
      </c>
      <c r="E59" s="11" t="s">
        <v>258</v>
      </c>
      <c r="G59" s="11" t="s">
        <v>1144</v>
      </c>
      <c r="H59" s="11" t="s">
        <v>1145</v>
      </c>
      <c r="I59" s="11" t="s">
        <v>1144</v>
      </c>
      <c r="J59" s="11" t="s">
        <v>1145</v>
      </c>
      <c r="K59" s="11" t="s">
        <v>766</v>
      </c>
      <c r="L59" s="11" t="n">
        <v>1</v>
      </c>
      <c r="O59" s="11" t="s">
        <v>3123</v>
      </c>
    </row>
    <row r="60" customFormat="false" ht="15" hidden="false" customHeight="false" outlineLevel="0" collapsed="false">
      <c r="A60" s="2" t="s">
        <v>3827</v>
      </c>
      <c r="B60" s="11" t="s">
        <v>2260</v>
      </c>
      <c r="C60" s="11" t="s">
        <v>1516</v>
      </c>
      <c r="D60" s="11" t="s">
        <v>782</v>
      </c>
      <c r="E60" s="11" t="s">
        <v>272</v>
      </c>
      <c r="G60" s="11" t="s">
        <v>1144</v>
      </c>
      <c r="H60" s="11" t="s">
        <v>1145</v>
      </c>
      <c r="I60" s="11" t="s">
        <v>1144</v>
      </c>
      <c r="J60" s="11" t="s">
        <v>1145</v>
      </c>
      <c r="K60" s="11" t="s">
        <v>766</v>
      </c>
      <c r="L60" s="11" t="n">
        <v>1</v>
      </c>
      <c r="O60" s="11" t="s">
        <v>3123</v>
      </c>
    </row>
    <row r="61" customFormat="false" ht="15" hidden="false" customHeight="false" outlineLevel="0" collapsed="false">
      <c r="A61" s="2" t="s">
        <v>3828</v>
      </c>
      <c r="B61" s="11" t="s">
        <v>2260</v>
      </c>
      <c r="C61" s="11" t="s">
        <v>1519</v>
      </c>
      <c r="D61" s="11" t="s">
        <v>782</v>
      </c>
      <c r="E61" s="11" t="s">
        <v>272</v>
      </c>
      <c r="G61" s="11" t="s">
        <v>1144</v>
      </c>
      <c r="H61" s="11" t="s">
        <v>1145</v>
      </c>
      <c r="I61" s="11" t="s">
        <v>1144</v>
      </c>
      <c r="J61" s="11" t="s">
        <v>1145</v>
      </c>
      <c r="K61" s="11" t="s">
        <v>766</v>
      </c>
      <c r="L61" s="11" t="n">
        <v>1</v>
      </c>
      <c r="O61" s="11" t="s">
        <v>3123</v>
      </c>
    </row>
    <row r="62" customFormat="false" ht="15" hidden="false" customHeight="false" outlineLevel="0" collapsed="false">
      <c r="A62" s="2" t="s">
        <v>3829</v>
      </c>
      <c r="B62" s="11" t="s">
        <v>2265</v>
      </c>
      <c r="C62" s="11" t="s">
        <v>1514</v>
      </c>
      <c r="D62" s="11" t="s">
        <v>755</v>
      </c>
      <c r="E62" s="11" t="s">
        <v>258</v>
      </c>
      <c r="G62" s="11" t="s">
        <v>1144</v>
      </c>
      <c r="H62" s="11" t="s">
        <v>1145</v>
      </c>
      <c r="I62" s="11" t="s">
        <v>1144</v>
      </c>
      <c r="J62" s="11" t="s">
        <v>1145</v>
      </c>
      <c r="K62" s="11" t="s">
        <v>766</v>
      </c>
      <c r="L62" s="11" t="n">
        <v>1</v>
      </c>
      <c r="O62" s="11" t="s">
        <v>3123</v>
      </c>
    </row>
    <row r="63" customFormat="false" ht="15" hidden="false" customHeight="false" outlineLevel="0" collapsed="false">
      <c r="A63" s="2" t="s">
        <v>3830</v>
      </c>
      <c r="B63" s="11" t="s">
        <v>2265</v>
      </c>
      <c r="C63" s="11" t="s">
        <v>1516</v>
      </c>
      <c r="D63" s="11" t="s">
        <v>782</v>
      </c>
      <c r="E63" s="11" t="s">
        <v>272</v>
      </c>
      <c r="G63" s="11" t="s">
        <v>1144</v>
      </c>
      <c r="H63" s="11" t="s">
        <v>1145</v>
      </c>
      <c r="I63" s="11" t="s">
        <v>1144</v>
      </c>
      <c r="J63" s="11" t="s">
        <v>1145</v>
      </c>
      <c r="K63" s="11" t="s">
        <v>766</v>
      </c>
      <c r="L63" s="11" t="n">
        <v>1</v>
      </c>
      <c r="O63" s="11" t="s">
        <v>3123</v>
      </c>
    </row>
    <row r="64" customFormat="false" ht="15" hidden="false" customHeight="false" outlineLevel="0" collapsed="false">
      <c r="A64" s="2" t="s">
        <v>3831</v>
      </c>
      <c r="B64" s="11" t="s">
        <v>2265</v>
      </c>
      <c r="C64" s="11" t="s">
        <v>1519</v>
      </c>
      <c r="D64" s="11" t="s">
        <v>782</v>
      </c>
      <c r="E64" s="11" t="s">
        <v>272</v>
      </c>
      <c r="G64" s="11" t="s">
        <v>1144</v>
      </c>
      <c r="H64" s="11" t="s">
        <v>1145</v>
      </c>
      <c r="I64" s="11" t="s">
        <v>1144</v>
      </c>
      <c r="J64" s="11" t="s">
        <v>1145</v>
      </c>
      <c r="K64" s="11" t="s">
        <v>766</v>
      </c>
      <c r="L64" s="11" t="n">
        <v>1</v>
      </c>
      <c r="O64" s="11" t="s">
        <v>3123</v>
      </c>
    </row>
    <row r="65" customFormat="false" ht="15" hidden="false" customHeight="false" outlineLevel="0" collapsed="false">
      <c r="A65" s="2" t="s">
        <v>3832</v>
      </c>
      <c r="B65" s="11" t="s">
        <v>2271</v>
      </c>
      <c r="C65" s="11" t="s">
        <v>1514</v>
      </c>
      <c r="D65" s="11" t="s">
        <v>755</v>
      </c>
      <c r="E65" s="11" t="s">
        <v>258</v>
      </c>
      <c r="G65" s="11" t="s">
        <v>1144</v>
      </c>
      <c r="H65" s="11" t="s">
        <v>1145</v>
      </c>
      <c r="I65" s="11" t="s">
        <v>1144</v>
      </c>
      <c r="J65" s="11" t="s">
        <v>1145</v>
      </c>
      <c r="K65" s="11" t="s">
        <v>766</v>
      </c>
      <c r="L65" s="11" t="n">
        <v>1</v>
      </c>
      <c r="O65" s="11" t="s">
        <v>3123</v>
      </c>
    </row>
    <row r="66" customFormat="false" ht="15" hidden="false" customHeight="false" outlineLevel="0" collapsed="false">
      <c r="A66" s="2" t="s">
        <v>3833</v>
      </c>
      <c r="B66" s="11" t="s">
        <v>2277</v>
      </c>
      <c r="C66" s="11" t="s">
        <v>1514</v>
      </c>
      <c r="D66" s="11" t="s">
        <v>755</v>
      </c>
      <c r="E66" s="11" t="s">
        <v>258</v>
      </c>
      <c r="G66" s="11" t="s">
        <v>1144</v>
      </c>
      <c r="H66" s="11" t="s">
        <v>1145</v>
      </c>
      <c r="I66" s="11" t="s">
        <v>1144</v>
      </c>
      <c r="J66" s="11" t="s">
        <v>1145</v>
      </c>
      <c r="K66" s="11" t="s">
        <v>766</v>
      </c>
      <c r="L66" s="11" t="n">
        <v>1</v>
      </c>
      <c r="O66" s="11" t="s">
        <v>3123</v>
      </c>
    </row>
    <row r="67" customFormat="false" ht="15" hidden="false" customHeight="false" outlineLevel="0" collapsed="false">
      <c r="A67" s="2" t="s">
        <v>3834</v>
      </c>
      <c r="B67" s="11" t="s">
        <v>1845</v>
      </c>
      <c r="C67" s="11" t="s">
        <v>1514</v>
      </c>
      <c r="D67" s="11" t="s">
        <v>755</v>
      </c>
      <c r="E67" s="11" t="s">
        <v>258</v>
      </c>
      <c r="G67" s="11" t="s">
        <v>1144</v>
      </c>
      <c r="H67" s="11" t="s">
        <v>1145</v>
      </c>
      <c r="I67" s="11" t="s">
        <v>1144</v>
      </c>
      <c r="J67" s="11" t="s">
        <v>1145</v>
      </c>
      <c r="K67" s="11" t="s">
        <v>766</v>
      </c>
      <c r="L67" s="11" t="n">
        <v>1</v>
      </c>
      <c r="O67" s="11" t="s">
        <v>3123</v>
      </c>
    </row>
    <row r="68" customFormat="false" ht="15" hidden="false" customHeight="false" outlineLevel="0" collapsed="false">
      <c r="A68" s="2" t="s">
        <v>3835</v>
      </c>
      <c r="B68" s="11" t="s">
        <v>2287</v>
      </c>
      <c r="C68" s="11" t="s">
        <v>1516</v>
      </c>
      <c r="D68" s="11" t="s">
        <v>755</v>
      </c>
      <c r="E68" s="11" t="s">
        <v>258</v>
      </c>
      <c r="G68" s="11" t="s">
        <v>1144</v>
      </c>
      <c r="H68" s="11" t="s">
        <v>1145</v>
      </c>
      <c r="I68" s="11" t="s">
        <v>1144</v>
      </c>
      <c r="J68" s="11" t="s">
        <v>1145</v>
      </c>
      <c r="K68" s="11" t="s">
        <v>766</v>
      </c>
      <c r="L68" s="11" t="n">
        <v>1</v>
      </c>
      <c r="O68" s="11" t="s">
        <v>3123</v>
      </c>
    </row>
    <row r="69" customFormat="false" ht="15" hidden="false" customHeight="false" outlineLevel="0" collapsed="false">
      <c r="A69" s="2" t="s">
        <v>3836</v>
      </c>
      <c r="B69" s="11" t="s">
        <v>2294</v>
      </c>
      <c r="C69" s="11" t="s">
        <v>1514</v>
      </c>
      <c r="D69" s="11" t="s">
        <v>755</v>
      </c>
      <c r="E69" s="11" t="s">
        <v>258</v>
      </c>
      <c r="G69" s="11" t="s">
        <v>1144</v>
      </c>
      <c r="H69" s="11" t="s">
        <v>1145</v>
      </c>
      <c r="I69" s="11" t="s">
        <v>1144</v>
      </c>
      <c r="J69" s="11" t="s">
        <v>1145</v>
      </c>
      <c r="K69" s="11" t="s">
        <v>766</v>
      </c>
      <c r="L69" s="11" t="n">
        <v>1</v>
      </c>
      <c r="O69" s="11" t="s">
        <v>3123</v>
      </c>
    </row>
    <row r="70" customFormat="false" ht="15" hidden="false" customHeight="false" outlineLevel="0" collapsed="false">
      <c r="A70" s="2" t="s">
        <v>3837</v>
      </c>
      <c r="B70" s="11" t="s">
        <v>2299</v>
      </c>
      <c r="C70" s="11" t="s">
        <v>1514</v>
      </c>
      <c r="D70" s="11" t="s">
        <v>755</v>
      </c>
      <c r="E70" s="11" t="s">
        <v>258</v>
      </c>
      <c r="G70" s="11" t="s">
        <v>1144</v>
      </c>
      <c r="H70" s="11" t="s">
        <v>1145</v>
      </c>
      <c r="I70" s="11" t="s">
        <v>1144</v>
      </c>
      <c r="J70" s="11" t="s">
        <v>1145</v>
      </c>
      <c r="K70" s="11" t="s">
        <v>766</v>
      </c>
      <c r="L70" s="11" t="n">
        <v>1</v>
      </c>
      <c r="O70" s="11" t="s">
        <v>3123</v>
      </c>
    </row>
    <row r="71" customFormat="false" ht="15" hidden="false" customHeight="false" outlineLevel="0" collapsed="false">
      <c r="A71" s="2" t="s">
        <v>3838</v>
      </c>
      <c r="B71" s="11" t="s">
        <v>2305</v>
      </c>
      <c r="C71" s="11" t="s">
        <v>1514</v>
      </c>
      <c r="D71" s="11" t="s">
        <v>755</v>
      </c>
      <c r="E71" s="11" t="s">
        <v>258</v>
      </c>
      <c r="G71" s="11" t="s">
        <v>1144</v>
      </c>
      <c r="H71" s="11" t="s">
        <v>1145</v>
      </c>
      <c r="I71" s="11" t="s">
        <v>1144</v>
      </c>
      <c r="J71" s="11" t="s">
        <v>1145</v>
      </c>
      <c r="K71" s="11" t="s">
        <v>766</v>
      </c>
      <c r="L71" s="11" t="n">
        <v>1</v>
      </c>
      <c r="O71" s="11" t="s">
        <v>3123</v>
      </c>
    </row>
    <row r="72" customFormat="false" ht="15" hidden="false" customHeight="false" outlineLevel="0" collapsed="false">
      <c r="A72" s="2" t="s">
        <v>3839</v>
      </c>
      <c r="B72" s="11" t="s">
        <v>2305</v>
      </c>
      <c r="C72" s="11" t="s">
        <v>1516</v>
      </c>
      <c r="D72" s="11" t="s">
        <v>782</v>
      </c>
      <c r="E72" s="11" t="s">
        <v>272</v>
      </c>
      <c r="G72" s="11" t="s">
        <v>1144</v>
      </c>
      <c r="H72" s="11" t="s">
        <v>1145</v>
      </c>
      <c r="I72" s="11" t="s">
        <v>1144</v>
      </c>
      <c r="J72" s="11" t="s">
        <v>1145</v>
      </c>
      <c r="K72" s="11" t="s">
        <v>766</v>
      </c>
      <c r="L72" s="11" t="n">
        <v>1</v>
      </c>
      <c r="O72" s="11" t="s">
        <v>3123</v>
      </c>
    </row>
    <row r="73" customFormat="false" ht="15" hidden="false" customHeight="false" outlineLevel="0" collapsed="false">
      <c r="A73" s="2" t="s">
        <v>3840</v>
      </c>
      <c r="B73" s="11" t="s">
        <v>2305</v>
      </c>
      <c r="C73" s="11" t="s">
        <v>1519</v>
      </c>
      <c r="D73" s="11" t="s">
        <v>782</v>
      </c>
      <c r="E73" s="11" t="s">
        <v>272</v>
      </c>
      <c r="G73" s="11" t="s">
        <v>1144</v>
      </c>
      <c r="H73" s="11" t="s">
        <v>1145</v>
      </c>
      <c r="I73" s="11" t="s">
        <v>1144</v>
      </c>
      <c r="J73" s="11" t="s">
        <v>1145</v>
      </c>
      <c r="K73" s="11" t="s">
        <v>766</v>
      </c>
      <c r="L73" s="11" t="n">
        <v>1</v>
      </c>
      <c r="O73" s="11" t="s">
        <v>3123</v>
      </c>
    </row>
    <row r="74" customFormat="false" ht="15" hidden="false" customHeight="false" outlineLevel="0" collapsed="false">
      <c r="A74" s="2" t="s">
        <v>3841</v>
      </c>
      <c r="B74" s="11" t="s">
        <v>2311</v>
      </c>
      <c r="C74" s="11" t="s">
        <v>1514</v>
      </c>
      <c r="D74" s="11" t="s">
        <v>755</v>
      </c>
      <c r="E74" s="11" t="s">
        <v>258</v>
      </c>
      <c r="G74" s="11" t="s">
        <v>1144</v>
      </c>
      <c r="H74" s="11" t="s">
        <v>1145</v>
      </c>
      <c r="I74" s="11" t="s">
        <v>1144</v>
      </c>
      <c r="J74" s="11" t="s">
        <v>1145</v>
      </c>
      <c r="K74" s="11" t="s">
        <v>766</v>
      </c>
      <c r="L74" s="11" t="n">
        <v>1</v>
      </c>
      <c r="O74" s="11" t="s">
        <v>3123</v>
      </c>
    </row>
    <row r="75" customFormat="false" ht="15" hidden="false" customHeight="false" outlineLevel="0" collapsed="false">
      <c r="A75" s="2" t="s">
        <v>3842</v>
      </c>
      <c r="B75" s="11" t="s">
        <v>2311</v>
      </c>
      <c r="C75" s="11" t="s">
        <v>1516</v>
      </c>
      <c r="D75" s="11" t="s">
        <v>782</v>
      </c>
      <c r="E75" s="11" t="s">
        <v>272</v>
      </c>
      <c r="G75" s="11" t="s">
        <v>1144</v>
      </c>
      <c r="H75" s="11" t="s">
        <v>1145</v>
      </c>
      <c r="I75" s="11" t="s">
        <v>1144</v>
      </c>
      <c r="J75" s="11" t="s">
        <v>1145</v>
      </c>
      <c r="K75" s="11" t="s">
        <v>766</v>
      </c>
      <c r="L75" s="11" t="n">
        <v>1</v>
      </c>
      <c r="O75" s="11" t="s">
        <v>3123</v>
      </c>
    </row>
    <row r="76" customFormat="false" ht="15" hidden="false" customHeight="false" outlineLevel="0" collapsed="false">
      <c r="A76" s="2" t="s">
        <v>3843</v>
      </c>
      <c r="B76" s="11" t="s">
        <v>2311</v>
      </c>
      <c r="C76" s="11" t="s">
        <v>1519</v>
      </c>
      <c r="D76" s="11" t="s">
        <v>782</v>
      </c>
      <c r="E76" s="11" t="s">
        <v>272</v>
      </c>
      <c r="G76" s="11" t="s">
        <v>1144</v>
      </c>
      <c r="H76" s="11" t="s">
        <v>1145</v>
      </c>
      <c r="I76" s="11" t="s">
        <v>1144</v>
      </c>
      <c r="J76" s="11" t="s">
        <v>1145</v>
      </c>
      <c r="K76" s="11" t="s">
        <v>766</v>
      </c>
      <c r="L76" s="11" t="n">
        <v>1</v>
      </c>
      <c r="O76" s="11" t="s">
        <v>3123</v>
      </c>
    </row>
    <row r="77" customFormat="false" ht="15" hidden="false" customHeight="false" outlineLevel="0" collapsed="false">
      <c r="A77" s="2" t="s">
        <v>3844</v>
      </c>
      <c r="B77" s="11" t="s">
        <v>2317</v>
      </c>
      <c r="C77" s="11" t="s">
        <v>1514</v>
      </c>
      <c r="D77" s="11" t="s">
        <v>755</v>
      </c>
      <c r="E77" s="11" t="s">
        <v>258</v>
      </c>
      <c r="G77" s="11" t="s">
        <v>1144</v>
      </c>
      <c r="H77" s="11" t="s">
        <v>1145</v>
      </c>
      <c r="I77" s="11" t="s">
        <v>1144</v>
      </c>
      <c r="J77" s="11" t="s">
        <v>1145</v>
      </c>
      <c r="K77" s="11" t="s">
        <v>766</v>
      </c>
      <c r="L77" s="11" t="n">
        <v>1</v>
      </c>
      <c r="O77" s="11" t="s">
        <v>3123</v>
      </c>
    </row>
    <row r="78" customFormat="false" ht="15" hidden="false" customHeight="false" outlineLevel="0" collapsed="false">
      <c r="A78" s="2" t="s">
        <v>3845</v>
      </c>
      <c r="B78" s="11" t="s">
        <v>2322</v>
      </c>
      <c r="C78" s="11" t="s">
        <v>1514</v>
      </c>
      <c r="D78" s="11" t="s">
        <v>755</v>
      </c>
      <c r="E78" s="11" t="s">
        <v>258</v>
      </c>
      <c r="G78" s="11" t="s">
        <v>1144</v>
      </c>
      <c r="H78" s="11" t="s">
        <v>1145</v>
      </c>
      <c r="I78" s="11" t="s">
        <v>1144</v>
      </c>
      <c r="J78" s="11" t="s">
        <v>1145</v>
      </c>
      <c r="K78" s="11" t="s">
        <v>766</v>
      </c>
      <c r="L78" s="11" t="n">
        <v>1</v>
      </c>
      <c r="O78" s="11" t="s">
        <v>3123</v>
      </c>
    </row>
    <row r="79" customFormat="false" ht="15" hidden="false" customHeight="false" outlineLevel="0" collapsed="false">
      <c r="A79" s="2" t="s">
        <v>3846</v>
      </c>
      <c r="B79" s="11" t="s">
        <v>2329</v>
      </c>
      <c r="C79" s="11" t="s">
        <v>1514</v>
      </c>
      <c r="D79" s="11" t="s">
        <v>755</v>
      </c>
      <c r="E79" s="11" t="s">
        <v>258</v>
      </c>
      <c r="G79" s="11" t="s">
        <v>1144</v>
      </c>
      <c r="H79" s="11" t="s">
        <v>1145</v>
      </c>
      <c r="I79" s="11" t="s">
        <v>1144</v>
      </c>
      <c r="J79" s="11" t="s">
        <v>1145</v>
      </c>
      <c r="K79" s="11" t="s">
        <v>766</v>
      </c>
      <c r="L79" s="11" t="n">
        <v>1</v>
      </c>
      <c r="O79" s="11" t="s">
        <v>3123</v>
      </c>
    </row>
    <row r="80" customFormat="false" ht="15" hidden="false" customHeight="false" outlineLevel="0" collapsed="false">
      <c r="A80" s="2" t="s">
        <v>3847</v>
      </c>
      <c r="B80" s="11" t="s">
        <v>2335</v>
      </c>
      <c r="C80" s="11" t="s">
        <v>1516</v>
      </c>
      <c r="D80" s="11" t="s">
        <v>755</v>
      </c>
      <c r="E80" s="11" t="s">
        <v>258</v>
      </c>
      <c r="G80" s="11" t="s">
        <v>1144</v>
      </c>
      <c r="H80" s="11" t="s">
        <v>1145</v>
      </c>
      <c r="I80" s="11" t="s">
        <v>1144</v>
      </c>
      <c r="J80" s="11" t="s">
        <v>1145</v>
      </c>
      <c r="K80" s="11" t="s">
        <v>766</v>
      </c>
      <c r="L80" s="11" t="n">
        <v>1</v>
      </c>
      <c r="O80" s="11" t="s">
        <v>3123</v>
      </c>
    </row>
    <row r="81" customFormat="false" ht="15" hidden="false" customHeight="false" outlineLevel="0" collapsed="false">
      <c r="A81" s="2" t="s">
        <v>3848</v>
      </c>
      <c r="B81" s="11" t="s">
        <v>2340</v>
      </c>
      <c r="C81" s="11" t="s">
        <v>1514</v>
      </c>
      <c r="D81" s="11" t="s">
        <v>755</v>
      </c>
      <c r="E81" s="11" t="s">
        <v>258</v>
      </c>
      <c r="G81" s="11" t="s">
        <v>1144</v>
      </c>
      <c r="H81" s="11" t="s">
        <v>1145</v>
      </c>
      <c r="I81" s="11" t="s">
        <v>1144</v>
      </c>
      <c r="J81" s="11" t="s">
        <v>1145</v>
      </c>
      <c r="K81" s="11" t="s">
        <v>766</v>
      </c>
      <c r="L81" s="11" t="n">
        <v>1</v>
      </c>
      <c r="O81" s="11" t="s">
        <v>3123</v>
      </c>
    </row>
    <row r="82" customFormat="false" ht="15" hidden="false" customHeight="false" outlineLevel="0" collapsed="false">
      <c r="A82" s="2" t="s">
        <v>3849</v>
      </c>
      <c r="B82" s="11" t="s">
        <v>2345</v>
      </c>
      <c r="C82" s="11" t="s">
        <v>1514</v>
      </c>
      <c r="D82" s="11" t="s">
        <v>755</v>
      </c>
      <c r="E82" s="11" t="s">
        <v>258</v>
      </c>
      <c r="G82" s="11" t="s">
        <v>1144</v>
      </c>
      <c r="H82" s="11" t="s">
        <v>1145</v>
      </c>
      <c r="I82" s="11" t="s">
        <v>1144</v>
      </c>
      <c r="J82" s="11" t="s">
        <v>1145</v>
      </c>
      <c r="K82" s="11" t="s">
        <v>766</v>
      </c>
      <c r="L82" s="11" t="n">
        <v>1</v>
      </c>
      <c r="O82" s="11" t="s">
        <v>3123</v>
      </c>
    </row>
    <row r="83" customFormat="false" ht="15" hidden="false" customHeight="false" outlineLevel="0" collapsed="false">
      <c r="A83" s="2" t="s">
        <v>3850</v>
      </c>
      <c r="B83" s="11" t="s">
        <v>2345</v>
      </c>
      <c r="C83" s="11" t="s">
        <v>1516</v>
      </c>
      <c r="D83" s="11" t="s">
        <v>782</v>
      </c>
      <c r="E83" s="11" t="s">
        <v>272</v>
      </c>
      <c r="G83" s="11" t="s">
        <v>1144</v>
      </c>
      <c r="H83" s="11" t="s">
        <v>1145</v>
      </c>
      <c r="I83" s="11" t="s">
        <v>1144</v>
      </c>
      <c r="J83" s="11" t="s">
        <v>1145</v>
      </c>
      <c r="K83" s="11" t="s">
        <v>766</v>
      </c>
      <c r="L83" s="11" t="n">
        <v>1</v>
      </c>
      <c r="O83" s="11" t="s">
        <v>3123</v>
      </c>
    </row>
    <row r="84" customFormat="false" ht="15" hidden="false" customHeight="false" outlineLevel="0" collapsed="false">
      <c r="A84" s="2" t="s">
        <v>3851</v>
      </c>
      <c r="B84" s="11" t="s">
        <v>2345</v>
      </c>
      <c r="C84" s="11" t="s">
        <v>1519</v>
      </c>
      <c r="D84" s="11" t="s">
        <v>782</v>
      </c>
      <c r="E84" s="11" t="s">
        <v>272</v>
      </c>
      <c r="G84" s="11" t="s">
        <v>1144</v>
      </c>
      <c r="H84" s="11" t="s">
        <v>1145</v>
      </c>
      <c r="I84" s="11" t="s">
        <v>1144</v>
      </c>
      <c r="J84" s="11" t="s">
        <v>1145</v>
      </c>
      <c r="K84" s="11" t="s">
        <v>766</v>
      </c>
      <c r="L84" s="11" t="n">
        <v>1</v>
      </c>
      <c r="O84" s="11" t="s">
        <v>3123</v>
      </c>
    </row>
    <row r="85" customFormat="false" ht="15" hidden="false" customHeight="false" outlineLevel="0" collapsed="false">
      <c r="A85" s="2" t="s">
        <v>3852</v>
      </c>
      <c r="B85" s="11" t="s">
        <v>2352</v>
      </c>
      <c r="C85" s="11" t="s">
        <v>1514</v>
      </c>
      <c r="D85" s="11" t="s">
        <v>755</v>
      </c>
      <c r="E85" s="11" t="s">
        <v>258</v>
      </c>
      <c r="G85" s="11" t="s">
        <v>1144</v>
      </c>
      <c r="H85" s="11" t="s">
        <v>1145</v>
      </c>
      <c r="I85" s="11" t="s">
        <v>1144</v>
      </c>
      <c r="J85" s="11" t="s">
        <v>1145</v>
      </c>
      <c r="K85" s="11" t="s">
        <v>766</v>
      </c>
      <c r="L85" s="11" t="n">
        <v>1</v>
      </c>
      <c r="O85" s="11" t="s">
        <v>3123</v>
      </c>
    </row>
    <row r="86" customFormat="false" ht="15" hidden="false" customHeight="false" outlineLevel="0" collapsed="false">
      <c r="A86" s="2" t="s">
        <v>3853</v>
      </c>
      <c r="B86" s="11" t="s">
        <v>2352</v>
      </c>
      <c r="C86" s="11" t="s">
        <v>1516</v>
      </c>
      <c r="D86" s="11" t="s">
        <v>782</v>
      </c>
      <c r="E86" s="11" t="s">
        <v>272</v>
      </c>
      <c r="G86" s="11" t="s">
        <v>1144</v>
      </c>
      <c r="H86" s="11" t="s">
        <v>1145</v>
      </c>
      <c r="I86" s="11" t="s">
        <v>1144</v>
      </c>
      <c r="J86" s="11" t="s">
        <v>1145</v>
      </c>
      <c r="K86" s="11" t="s">
        <v>766</v>
      </c>
      <c r="L86" s="11" t="n">
        <v>1</v>
      </c>
      <c r="O86" s="11" t="s">
        <v>3123</v>
      </c>
    </row>
    <row r="87" customFormat="false" ht="15" hidden="false" customHeight="false" outlineLevel="0" collapsed="false">
      <c r="A87" s="2" t="s">
        <v>3854</v>
      </c>
      <c r="B87" s="11" t="s">
        <v>2352</v>
      </c>
      <c r="C87" s="11" t="s">
        <v>1519</v>
      </c>
      <c r="D87" s="11" t="s">
        <v>782</v>
      </c>
      <c r="E87" s="11" t="s">
        <v>272</v>
      </c>
      <c r="G87" s="11" t="s">
        <v>1144</v>
      </c>
      <c r="H87" s="11" t="s">
        <v>1145</v>
      </c>
      <c r="I87" s="11" t="s">
        <v>1144</v>
      </c>
      <c r="J87" s="11" t="s">
        <v>1145</v>
      </c>
      <c r="K87" s="11" t="s">
        <v>766</v>
      </c>
      <c r="L87" s="11" t="n">
        <v>1</v>
      </c>
      <c r="O87" s="11" t="s">
        <v>3123</v>
      </c>
    </row>
    <row r="88" customFormat="false" ht="15" hidden="false" customHeight="false" outlineLevel="0" collapsed="false">
      <c r="A88" s="2" t="s">
        <v>3855</v>
      </c>
      <c r="B88" s="11" t="s">
        <v>2359</v>
      </c>
      <c r="C88" s="11" t="s">
        <v>1516</v>
      </c>
      <c r="D88" s="11" t="s">
        <v>755</v>
      </c>
      <c r="E88" s="11" t="s">
        <v>258</v>
      </c>
      <c r="G88" s="11" t="s">
        <v>1144</v>
      </c>
      <c r="H88" s="11" t="s">
        <v>1145</v>
      </c>
      <c r="I88" s="11" t="s">
        <v>1144</v>
      </c>
      <c r="J88" s="11" t="s">
        <v>1145</v>
      </c>
      <c r="K88" s="11" t="s">
        <v>766</v>
      </c>
      <c r="L88" s="11" t="n">
        <v>1</v>
      </c>
      <c r="O88" s="11" t="s">
        <v>3123</v>
      </c>
    </row>
    <row r="89" customFormat="false" ht="15" hidden="false" customHeight="false" outlineLevel="0" collapsed="false">
      <c r="A89" s="2" t="s">
        <v>3856</v>
      </c>
      <c r="B89" s="11" t="s">
        <v>2366</v>
      </c>
      <c r="C89" s="11" t="s">
        <v>1519</v>
      </c>
      <c r="D89" s="11" t="s">
        <v>755</v>
      </c>
      <c r="E89" s="11" t="s">
        <v>258</v>
      </c>
      <c r="G89" s="11" t="s">
        <v>1144</v>
      </c>
      <c r="H89" s="11" t="s">
        <v>1145</v>
      </c>
      <c r="I89" s="11" t="s">
        <v>1144</v>
      </c>
      <c r="J89" s="11" t="s">
        <v>1145</v>
      </c>
      <c r="K89" s="11" t="s">
        <v>766</v>
      </c>
      <c r="L89" s="11" t="n">
        <v>1</v>
      </c>
      <c r="O89" s="11" t="s">
        <v>3123</v>
      </c>
    </row>
    <row r="90" customFormat="false" ht="15" hidden="false" customHeight="false" outlineLevel="0" collapsed="false">
      <c r="A90" s="2" t="s">
        <v>3857</v>
      </c>
      <c r="B90" s="11" t="s">
        <v>2373</v>
      </c>
      <c r="C90" s="11" t="s">
        <v>1516</v>
      </c>
      <c r="D90" s="11" t="s">
        <v>755</v>
      </c>
      <c r="E90" s="11" t="s">
        <v>258</v>
      </c>
      <c r="G90" s="11" t="s">
        <v>1144</v>
      </c>
      <c r="H90" s="11" t="s">
        <v>1145</v>
      </c>
      <c r="I90" s="11" t="s">
        <v>1144</v>
      </c>
      <c r="J90" s="11" t="s">
        <v>1145</v>
      </c>
      <c r="K90" s="11" t="s">
        <v>766</v>
      </c>
      <c r="L90" s="11" t="n">
        <v>1</v>
      </c>
      <c r="O90" s="11" t="s">
        <v>3123</v>
      </c>
    </row>
    <row r="91" customFormat="false" ht="15" hidden="false" customHeight="false" outlineLevel="0" collapsed="false">
      <c r="A91" s="2" t="s">
        <v>3858</v>
      </c>
      <c r="B91" s="11" t="s">
        <v>2380</v>
      </c>
      <c r="C91" s="11" t="s">
        <v>1516</v>
      </c>
      <c r="D91" s="11" t="s">
        <v>755</v>
      </c>
      <c r="E91" s="11" t="s">
        <v>258</v>
      </c>
      <c r="G91" s="11" t="s">
        <v>1144</v>
      </c>
      <c r="H91" s="11" t="s">
        <v>1145</v>
      </c>
      <c r="I91" s="11" t="s">
        <v>1144</v>
      </c>
      <c r="J91" s="11" t="s">
        <v>1145</v>
      </c>
      <c r="K91" s="11" t="s">
        <v>766</v>
      </c>
      <c r="L91" s="11" t="n">
        <v>1</v>
      </c>
      <c r="O91" s="11" t="s">
        <v>3123</v>
      </c>
    </row>
    <row r="92" customFormat="false" ht="15" hidden="false" customHeight="false" outlineLevel="0" collapsed="false">
      <c r="A92" s="2" t="s">
        <v>3859</v>
      </c>
      <c r="B92" s="11" t="s">
        <v>2387</v>
      </c>
      <c r="C92" s="11" t="s">
        <v>1519</v>
      </c>
      <c r="D92" s="11" t="s">
        <v>755</v>
      </c>
      <c r="E92" s="11" t="s">
        <v>258</v>
      </c>
      <c r="G92" s="11" t="s">
        <v>1144</v>
      </c>
      <c r="H92" s="11" t="s">
        <v>1145</v>
      </c>
      <c r="I92" s="11" t="s">
        <v>1144</v>
      </c>
      <c r="J92" s="11" t="s">
        <v>1145</v>
      </c>
      <c r="K92" s="11" t="s">
        <v>766</v>
      </c>
      <c r="L92" s="11" t="n">
        <v>1</v>
      </c>
      <c r="O92" s="11" t="s">
        <v>3123</v>
      </c>
    </row>
    <row r="93" customFormat="false" ht="15" hidden="false" customHeight="false" outlineLevel="0" collapsed="false">
      <c r="A93" s="2" t="s">
        <v>3860</v>
      </c>
      <c r="B93" s="11" t="s">
        <v>2394</v>
      </c>
      <c r="C93" s="11" t="s">
        <v>1514</v>
      </c>
      <c r="D93" s="11" t="s">
        <v>755</v>
      </c>
      <c r="E93" s="11" t="s">
        <v>258</v>
      </c>
      <c r="G93" s="11" t="s">
        <v>1144</v>
      </c>
      <c r="H93" s="11" t="s">
        <v>1145</v>
      </c>
      <c r="I93" s="11" t="s">
        <v>1144</v>
      </c>
      <c r="J93" s="11" t="s">
        <v>1145</v>
      </c>
      <c r="K93" s="11" t="s">
        <v>766</v>
      </c>
      <c r="L93" s="11" t="n">
        <v>1</v>
      </c>
      <c r="O93" s="11" t="s">
        <v>3123</v>
      </c>
    </row>
    <row r="94" customFormat="false" ht="15" hidden="false" customHeight="false" outlineLevel="0" collapsed="false">
      <c r="A94" s="2" t="s">
        <v>3861</v>
      </c>
      <c r="B94" s="11" t="s">
        <v>2394</v>
      </c>
      <c r="C94" s="11" t="s">
        <v>1516</v>
      </c>
      <c r="D94" s="11" t="s">
        <v>782</v>
      </c>
      <c r="E94" s="11" t="s">
        <v>272</v>
      </c>
      <c r="G94" s="11" t="s">
        <v>1144</v>
      </c>
      <c r="H94" s="11" t="s">
        <v>1145</v>
      </c>
      <c r="I94" s="11" t="s">
        <v>1144</v>
      </c>
      <c r="J94" s="11" t="s">
        <v>1145</v>
      </c>
      <c r="K94" s="11" t="s">
        <v>766</v>
      </c>
      <c r="L94" s="11" t="n">
        <v>1</v>
      </c>
      <c r="O94" s="11" t="s">
        <v>3123</v>
      </c>
    </row>
    <row r="95" customFormat="false" ht="15" hidden="false" customHeight="false" outlineLevel="0" collapsed="false">
      <c r="A95" s="2" t="s">
        <v>3862</v>
      </c>
      <c r="B95" s="11" t="s">
        <v>2394</v>
      </c>
      <c r="C95" s="11" t="s">
        <v>1519</v>
      </c>
      <c r="D95" s="11" t="s">
        <v>782</v>
      </c>
      <c r="E95" s="11" t="s">
        <v>272</v>
      </c>
      <c r="G95" s="11" t="s">
        <v>1144</v>
      </c>
      <c r="H95" s="11" t="s">
        <v>1145</v>
      </c>
      <c r="I95" s="11" t="s">
        <v>1144</v>
      </c>
      <c r="J95" s="11" t="s">
        <v>1145</v>
      </c>
      <c r="K95" s="11" t="s">
        <v>766</v>
      </c>
      <c r="L95" s="11" t="n">
        <v>1</v>
      </c>
      <c r="O95" s="11" t="s">
        <v>3123</v>
      </c>
    </row>
    <row r="96" customFormat="false" ht="15" hidden="false" customHeight="false" outlineLevel="0" collapsed="false">
      <c r="A96" s="2" t="s">
        <v>3863</v>
      </c>
      <c r="B96" s="11" t="s">
        <v>2401</v>
      </c>
      <c r="C96" s="11" t="s">
        <v>1514</v>
      </c>
      <c r="D96" s="11" t="s">
        <v>755</v>
      </c>
      <c r="E96" s="11" t="s">
        <v>258</v>
      </c>
      <c r="G96" s="11" t="s">
        <v>1144</v>
      </c>
      <c r="H96" s="11" t="s">
        <v>1145</v>
      </c>
      <c r="I96" s="11" t="s">
        <v>1144</v>
      </c>
      <c r="J96" s="11" t="s">
        <v>1145</v>
      </c>
      <c r="K96" s="11" t="s">
        <v>766</v>
      </c>
      <c r="L96" s="11" t="n">
        <v>1</v>
      </c>
      <c r="O96" s="11" t="s">
        <v>3123</v>
      </c>
    </row>
    <row r="97" customFormat="false" ht="15" hidden="false" customHeight="false" outlineLevel="0" collapsed="false">
      <c r="A97" s="2" t="s">
        <v>3864</v>
      </c>
      <c r="B97" s="11" t="s">
        <v>2408</v>
      </c>
      <c r="C97" s="11" t="s">
        <v>1514</v>
      </c>
      <c r="D97" s="11" t="s">
        <v>755</v>
      </c>
      <c r="E97" s="11" t="s">
        <v>258</v>
      </c>
      <c r="G97" s="11" t="s">
        <v>1144</v>
      </c>
      <c r="H97" s="11" t="s">
        <v>1145</v>
      </c>
      <c r="I97" s="11" t="s">
        <v>1144</v>
      </c>
      <c r="J97" s="11" t="s">
        <v>1145</v>
      </c>
      <c r="K97" s="11" t="s">
        <v>766</v>
      </c>
      <c r="L97" s="11" t="n">
        <v>1</v>
      </c>
      <c r="O97" s="11" t="s">
        <v>3123</v>
      </c>
    </row>
    <row r="98" customFormat="false" ht="15" hidden="false" customHeight="false" outlineLevel="0" collapsed="false">
      <c r="A98" s="2" t="s">
        <v>3865</v>
      </c>
      <c r="B98" s="11" t="s">
        <v>2415</v>
      </c>
      <c r="C98" s="11" t="s">
        <v>1514</v>
      </c>
      <c r="D98" s="11" t="s">
        <v>755</v>
      </c>
      <c r="E98" s="11" t="s">
        <v>258</v>
      </c>
      <c r="G98" s="11" t="s">
        <v>1144</v>
      </c>
      <c r="H98" s="11" t="s">
        <v>1145</v>
      </c>
      <c r="I98" s="11" t="s">
        <v>1144</v>
      </c>
      <c r="J98" s="11" t="s">
        <v>1145</v>
      </c>
      <c r="K98" s="11" t="s">
        <v>766</v>
      </c>
      <c r="L98" s="11" t="n">
        <v>1</v>
      </c>
      <c r="O98" s="11" t="s">
        <v>3123</v>
      </c>
    </row>
    <row r="99" customFormat="false" ht="15" hidden="false" customHeight="false" outlineLevel="0" collapsed="false">
      <c r="A99" s="2" t="s">
        <v>3866</v>
      </c>
      <c r="B99" s="11" t="s">
        <v>2415</v>
      </c>
      <c r="C99" s="11" t="s">
        <v>1516</v>
      </c>
      <c r="D99" s="11" t="s">
        <v>782</v>
      </c>
      <c r="E99" s="11" t="s">
        <v>272</v>
      </c>
      <c r="G99" s="11" t="s">
        <v>1144</v>
      </c>
      <c r="H99" s="11" t="s">
        <v>1145</v>
      </c>
      <c r="I99" s="11" t="s">
        <v>1144</v>
      </c>
      <c r="J99" s="11" t="s">
        <v>1145</v>
      </c>
      <c r="K99" s="11" t="s">
        <v>766</v>
      </c>
      <c r="L99" s="11" t="n">
        <v>1</v>
      </c>
      <c r="O99" s="11" t="s">
        <v>3123</v>
      </c>
    </row>
    <row r="100" customFormat="false" ht="15" hidden="false" customHeight="false" outlineLevel="0" collapsed="false">
      <c r="A100" s="2" t="s">
        <v>3867</v>
      </c>
      <c r="B100" s="11" t="s">
        <v>2415</v>
      </c>
      <c r="C100" s="11" t="s">
        <v>1519</v>
      </c>
      <c r="D100" s="11" t="s">
        <v>782</v>
      </c>
      <c r="E100" s="11" t="s">
        <v>272</v>
      </c>
      <c r="G100" s="11" t="s">
        <v>1144</v>
      </c>
      <c r="H100" s="11" t="s">
        <v>1145</v>
      </c>
      <c r="I100" s="11" t="s">
        <v>1144</v>
      </c>
      <c r="J100" s="11" t="s">
        <v>1145</v>
      </c>
      <c r="K100" s="11" t="s">
        <v>766</v>
      </c>
      <c r="L100" s="11" t="n">
        <v>1</v>
      </c>
      <c r="O100" s="11" t="s">
        <v>3123</v>
      </c>
    </row>
    <row r="101" customFormat="false" ht="15" hidden="false" customHeight="false" outlineLevel="0" collapsed="false">
      <c r="A101" s="2" t="s">
        <v>3868</v>
      </c>
      <c r="B101" s="11" t="s">
        <v>2422</v>
      </c>
      <c r="C101" s="11" t="s">
        <v>1514</v>
      </c>
      <c r="D101" s="11" t="s">
        <v>755</v>
      </c>
      <c r="E101" s="11" t="s">
        <v>258</v>
      </c>
      <c r="G101" s="11" t="s">
        <v>1144</v>
      </c>
      <c r="H101" s="11" t="s">
        <v>1145</v>
      </c>
      <c r="I101" s="11" t="s">
        <v>1144</v>
      </c>
      <c r="J101" s="11" t="s">
        <v>1145</v>
      </c>
      <c r="K101" s="11" t="s">
        <v>766</v>
      </c>
      <c r="L101" s="11" t="n">
        <v>1</v>
      </c>
      <c r="O101" s="11" t="s">
        <v>3123</v>
      </c>
    </row>
    <row r="102" customFormat="false" ht="15" hidden="false" customHeight="false" outlineLevel="0" collapsed="false">
      <c r="A102" s="2" t="s">
        <v>3869</v>
      </c>
      <c r="B102" s="11" t="s">
        <v>2422</v>
      </c>
      <c r="C102" s="11" t="s">
        <v>1516</v>
      </c>
      <c r="D102" s="11" t="s">
        <v>782</v>
      </c>
      <c r="E102" s="11" t="s">
        <v>272</v>
      </c>
      <c r="G102" s="11" t="s">
        <v>1144</v>
      </c>
      <c r="H102" s="11" t="s">
        <v>1145</v>
      </c>
      <c r="I102" s="11" t="s">
        <v>1144</v>
      </c>
      <c r="J102" s="11" t="s">
        <v>1145</v>
      </c>
      <c r="K102" s="11" t="s">
        <v>766</v>
      </c>
      <c r="L102" s="11" t="n">
        <v>1</v>
      </c>
      <c r="O102" s="11" t="s">
        <v>3123</v>
      </c>
    </row>
    <row r="103" customFormat="false" ht="15" hidden="false" customHeight="false" outlineLevel="0" collapsed="false">
      <c r="A103" s="2" t="s">
        <v>3870</v>
      </c>
      <c r="B103" s="11" t="s">
        <v>2422</v>
      </c>
      <c r="C103" s="11" t="s">
        <v>1519</v>
      </c>
      <c r="D103" s="11" t="s">
        <v>782</v>
      </c>
      <c r="E103" s="11" t="s">
        <v>272</v>
      </c>
      <c r="G103" s="11" t="s">
        <v>1144</v>
      </c>
      <c r="H103" s="11" t="s">
        <v>1145</v>
      </c>
      <c r="I103" s="11" t="s">
        <v>1144</v>
      </c>
      <c r="J103" s="11" t="s">
        <v>1145</v>
      </c>
      <c r="K103" s="11" t="s">
        <v>766</v>
      </c>
      <c r="L103" s="11" t="n">
        <v>1</v>
      </c>
      <c r="O103" s="11" t="s">
        <v>3123</v>
      </c>
    </row>
    <row r="104" customFormat="false" ht="15" hidden="false" customHeight="false" outlineLevel="0" collapsed="false">
      <c r="A104" s="2" t="s">
        <v>3871</v>
      </c>
      <c r="B104" s="11" t="s">
        <v>2429</v>
      </c>
      <c r="C104" s="11" t="s">
        <v>1514</v>
      </c>
      <c r="D104" s="11" t="s">
        <v>755</v>
      </c>
      <c r="E104" s="11" t="s">
        <v>258</v>
      </c>
      <c r="G104" s="11" t="s">
        <v>1144</v>
      </c>
      <c r="H104" s="11" t="s">
        <v>1145</v>
      </c>
      <c r="I104" s="11" t="s">
        <v>1144</v>
      </c>
      <c r="J104" s="11" t="s">
        <v>1145</v>
      </c>
      <c r="K104" s="11" t="s">
        <v>766</v>
      </c>
      <c r="L104" s="11" t="n">
        <v>1</v>
      </c>
      <c r="O104" s="11" t="s">
        <v>3123</v>
      </c>
    </row>
    <row r="105" customFormat="false" ht="15" hidden="false" customHeight="false" outlineLevel="0" collapsed="false">
      <c r="A105" s="2" t="s">
        <v>3872</v>
      </c>
      <c r="B105" s="11" t="s">
        <v>2429</v>
      </c>
      <c r="C105" s="11" t="s">
        <v>1516</v>
      </c>
      <c r="D105" s="11" t="s">
        <v>782</v>
      </c>
      <c r="E105" s="11" t="s">
        <v>272</v>
      </c>
      <c r="G105" s="11" t="s">
        <v>1144</v>
      </c>
      <c r="H105" s="11" t="s">
        <v>1145</v>
      </c>
      <c r="I105" s="11" t="s">
        <v>1144</v>
      </c>
      <c r="J105" s="11" t="s">
        <v>1145</v>
      </c>
      <c r="K105" s="11" t="s">
        <v>766</v>
      </c>
      <c r="L105" s="11" t="n">
        <v>1</v>
      </c>
      <c r="O105" s="11" t="s">
        <v>3123</v>
      </c>
    </row>
    <row r="106" customFormat="false" ht="15" hidden="false" customHeight="false" outlineLevel="0" collapsed="false">
      <c r="A106" s="2" t="s">
        <v>3873</v>
      </c>
      <c r="B106" s="11" t="s">
        <v>2429</v>
      </c>
      <c r="C106" s="11" t="s">
        <v>1519</v>
      </c>
      <c r="D106" s="11" t="s">
        <v>782</v>
      </c>
      <c r="E106" s="11" t="s">
        <v>272</v>
      </c>
      <c r="G106" s="11" t="s">
        <v>1144</v>
      </c>
      <c r="H106" s="11" t="s">
        <v>1145</v>
      </c>
      <c r="I106" s="11" t="s">
        <v>1144</v>
      </c>
      <c r="J106" s="11" t="s">
        <v>1145</v>
      </c>
      <c r="K106" s="11" t="s">
        <v>766</v>
      </c>
      <c r="L106" s="11" t="n">
        <v>1</v>
      </c>
      <c r="O106" s="11" t="s">
        <v>3123</v>
      </c>
    </row>
    <row r="107" customFormat="false" ht="15" hidden="false" customHeight="false" outlineLevel="0" collapsed="false">
      <c r="A107" s="2" t="s">
        <v>3874</v>
      </c>
      <c r="B107" s="11" t="s">
        <v>2436</v>
      </c>
      <c r="C107" s="11" t="s">
        <v>1516</v>
      </c>
      <c r="D107" s="11" t="s">
        <v>755</v>
      </c>
      <c r="E107" s="11" t="s">
        <v>258</v>
      </c>
      <c r="G107" s="11" t="s">
        <v>1144</v>
      </c>
      <c r="H107" s="11" t="s">
        <v>1145</v>
      </c>
      <c r="I107" s="11" t="s">
        <v>1144</v>
      </c>
      <c r="J107" s="11" t="s">
        <v>1145</v>
      </c>
      <c r="K107" s="11" t="s">
        <v>766</v>
      </c>
      <c r="L107" s="11" t="n">
        <v>1</v>
      </c>
      <c r="O107" s="11" t="s">
        <v>3123</v>
      </c>
    </row>
    <row r="108" customFormat="false" ht="15" hidden="false" customHeight="false" outlineLevel="0" collapsed="false">
      <c r="A108" s="2" t="s">
        <v>3875</v>
      </c>
      <c r="B108" s="11" t="s">
        <v>2443</v>
      </c>
      <c r="C108" s="11" t="s">
        <v>1514</v>
      </c>
      <c r="D108" s="11" t="s">
        <v>755</v>
      </c>
      <c r="E108" s="11" t="s">
        <v>258</v>
      </c>
      <c r="G108" s="11" t="s">
        <v>1144</v>
      </c>
      <c r="H108" s="11" t="s">
        <v>1145</v>
      </c>
      <c r="I108" s="11" t="s">
        <v>1144</v>
      </c>
      <c r="J108" s="11" t="s">
        <v>1145</v>
      </c>
      <c r="K108" s="11" t="s">
        <v>766</v>
      </c>
      <c r="L108" s="11" t="n">
        <v>1</v>
      </c>
      <c r="O108" s="11" t="s">
        <v>3123</v>
      </c>
    </row>
    <row r="109" customFormat="false" ht="15" hidden="false" customHeight="false" outlineLevel="0" collapsed="false">
      <c r="A109" s="2" t="s">
        <v>3876</v>
      </c>
      <c r="B109" s="11" t="s">
        <v>2450</v>
      </c>
      <c r="C109" s="11" t="s">
        <v>1519</v>
      </c>
      <c r="D109" s="11" t="s">
        <v>755</v>
      </c>
      <c r="E109" s="11" t="s">
        <v>258</v>
      </c>
      <c r="G109" s="11" t="s">
        <v>1144</v>
      </c>
      <c r="H109" s="11" t="s">
        <v>1145</v>
      </c>
      <c r="I109" s="11" t="s">
        <v>1144</v>
      </c>
      <c r="J109" s="11" t="s">
        <v>1145</v>
      </c>
      <c r="K109" s="11" t="s">
        <v>766</v>
      </c>
      <c r="L109" s="11" t="n">
        <v>1</v>
      </c>
      <c r="O109" s="11" t="s">
        <v>3123</v>
      </c>
    </row>
    <row r="110" customFormat="false" ht="15" hidden="false" customHeight="false" outlineLevel="0" collapsed="false">
      <c r="A110" s="2" t="s">
        <v>3877</v>
      </c>
      <c r="B110" s="11" t="s">
        <v>2456</v>
      </c>
      <c r="C110" s="11" t="s">
        <v>1514</v>
      </c>
      <c r="D110" s="11" t="s">
        <v>755</v>
      </c>
      <c r="E110" s="11" t="s">
        <v>258</v>
      </c>
      <c r="G110" s="11" t="s">
        <v>1144</v>
      </c>
      <c r="H110" s="11" t="s">
        <v>1145</v>
      </c>
      <c r="I110" s="11" t="s">
        <v>1144</v>
      </c>
      <c r="J110" s="11" t="s">
        <v>1145</v>
      </c>
      <c r="K110" s="11" t="s">
        <v>766</v>
      </c>
      <c r="L110" s="11" t="n">
        <v>1</v>
      </c>
      <c r="O110" s="11" t="s">
        <v>3123</v>
      </c>
    </row>
    <row r="111" customFormat="false" ht="15" hidden="false" customHeight="false" outlineLevel="0" collapsed="false">
      <c r="A111" s="2" t="s">
        <v>3878</v>
      </c>
      <c r="B111" s="11" t="s">
        <v>2462</v>
      </c>
      <c r="C111" s="11" t="s">
        <v>1514</v>
      </c>
      <c r="D111" s="11" t="s">
        <v>755</v>
      </c>
      <c r="E111" s="11" t="s">
        <v>258</v>
      </c>
      <c r="G111" s="11" t="s">
        <v>1144</v>
      </c>
      <c r="H111" s="11" t="s">
        <v>1145</v>
      </c>
      <c r="I111" s="11" t="s">
        <v>1144</v>
      </c>
      <c r="J111" s="11" t="s">
        <v>1145</v>
      </c>
      <c r="K111" s="11" t="s">
        <v>766</v>
      </c>
      <c r="L111" s="11" t="n">
        <v>1</v>
      </c>
      <c r="O111" s="11" t="s">
        <v>3123</v>
      </c>
    </row>
    <row r="112" customFormat="false" ht="15" hidden="false" customHeight="false" outlineLevel="0" collapsed="false">
      <c r="A112" s="2" t="s">
        <v>3879</v>
      </c>
      <c r="B112" s="11" t="s">
        <v>2467</v>
      </c>
      <c r="C112" s="11" t="s">
        <v>1514</v>
      </c>
      <c r="D112" s="11" t="s">
        <v>755</v>
      </c>
      <c r="E112" s="11" t="s">
        <v>258</v>
      </c>
      <c r="G112" s="11" t="s">
        <v>1144</v>
      </c>
      <c r="H112" s="11" t="s">
        <v>1145</v>
      </c>
      <c r="I112" s="11" t="s">
        <v>1144</v>
      </c>
      <c r="J112" s="11" t="s">
        <v>1145</v>
      </c>
      <c r="K112" s="11" t="s">
        <v>766</v>
      </c>
      <c r="L112" s="11" t="n">
        <v>1</v>
      </c>
      <c r="O112" s="11" t="s">
        <v>3123</v>
      </c>
    </row>
    <row r="113" customFormat="false" ht="15" hidden="false" customHeight="false" outlineLevel="0" collapsed="false">
      <c r="A113" s="2" t="s">
        <v>3880</v>
      </c>
      <c r="B113" s="11" t="s">
        <v>2473</v>
      </c>
      <c r="C113" s="11" t="s">
        <v>1516</v>
      </c>
      <c r="D113" s="11" t="s">
        <v>755</v>
      </c>
      <c r="E113" s="11" t="s">
        <v>258</v>
      </c>
      <c r="G113" s="11" t="s">
        <v>1144</v>
      </c>
      <c r="H113" s="11" t="s">
        <v>1145</v>
      </c>
      <c r="I113" s="11" t="s">
        <v>1144</v>
      </c>
      <c r="J113" s="11" t="s">
        <v>1145</v>
      </c>
      <c r="K113" s="11" t="s">
        <v>766</v>
      </c>
      <c r="L113" s="11" t="n">
        <v>1</v>
      </c>
      <c r="O113" s="11" t="s">
        <v>3123</v>
      </c>
    </row>
    <row r="114" customFormat="false" ht="15" hidden="false" customHeight="false" outlineLevel="0" collapsed="false">
      <c r="A114" s="2" t="s">
        <v>3881</v>
      </c>
      <c r="B114" s="11" t="s">
        <v>2479</v>
      </c>
      <c r="C114" s="11" t="s">
        <v>1516</v>
      </c>
      <c r="D114" s="11" t="s">
        <v>755</v>
      </c>
      <c r="E114" s="11" t="s">
        <v>258</v>
      </c>
      <c r="G114" s="11" t="s">
        <v>1144</v>
      </c>
      <c r="H114" s="11" t="s">
        <v>1145</v>
      </c>
      <c r="I114" s="11" t="s">
        <v>1144</v>
      </c>
      <c r="J114" s="11" t="s">
        <v>1145</v>
      </c>
      <c r="K114" s="11" t="s">
        <v>766</v>
      </c>
      <c r="L114" s="11" t="n">
        <v>1</v>
      </c>
      <c r="O114" s="11" t="s">
        <v>3123</v>
      </c>
    </row>
    <row r="115" customFormat="false" ht="15" hidden="false" customHeight="false" outlineLevel="0" collapsed="false">
      <c r="A115" s="2" t="s">
        <v>3882</v>
      </c>
      <c r="B115" s="11" t="s">
        <v>2485</v>
      </c>
      <c r="C115" s="11" t="s">
        <v>1519</v>
      </c>
      <c r="D115" s="11" t="s">
        <v>755</v>
      </c>
      <c r="E115" s="11" t="s">
        <v>258</v>
      </c>
      <c r="G115" s="11" t="s">
        <v>1144</v>
      </c>
      <c r="H115" s="11" t="s">
        <v>1145</v>
      </c>
      <c r="I115" s="11" t="s">
        <v>1144</v>
      </c>
      <c r="J115" s="11" t="s">
        <v>1145</v>
      </c>
      <c r="K115" s="11" t="s">
        <v>766</v>
      </c>
      <c r="L115" s="11" t="n">
        <v>1</v>
      </c>
      <c r="O115" s="11" t="s">
        <v>3123</v>
      </c>
    </row>
    <row r="116" customFormat="false" ht="15" hidden="false" customHeight="false" outlineLevel="0" collapsed="false">
      <c r="A116" s="2" t="s">
        <v>3883</v>
      </c>
      <c r="B116" s="11" t="s">
        <v>2491</v>
      </c>
      <c r="C116" s="11" t="s">
        <v>1514</v>
      </c>
      <c r="D116" s="11" t="s">
        <v>755</v>
      </c>
      <c r="E116" s="11" t="s">
        <v>258</v>
      </c>
      <c r="G116" s="11" t="s">
        <v>1144</v>
      </c>
      <c r="H116" s="11" t="s">
        <v>1145</v>
      </c>
      <c r="I116" s="11" t="s">
        <v>1144</v>
      </c>
      <c r="J116" s="11" t="s">
        <v>1145</v>
      </c>
      <c r="K116" s="11" t="s">
        <v>766</v>
      </c>
      <c r="L116" s="11" t="n">
        <v>1</v>
      </c>
      <c r="O116" s="11" t="s">
        <v>3123</v>
      </c>
    </row>
    <row r="117" customFormat="false" ht="15" hidden="false" customHeight="false" outlineLevel="0" collapsed="false">
      <c r="A117" s="2" t="s">
        <v>3884</v>
      </c>
      <c r="B117" s="11" t="s">
        <v>2497</v>
      </c>
      <c r="C117" s="11" t="s">
        <v>1516</v>
      </c>
      <c r="D117" s="11" t="s">
        <v>755</v>
      </c>
      <c r="E117" s="11" t="s">
        <v>258</v>
      </c>
      <c r="G117" s="11" t="s">
        <v>1144</v>
      </c>
      <c r="H117" s="11" t="s">
        <v>1145</v>
      </c>
      <c r="I117" s="11" t="s">
        <v>1144</v>
      </c>
      <c r="J117" s="11" t="s">
        <v>1145</v>
      </c>
      <c r="K117" s="11" t="s">
        <v>766</v>
      </c>
      <c r="L117" s="11" t="n">
        <v>1</v>
      </c>
      <c r="O117" s="11" t="s">
        <v>3123</v>
      </c>
    </row>
    <row r="118" customFormat="false" ht="15" hidden="false" customHeight="false" outlineLevel="0" collapsed="false">
      <c r="A118" s="2" t="s">
        <v>3885</v>
      </c>
      <c r="B118" s="11" t="s">
        <v>2503</v>
      </c>
      <c r="C118" s="11" t="s">
        <v>1514</v>
      </c>
      <c r="D118" s="11" t="s">
        <v>755</v>
      </c>
      <c r="E118" s="11" t="s">
        <v>258</v>
      </c>
      <c r="G118" s="11" t="s">
        <v>1144</v>
      </c>
      <c r="H118" s="11" t="s">
        <v>1145</v>
      </c>
      <c r="I118" s="11" t="s">
        <v>1144</v>
      </c>
      <c r="J118" s="11" t="s">
        <v>1145</v>
      </c>
      <c r="K118" s="11" t="s">
        <v>766</v>
      </c>
      <c r="L118" s="11" t="n">
        <v>1</v>
      </c>
      <c r="O118" s="11" t="s">
        <v>3123</v>
      </c>
    </row>
    <row r="119" customFormat="false" ht="15" hidden="false" customHeight="false" outlineLevel="0" collapsed="false">
      <c r="A119" s="2" t="s">
        <v>3886</v>
      </c>
      <c r="B119" s="11" t="s">
        <v>2508</v>
      </c>
      <c r="C119" s="11" t="s">
        <v>1514</v>
      </c>
      <c r="D119" s="11" t="s">
        <v>755</v>
      </c>
      <c r="E119" s="11" t="s">
        <v>258</v>
      </c>
      <c r="G119" s="11" t="s">
        <v>1144</v>
      </c>
      <c r="H119" s="11" t="s">
        <v>1145</v>
      </c>
      <c r="I119" s="11" t="s">
        <v>1144</v>
      </c>
      <c r="J119" s="11" t="s">
        <v>1145</v>
      </c>
      <c r="K119" s="11" t="s">
        <v>766</v>
      </c>
      <c r="L119" s="11" t="n">
        <v>1</v>
      </c>
      <c r="O119" s="11" t="s">
        <v>3123</v>
      </c>
    </row>
    <row r="120" customFormat="false" ht="15" hidden="false" customHeight="false" outlineLevel="0" collapsed="false">
      <c r="A120" s="2" t="s">
        <v>3887</v>
      </c>
      <c r="B120" s="11" t="s">
        <v>2514</v>
      </c>
      <c r="C120" s="11" t="s">
        <v>1514</v>
      </c>
      <c r="D120" s="11" t="s">
        <v>755</v>
      </c>
      <c r="E120" s="11" t="s">
        <v>258</v>
      </c>
      <c r="G120" s="11" t="s">
        <v>1144</v>
      </c>
      <c r="H120" s="11" t="s">
        <v>1145</v>
      </c>
      <c r="I120" s="11" t="s">
        <v>1144</v>
      </c>
      <c r="J120" s="11" t="s">
        <v>1145</v>
      </c>
      <c r="K120" s="11" t="s">
        <v>766</v>
      </c>
      <c r="L120" s="11" t="n">
        <v>1</v>
      </c>
      <c r="O120" s="11" t="s">
        <v>3123</v>
      </c>
    </row>
    <row r="121" customFormat="false" ht="15" hidden="false" customHeight="false" outlineLevel="0" collapsed="false">
      <c r="A121" s="2" t="s">
        <v>3888</v>
      </c>
      <c r="B121" s="11" t="s">
        <v>2514</v>
      </c>
      <c r="C121" s="11" t="s">
        <v>1516</v>
      </c>
      <c r="D121" s="11" t="s">
        <v>782</v>
      </c>
      <c r="E121" s="11" t="s">
        <v>272</v>
      </c>
      <c r="G121" s="11" t="s">
        <v>1144</v>
      </c>
      <c r="H121" s="11" t="s">
        <v>1145</v>
      </c>
      <c r="I121" s="11" t="s">
        <v>1144</v>
      </c>
      <c r="J121" s="11" t="s">
        <v>1145</v>
      </c>
      <c r="K121" s="11" t="s">
        <v>766</v>
      </c>
      <c r="L121" s="11" t="n">
        <v>1</v>
      </c>
      <c r="O121" s="11" t="s">
        <v>3123</v>
      </c>
    </row>
    <row r="122" customFormat="false" ht="15" hidden="false" customHeight="false" outlineLevel="0" collapsed="false">
      <c r="A122" s="2" t="s">
        <v>3889</v>
      </c>
      <c r="B122" s="11" t="s">
        <v>2514</v>
      </c>
      <c r="C122" s="11" t="s">
        <v>1519</v>
      </c>
      <c r="D122" s="11" t="s">
        <v>782</v>
      </c>
      <c r="E122" s="11" t="s">
        <v>272</v>
      </c>
      <c r="G122" s="11" t="s">
        <v>1144</v>
      </c>
      <c r="H122" s="11" t="s">
        <v>1145</v>
      </c>
      <c r="I122" s="11" t="s">
        <v>1144</v>
      </c>
      <c r="J122" s="11" t="s">
        <v>1145</v>
      </c>
      <c r="K122" s="11" t="s">
        <v>766</v>
      </c>
      <c r="L122" s="11" t="n">
        <v>1</v>
      </c>
      <c r="O122" s="11" t="s">
        <v>3123</v>
      </c>
    </row>
  </sheetData>
  <autoFilter ref="A1:O122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122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122" type="list">
      <formula1>eigenaartype!$B$2:$B$2000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122" type="list">
      <formula1>Keuzelijsten!$Q$5:$Q$60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122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122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O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576</v>
      </c>
      <c r="B1" s="13" t="s">
        <v>469</v>
      </c>
      <c r="C1" s="13" t="s">
        <v>414</v>
      </c>
      <c r="D1" s="13" t="s">
        <v>574</v>
      </c>
      <c r="E1" s="13" t="s">
        <v>554</v>
      </c>
      <c r="F1" s="14" t="s">
        <v>410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3890</v>
      </c>
      <c r="B2" s="11" t="s">
        <v>2008</v>
      </c>
      <c r="C2" s="11" t="s">
        <v>1543</v>
      </c>
      <c r="D2" s="11" t="s">
        <v>755</v>
      </c>
      <c r="E2" s="11" t="s">
        <v>258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3123</v>
      </c>
    </row>
    <row r="3" customFormat="false" ht="15" hidden="false" customHeight="false" outlineLevel="0" collapsed="false">
      <c r="A3" s="2" t="s">
        <v>3891</v>
      </c>
      <c r="B3" s="11" t="s">
        <v>2023</v>
      </c>
      <c r="C3" s="11" t="s">
        <v>1543</v>
      </c>
      <c r="D3" s="11" t="s">
        <v>755</v>
      </c>
      <c r="E3" s="11" t="s">
        <v>258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3123</v>
      </c>
    </row>
    <row r="4" customFormat="false" ht="15" hidden="false" customHeight="false" outlineLevel="0" collapsed="false">
      <c r="A4" s="2" t="s">
        <v>3892</v>
      </c>
      <c r="B4" s="11" t="s">
        <v>2030</v>
      </c>
      <c r="C4" s="11" t="s">
        <v>1543</v>
      </c>
      <c r="D4" s="11" t="s">
        <v>755</v>
      </c>
      <c r="E4" s="11" t="s">
        <v>258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3123</v>
      </c>
    </row>
    <row r="5" customFormat="false" ht="15" hidden="false" customHeight="false" outlineLevel="0" collapsed="false">
      <c r="A5" s="2" t="s">
        <v>3893</v>
      </c>
      <c r="B5" s="11" t="s">
        <v>2036</v>
      </c>
      <c r="C5" s="11" t="s">
        <v>1543</v>
      </c>
      <c r="D5" s="11" t="s">
        <v>755</v>
      </c>
      <c r="E5" s="11" t="s">
        <v>258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3123</v>
      </c>
    </row>
    <row r="6" customFormat="false" ht="15" hidden="false" customHeight="false" outlineLevel="0" collapsed="false">
      <c r="A6" s="2" t="s">
        <v>3894</v>
      </c>
      <c r="B6" s="11" t="s">
        <v>2045</v>
      </c>
      <c r="C6" s="11" t="s">
        <v>1555</v>
      </c>
      <c r="D6" s="11" t="s">
        <v>755</v>
      </c>
      <c r="E6" s="11" t="s">
        <v>258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3123</v>
      </c>
    </row>
    <row r="7" customFormat="false" ht="15" hidden="false" customHeight="false" outlineLevel="0" collapsed="false">
      <c r="A7" s="2" t="s">
        <v>3895</v>
      </c>
      <c r="B7" s="11" t="s">
        <v>2045</v>
      </c>
      <c r="C7" s="11" t="s">
        <v>1549</v>
      </c>
      <c r="D7" s="11" t="s">
        <v>755</v>
      </c>
      <c r="E7" s="11" t="s">
        <v>272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3123</v>
      </c>
    </row>
    <row r="8" customFormat="false" ht="15" hidden="false" customHeight="false" outlineLevel="0" collapsed="false">
      <c r="A8" s="2" t="s">
        <v>3896</v>
      </c>
      <c r="B8" s="11" t="s">
        <v>2051</v>
      </c>
      <c r="C8" s="11" t="s">
        <v>1549</v>
      </c>
      <c r="D8" s="11" t="s">
        <v>755</v>
      </c>
      <c r="E8" s="11" t="s">
        <v>258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3123</v>
      </c>
    </row>
    <row r="9" customFormat="false" ht="15" hidden="false" customHeight="false" outlineLevel="0" collapsed="false">
      <c r="A9" s="2" t="s">
        <v>3897</v>
      </c>
      <c r="B9" s="11" t="s">
        <v>2051</v>
      </c>
      <c r="C9" s="11" t="s">
        <v>1552</v>
      </c>
      <c r="D9" s="11" t="s">
        <v>755</v>
      </c>
      <c r="E9" s="11" t="s">
        <v>272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3123</v>
      </c>
    </row>
    <row r="10" customFormat="false" ht="15" hidden="false" customHeight="false" outlineLevel="0" collapsed="false">
      <c r="A10" s="2" t="s">
        <v>3898</v>
      </c>
      <c r="B10" s="11" t="s">
        <v>2051</v>
      </c>
      <c r="C10" s="11" t="s">
        <v>1555</v>
      </c>
      <c r="D10" s="11" t="s">
        <v>755</v>
      </c>
      <c r="E10" s="11" t="s">
        <v>272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3123</v>
      </c>
    </row>
    <row r="11" customFormat="false" ht="15" hidden="false" customHeight="false" outlineLevel="0" collapsed="false">
      <c r="A11" s="2" t="s">
        <v>3899</v>
      </c>
      <c r="B11" s="11" t="s">
        <v>2060</v>
      </c>
      <c r="C11" s="11" t="s">
        <v>1600</v>
      </c>
      <c r="D11" s="11" t="s">
        <v>755</v>
      </c>
      <c r="E11" s="11" t="s">
        <v>258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3123</v>
      </c>
    </row>
    <row r="12" customFormat="false" ht="15" hidden="false" customHeight="false" outlineLevel="0" collapsed="false">
      <c r="A12" s="2" t="s">
        <v>3900</v>
      </c>
      <c r="B12" s="11" t="s">
        <v>2065</v>
      </c>
      <c r="C12" s="11" t="s">
        <v>1543</v>
      </c>
      <c r="D12" s="11" t="s">
        <v>755</v>
      </c>
      <c r="E12" s="11" t="s">
        <v>258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3123</v>
      </c>
    </row>
    <row r="13" customFormat="false" ht="15" hidden="false" customHeight="false" outlineLevel="0" collapsed="false">
      <c r="A13" s="2" t="s">
        <v>3901</v>
      </c>
      <c r="B13" s="11" t="s">
        <v>2075</v>
      </c>
      <c r="C13" s="11" t="s">
        <v>1543</v>
      </c>
      <c r="D13" s="11" t="s">
        <v>755</v>
      </c>
      <c r="E13" s="11" t="s">
        <v>258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3123</v>
      </c>
    </row>
    <row r="14" customFormat="false" ht="15" hidden="false" customHeight="false" outlineLevel="0" collapsed="false">
      <c r="A14" s="2" t="s">
        <v>3902</v>
      </c>
      <c r="B14" s="11" t="s">
        <v>2084</v>
      </c>
      <c r="C14" s="11" t="s">
        <v>1543</v>
      </c>
      <c r="D14" s="11" t="s">
        <v>755</v>
      </c>
      <c r="E14" s="11" t="s">
        <v>258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3123</v>
      </c>
    </row>
    <row r="15" customFormat="false" ht="15" hidden="false" customHeight="false" outlineLevel="0" collapsed="false">
      <c r="A15" s="2" t="s">
        <v>3903</v>
      </c>
      <c r="B15" s="11" t="s">
        <v>2089</v>
      </c>
      <c r="C15" s="11" t="s">
        <v>1543</v>
      </c>
      <c r="D15" s="11" t="s">
        <v>755</v>
      </c>
      <c r="E15" s="11" t="s">
        <v>258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3123</v>
      </c>
    </row>
    <row r="16" customFormat="false" ht="15" hidden="false" customHeight="false" outlineLevel="0" collapsed="false">
      <c r="A16" s="2" t="s">
        <v>3904</v>
      </c>
      <c r="B16" s="11" t="s">
        <v>2099</v>
      </c>
      <c r="C16" s="11" t="s">
        <v>1555</v>
      </c>
      <c r="D16" s="11" t="s">
        <v>755</v>
      </c>
      <c r="E16" s="11" t="s">
        <v>258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3123</v>
      </c>
    </row>
    <row r="17" customFormat="false" ht="15" hidden="false" customHeight="false" outlineLevel="0" collapsed="false">
      <c r="A17" s="2" t="s">
        <v>3905</v>
      </c>
      <c r="B17" s="11" t="s">
        <v>2107</v>
      </c>
      <c r="C17" s="11" t="s">
        <v>1543</v>
      </c>
      <c r="D17" s="11" t="s">
        <v>755</v>
      </c>
      <c r="E17" s="11" t="s">
        <v>258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3123</v>
      </c>
    </row>
    <row r="18" customFormat="false" ht="15" hidden="false" customHeight="false" outlineLevel="0" collapsed="false">
      <c r="A18" s="2" t="s">
        <v>3906</v>
      </c>
      <c r="B18" s="11" t="s">
        <v>2117</v>
      </c>
      <c r="C18" s="11" t="s">
        <v>1543</v>
      </c>
      <c r="D18" s="11" t="s">
        <v>755</v>
      </c>
      <c r="E18" s="11" t="s">
        <v>258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3123</v>
      </c>
    </row>
    <row r="19" customFormat="false" ht="15" hidden="false" customHeight="false" outlineLevel="0" collapsed="false">
      <c r="A19" s="2" t="s">
        <v>3907</v>
      </c>
      <c r="B19" s="11" t="s">
        <v>2122</v>
      </c>
      <c r="C19" s="11" t="s">
        <v>1543</v>
      </c>
      <c r="D19" s="11" t="s">
        <v>755</v>
      </c>
      <c r="E19" s="11" t="s">
        <v>258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3123</v>
      </c>
    </row>
    <row r="20" customFormat="false" ht="15" hidden="false" customHeight="false" outlineLevel="0" collapsed="false">
      <c r="A20" s="2" t="s">
        <v>3908</v>
      </c>
      <c r="B20" s="11" t="s">
        <v>2127</v>
      </c>
      <c r="C20" s="11" t="s">
        <v>1543</v>
      </c>
      <c r="D20" s="11" t="s">
        <v>755</v>
      </c>
      <c r="E20" s="11" t="s">
        <v>258</v>
      </c>
      <c r="G20" s="11" t="s">
        <v>1144</v>
      </c>
      <c r="H20" s="11" t="s">
        <v>1145</v>
      </c>
      <c r="I20" s="11" t="s">
        <v>1144</v>
      </c>
      <c r="J20" s="11" t="s">
        <v>1145</v>
      </c>
      <c r="K20" s="11" t="s">
        <v>766</v>
      </c>
      <c r="L20" s="11" t="n">
        <v>1</v>
      </c>
      <c r="O20" s="11" t="s">
        <v>3123</v>
      </c>
    </row>
    <row r="21" customFormat="false" ht="15" hidden="false" customHeight="false" outlineLevel="0" collapsed="false">
      <c r="A21" s="2" t="s">
        <v>3909</v>
      </c>
      <c r="B21" s="11" t="s">
        <v>2133</v>
      </c>
      <c r="C21" s="11" t="s">
        <v>1543</v>
      </c>
      <c r="D21" s="11" t="s">
        <v>755</v>
      </c>
      <c r="E21" s="11" t="s">
        <v>258</v>
      </c>
      <c r="G21" s="11" t="s">
        <v>1144</v>
      </c>
      <c r="H21" s="11" t="s">
        <v>1145</v>
      </c>
      <c r="I21" s="11" t="s">
        <v>1144</v>
      </c>
      <c r="J21" s="11" t="s">
        <v>1145</v>
      </c>
      <c r="K21" s="11" t="s">
        <v>766</v>
      </c>
      <c r="L21" s="11" t="n">
        <v>1</v>
      </c>
      <c r="O21" s="11" t="s">
        <v>3123</v>
      </c>
    </row>
    <row r="22" customFormat="false" ht="15" hidden="false" customHeight="false" outlineLevel="0" collapsed="false">
      <c r="A22" s="2" t="s">
        <v>3910</v>
      </c>
      <c r="B22" s="11" t="s">
        <v>2141</v>
      </c>
      <c r="C22" s="11" t="s">
        <v>1543</v>
      </c>
      <c r="D22" s="11" t="s">
        <v>755</v>
      </c>
      <c r="E22" s="11" t="s">
        <v>258</v>
      </c>
      <c r="G22" s="11" t="s">
        <v>1144</v>
      </c>
      <c r="H22" s="11" t="s">
        <v>1145</v>
      </c>
      <c r="I22" s="11" t="s">
        <v>1144</v>
      </c>
      <c r="J22" s="11" t="s">
        <v>1145</v>
      </c>
      <c r="K22" s="11" t="s">
        <v>766</v>
      </c>
      <c r="L22" s="11" t="n">
        <v>1</v>
      </c>
      <c r="O22" s="11" t="s">
        <v>3123</v>
      </c>
    </row>
    <row r="23" customFormat="false" ht="15" hidden="false" customHeight="false" outlineLevel="0" collapsed="false">
      <c r="A23" s="2" t="s">
        <v>3911</v>
      </c>
      <c r="B23" s="11" t="s">
        <v>2147</v>
      </c>
      <c r="C23" s="11" t="s">
        <v>1543</v>
      </c>
      <c r="D23" s="11" t="s">
        <v>755</v>
      </c>
      <c r="E23" s="11" t="s">
        <v>258</v>
      </c>
      <c r="G23" s="11" t="s">
        <v>1144</v>
      </c>
      <c r="H23" s="11" t="s">
        <v>1145</v>
      </c>
      <c r="I23" s="11" t="s">
        <v>1144</v>
      </c>
      <c r="J23" s="11" t="s">
        <v>1145</v>
      </c>
      <c r="K23" s="11" t="s">
        <v>766</v>
      </c>
      <c r="L23" s="11" t="n">
        <v>1</v>
      </c>
      <c r="O23" s="11" t="s">
        <v>3123</v>
      </c>
    </row>
    <row r="24" customFormat="false" ht="15" hidden="false" customHeight="false" outlineLevel="0" collapsed="false">
      <c r="A24" s="2" t="s">
        <v>3912</v>
      </c>
      <c r="B24" s="11" t="s">
        <v>2152</v>
      </c>
      <c r="C24" s="11" t="s">
        <v>1543</v>
      </c>
      <c r="D24" s="11" t="s">
        <v>755</v>
      </c>
      <c r="E24" s="11" t="s">
        <v>258</v>
      </c>
      <c r="G24" s="11" t="s">
        <v>1144</v>
      </c>
      <c r="H24" s="11" t="s">
        <v>1145</v>
      </c>
      <c r="I24" s="11" t="s">
        <v>1144</v>
      </c>
      <c r="J24" s="11" t="s">
        <v>1145</v>
      </c>
      <c r="K24" s="11" t="s">
        <v>766</v>
      </c>
      <c r="L24" s="11" t="n">
        <v>1</v>
      </c>
      <c r="O24" s="11" t="s">
        <v>3123</v>
      </c>
    </row>
    <row r="25" customFormat="false" ht="15" hidden="false" customHeight="false" outlineLevel="0" collapsed="false">
      <c r="A25" s="2" t="s">
        <v>3913</v>
      </c>
      <c r="B25" s="11" t="s">
        <v>2158</v>
      </c>
      <c r="C25" s="11" t="s">
        <v>1543</v>
      </c>
      <c r="D25" s="11" t="s">
        <v>755</v>
      </c>
      <c r="E25" s="11" t="s">
        <v>258</v>
      </c>
      <c r="G25" s="11" t="s">
        <v>1144</v>
      </c>
      <c r="H25" s="11" t="s">
        <v>1145</v>
      </c>
      <c r="I25" s="11" t="s">
        <v>1144</v>
      </c>
      <c r="J25" s="11" t="s">
        <v>1145</v>
      </c>
      <c r="K25" s="11" t="s">
        <v>766</v>
      </c>
      <c r="L25" s="11" t="n">
        <v>1</v>
      </c>
      <c r="O25" s="11" t="s">
        <v>3123</v>
      </c>
    </row>
    <row r="26" customFormat="false" ht="15" hidden="false" customHeight="false" outlineLevel="0" collapsed="false">
      <c r="A26" s="2" t="s">
        <v>3914</v>
      </c>
      <c r="B26" s="11" t="s">
        <v>2166</v>
      </c>
      <c r="C26" s="11" t="s">
        <v>1543</v>
      </c>
      <c r="D26" s="11" t="s">
        <v>755</v>
      </c>
      <c r="E26" s="11" t="s">
        <v>258</v>
      </c>
      <c r="G26" s="11" t="s">
        <v>1144</v>
      </c>
      <c r="H26" s="11" t="s">
        <v>1145</v>
      </c>
      <c r="I26" s="11" t="s">
        <v>1144</v>
      </c>
      <c r="J26" s="11" t="s">
        <v>1145</v>
      </c>
      <c r="K26" s="11" t="s">
        <v>766</v>
      </c>
      <c r="L26" s="11" t="n">
        <v>1</v>
      </c>
      <c r="O26" s="11" t="s">
        <v>3123</v>
      </c>
    </row>
    <row r="27" customFormat="false" ht="15" hidden="false" customHeight="false" outlineLevel="0" collapsed="false">
      <c r="A27" s="2" t="s">
        <v>3915</v>
      </c>
      <c r="B27" s="11" t="s">
        <v>2171</v>
      </c>
      <c r="C27" s="11" t="s">
        <v>1543</v>
      </c>
      <c r="D27" s="11" t="s">
        <v>755</v>
      </c>
      <c r="E27" s="11" t="s">
        <v>258</v>
      </c>
      <c r="G27" s="11" t="s">
        <v>1144</v>
      </c>
      <c r="H27" s="11" t="s">
        <v>1145</v>
      </c>
      <c r="I27" s="11" t="s">
        <v>1144</v>
      </c>
      <c r="J27" s="11" t="s">
        <v>1145</v>
      </c>
      <c r="K27" s="11" t="s">
        <v>766</v>
      </c>
      <c r="L27" s="11" t="n">
        <v>1</v>
      </c>
      <c r="O27" s="11" t="s">
        <v>3123</v>
      </c>
    </row>
    <row r="28" customFormat="false" ht="15" hidden="false" customHeight="false" outlineLevel="0" collapsed="false">
      <c r="A28" s="2" t="s">
        <v>3916</v>
      </c>
      <c r="B28" s="11" t="s">
        <v>1841</v>
      </c>
      <c r="C28" s="11" t="s">
        <v>1543</v>
      </c>
      <c r="D28" s="11" t="s">
        <v>755</v>
      </c>
      <c r="E28" s="11" t="s">
        <v>258</v>
      </c>
      <c r="G28" s="11" t="s">
        <v>1144</v>
      </c>
      <c r="H28" s="11" t="s">
        <v>1145</v>
      </c>
      <c r="I28" s="11" t="s">
        <v>1144</v>
      </c>
      <c r="J28" s="11" t="s">
        <v>1145</v>
      </c>
      <c r="K28" s="11" t="s">
        <v>766</v>
      </c>
      <c r="L28" s="11" t="n">
        <v>1</v>
      </c>
      <c r="O28" s="11" t="s">
        <v>3123</v>
      </c>
    </row>
    <row r="29" customFormat="false" ht="15" hidden="false" customHeight="false" outlineLevel="0" collapsed="false">
      <c r="A29" s="2" t="s">
        <v>3917</v>
      </c>
      <c r="B29" s="11" t="s">
        <v>1832</v>
      </c>
      <c r="C29" s="11" t="s">
        <v>1543</v>
      </c>
      <c r="D29" s="11" t="s">
        <v>755</v>
      </c>
      <c r="E29" s="11" t="s">
        <v>258</v>
      </c>
      <c r="G29" s="11" t="s">
        <v>1144</v>
      </c>
      <c r="H29" s="11" t="s">
        <v>1145</v>
      </c>
      <c r="I29" s="11" t="s">
        <v>1144</v>
      </c>
      <c r="J29" s="11" t="s">
        <v>1145</v>
      </c>
      <c r="K29" s="11" t="s">
        <v>766</v>
      </c>
      <c r="L29" s="11" t="n">
        <v>1</v>
      </c>
      <c r="O29" s="11" t="s">
        <v>3123</v>
      </c>
    </row>
    <row r="30" customFormat="false" ht="15" hidden="false" customHeight="false" outlineLevel="0" collapsed="false">
      <c r="A30" s="2" t="s">
        <v>3918</v>
      </c>
      <c r="B30" s="11" t="s">
        <v>2193</v>
      </c>
      <c r="C30" s="11" t="s">
        <v>1543</v>
      </c>
      <c r="D30" s="11" t="s">
        <v>755</v>
      </c>
      <c r="E30" s="11" t="s">
        <v>258</v>
      </c>
      <c r="G30" s="11" t="s">
        <v>1144</v>
      </c>
      <c r="H30" s="11" t="s">
        <v>1145</v>
      </c>
      <c r="I30" s="11" t="s">
        <v>1144</v>
      </c>
      <c r="J30" s="11" t="s">
        <v>1145</v>
      </c>
      <c r="K30" s="11" t="s">
        <v>766</v>
      </c>
      <c r="L30" s="11" t="n">
        <v>1</v>
      </c>
      <c r="O30" s="11" t="s">
        <v>3123</v>
      </c>
    </row>
    <row r="31" customFormat="false" ht="15" hidden="false" customHeight="false" outlineLevel="0" collapsed="false">
      <c r="A31" s="2" t="s">
        <v>3919</v>
      </c>
      <c r="B31" s="11" t="s">
        <v>2201</v>
      </c>
      <c r="C31" s="11" t="s">
        <v>1543</v>
      </c>
      <c r="D31" s="11" t="s">
        <v>755</v>
      </c>
      <c r="E31" s="11" t="s">
        <v>258</v>
      </c>
      <c r="G31" s="11" t="s">
        <v>1144</v>
      </c>
      <c r="H31" s="11" t="s">
        <v>1145</v>
      </c>
      <c r="I31" s="11" t="s">
        <v>1144</v>
      </c>
      <c r="J31" s="11" t="s">
        <v>1145</v>
      </c>
      <c r="K31" s="11" t="s">
        <v>766</v>
      </c>
      <c r="L31" s="11" t="n">
        <v>1</v>
      </c>
      <c r="O31" s="11" t="s">
        <v>3123</v>
      </c>
    </row>
    <row r="32" customFormat="false" ht="15" hidden="false" customHeight="false" outlineLevel="0" collapsed="false">
      <c r="A32" s="2" t="s">
        <v>3920</v>
      </c>
      <c r="B32" s="11" t="s">
        <v>2207</v>
      </c>
      <c r="C32" s="11" t="s">
        <v>1543</v>
      </c>
      <c r="D32" s="11" t="s">
        <v>755</v>
      </c>
      <c r="E32" s="11" t="s">
        <v>258</v>
      </c>
      <c r="G32" s="11" t="s">
        <v>1144</v>
      </c>
      <c r="H32" s="11" t="s">
        <v>1145</v>
      </c>
      <c r="I32" s="11" t="s">
        <v>1144</v>
      </c>
      <c r="J32" s="11" t="s">
        <v>1145</v>
      </c>
      <c r="K32" s="11" t="s">
        <v>766</v>
      </c>
      <c r="L32" s="11" t="n">
        <v>1</v>
      </c>
      <c r="O32" s="11" t="s">
        <v>3123</v>
      </c>
    </row>
    <row r="33" customFormat="false" ht="15" hidden="false" customHeight="false" outlineLevel="0" collapsed="false">
      <c r="A33" s="2" t="s">
        <v>3921</v>
      </c>
      <c r="B33" s="11" t="s">
        <v>1882</v>
      </c>
      <c r="C33" s="11" t="s">
        <v>1543</v>
      </c>
      <c r="D33" s="11" t="s">
        <v>755</v>
      </c>
      <c r="E33" s="11" t="s">
        <v>258</v>
      </c>
      <c r="G33" s="11" t="s">
        <v>1144</v>
      </c>
      <c r="H33" s="11" t="s">
        <v>1145</v>
      </c>
      <c r="I33" s="11" t="s">
        <v>1144</v>
      </c>
      <c r="J33" s="11" t="s">
        <v>1145</v>
      </c>
      <c r="K33" s="11" t="s">
        <v>766</v>
      </c>
      <c r="L33" s="11" t="n">
        <v>1</v>
      </c>
      <c r="O33" s="11" t="s">
        <v>3123</v>
      </c>
    </row>
    <row r="34" customFormat="false" ht="15" hidden="false" customHeight="false" outlineLevel="0" collapsed="false">
      <c r="A34" s="2" t="s">
        <v>3922</v>
      </c>
      <c r="B34" s="11" t="s">
        <v>2221</v>
      </c>
      <c r="C34" s="11" t="s">
        <v>1543</v>
      </c>
      <c r="D34" s="11" t="s">
        <v>755</v>
      </c>
      <c r="E34" s="11" t="s">
        <v>258</v>
      </c>
      <c r="G34" s="11" t="s">
        <v>1144</v>
      </c>
      <c r="H34" s="11" t="s">
        <v>1145</v>
      </c>
      <c r="I34" s="11" t="s">
        <v>1144</v>
      </c>
      <c r="J34" s="11" t="s">
        <v>1145</v>
      </c>
      <c r="K34" s="11" t="s">
        <v>766</v>
      </c>
      <c r="L34" s="11" t="n">
        <v>1</v>
      </c>
      <c r="O34" s="11" t="s">
        <v>3123</v>
      </c>
    </row>
    <row r="35" customFormat="false" ht="15" hidden="false" customHeight="false" outlineLevel="0" collapsed="false">
      <c r="A35" s="2" t="s">
        <v>3923</v>
      </c>
      <c r="B35" s="11" t="s">
        <v>2230</v>
      </c>
      <c r="C35" s="11" t="s">
        <v>1543</v>
      </c>
      <c r="D35" s="11" t="s">
        <v>755</v>
      </c>
      <c r="E35" s="11" t="s">
        <v>258</v>
      </c>
      <c r="G35" s="11" t="s">
        <v>1144</v>
      </c>
      <c r="H35" s="11" t="s">
        <v>1145</v>
      </c>
      <c r="I35" s="11" t="s">
        <v>1144</v>
      </c>
      <c r="J35" s="11" t="s">
        <v>1145</v>
      </c>
      <c r="K35" s="11" t="s">
        <v>766</v>
      </c>
      <c r="L35" s="11" t="n">
        <v>1</v>
      </c>
      <c r="O35" s="11" t="s">
        <v>3123</v>
      </c>
    </row>
    <row r="36" customFormat="false" ht="15" hidden="false" customHeight="false" outlineLevel="0" collapsed="false">
      <c r="A36" s="2" t="s">
        <v>3924</v>
      </c>
      <c r="B36" s="11" t="s">
        <v>2236</v>
      </c>
      <c r="C36" s="11" t="s">
        <v>1543</v>
      </c>
      <c r="D36" s="11" t="s">
        <v>755</v>
      </c>
      <c r="E36" s="11" t="s">
        <v>258</v>
      </c>
      <c r="G36" s="11" t="s">
        <v>1144</v>
      </c>
      <c r="H36" s="11" t="s">
        <v>1145</v>
      </c>
      <c r="I36" s="11" t="s">
        <v>1144</v>
      </c>
      <c r="J36" s="11" t="s">
        <v>1145</v>
      </c>
      <c r="K36" s="11" t="s">
        <v>766</v>
      </c>
      <c r="L36" s="11" t="n">
        <v>1</v>
      </c>
      <c r="O36" s="11" t="s">
        <v>3123</v>
      </c>
    </row>
    <row r="37" customFormat="false" ht="15" hidden="false" customHeight="false" outlineLevel="0" collapsed="false">
      <c r="A37" s="2" t="s">
        <v>3925</v>
      </c>
      <c r="B37" s="11" t="s">
        <v>2242</v>
      </c>
      <c r="C37" s="11" t="s">
        <v>1543</v>
      </c>
      <c r="D37" s="11" t="s">
        <v>755</v>
      </c>
      <c r="E37" s="11" t="s">
        <v>258</v>
      </c>
      <c r="G37" s="11" t="s">
        <v>1144</v>
      </c>
      <c r="H37" s="11" t="s">
        <v>1145</v>
      </c>
      <c r="I37" s="11" t="s">
        <v>1144</v>
      </c>
      <c r="J37" s="11" t="s">
        <v>1145</v>
      </c>
      <c r="K37" s="11" t="s">
        <v>766</v>
      </c>
      <c r="L37" s="11" t="n">
        <v>1</v>
      </c>
      <c r="O37" s="11" t="s">
        <v>3123</v>
      </c>
    </row>
    <row r="38" customFormat="false" ht="15" hidden="false" customHeight="false" outlineLevel="0" collapsed="false">
      <c r="A38" s="2" t="s">
        <v>3926</v>
      </c>
      <c r="B38" s="11" t="s">
        <v>2248</v>
      </c>
      <c r="C38" s="11" t="s">
        <v>1543</v>
      </c>
      <c r="D38" s="11" t="s">
        <v>755</v>
      </c>
      <c r="E38" s="11" t="s">
        <v>258</v>
      </c>
      <c r="G38" s="11" t="s">
        <v>1144</v>
      </c>
      <c r="H38" s="11" t="s">
        <v>1145</v>
      </c>
      <c r="I38" s="11" t="s">
        <v>1144</v>
      </c>
      <c r="J38" s="11" t="s">
        <v>1145</v>
      </c>
      <c r="K38" s="11" t="s">
        <v>766</v>
      </c>
      <c r="L38" s="11" t="n">
        <v>1</v>
      </c>
      <c r="O38" s="11" t="s">
        <v>3123</v>
      </c>
    </row>
    <row r="39" customFormat="false" ht="15" hidden="false" customHeight="false" outlineLevel="0" collapsed="false">
      <c r="A39" s="2" t="s">
        <v>3927</v>
      </c>
      <c r="B39" s="11" t="s">
        <v>2254</v>
      </c>
      <c r="C39" s="11" t="s">
        <v>1543</v>
      </c>
      <c r="D39" s="11" t="s">
        <v>755</v>
      </c>
      <c r="E39" s="11" t="s">
        <v>258</v>
      </c>
      <c r="G39" s="11" t="s">
        <v>1144</v>
      </c>
      <c r="H39" s="11" t="s">
        <v>1145</v>
      </c>
      <c r="I39" s="11" t="s">
        <v>1144</v>
      </c>
      <c r="J39" s="11" t="s">
        <v>1145</v>
      </c>
      <c r="K39" s="11" t="s">
        <v>766</v>
      </c>
      <c r="L39" s="11" t="n">
        <v>1</v>
      </c>
      <c r="O39" s="11" t="s">
        <v>3123</v>
      </c>
    </row>
    <row r="40" customFormat="false" ht="15" hidden="false" customHeight="false" outlineLevel="0" collapsed="false">
      <c r="A40" s="2" t="s">
        <v>3928</v>
      </c>
      <c r="B40" s="11" t="s">
        <v>2260</v>
      </c>
      <c r="C40" s="11" t="s">
        <v>1600</v>
      </c>
      <c r="D40" s="11" t="s">
        <v>755</v>
      </c>
      <c r="E40" s="11" t="s">
        <v>258</v>
      </c>
      <c r="G40" s="11" t="s">
        <v>1144</v>
      </c>
      <c r="H40" s="11" t="s">
        <v>1145</v>
      </c>
      <c r="I40" s="11" t="s">
        <v>1144</v>
      </c>
      <c r="J40" s="11" t="s">
        <v>1145</v>
      </c>
      <c r="K40" s="11" t="s">
        <v>766</v>
      </c>
      <c r="L40" s="11" t="n">
        <v>1</v>
      </c>
      <c r="O40" s="11" t="s">
        <v>3123</v>
      </c>
    </row>
    <row r="41" customFormat="false" ht="15" hidden="false" customHeight="false" outlineLevel="0" collapsed="false">
      <c r="A41" s="2" t="s">
        <v>3929</v>
      </c>
      <c r="B41" s="11" t="s">
        <v>2265</v>
      </c>
      <c r="C41" s="11" t="s">
        <v>1543</v>
      </c>
      <c r="D41" s="11" t="s">
        <v>755</v>
      </c>
      <c r="E41" s="11" t="s">
        <v>258</v>
      </c>
      <c r="G41" s="11" t="s">
        <v>1144</v>
      </c>
      <c r="H41" s="11" t="s">
        <v>1145</v>
      </c>
      <c r="I41" s="11" t="s">
        <v>1144</v>
      </c>
      <c r="J41" s="11" t="s">
        <v>1145</v>
      </c>
      <c r="K41" s="11" t="s">
        <v>766</v>
      </c>
      <c r="L41" s="11" t="n">
        <v>1</v>
      </c>
      <c r="O41" s="11" t="s">
        <v>3123</v>
      </c>
    </row>
    <row r="42" customFormat="false" ht="15" hidden="false" customHeight="false" outlineLevel="0" collapsed="false">
      <c r="A42" s="2" t="s">
        <v>3930</v>
      </c>
      <c r="B42" s="11" t="s">
        <v>2271</v>
      </c>
      <c r="C42" s="11" t="s">
        <v>1543</v>
      </c>
      <c r="D42" s="11" t="s">
        <v>755</v>
      </c>
      <c r="E42" s="11" t="s">
        <v>258</v>
      </c>
      <c r="G42" s="11" t="s">
        <v>1144</v>
      </c>
      <c r="H42" s="11" t="s">
        <v>1145</v>
      </c>
      <c r="I42" s="11" t="s">
        <v>1144</v>
      </c>
      <c r="J42" s="11" t="s">
        <v>1145</v>
      </c>
      <c r="K42" s="11" t="s">
        <v>766</v>
      </c>
      <c r="L42" s="11" t="n">
        <v>1</v>
      </c>
      <c r="O42" s="11" t="s">
        <v>3123</v>
      </c>
    </row>
    <row r="43" customFormat="false" ht="15" hidden="false" customHeight="false" outlineLevel="0" collapsed="false">
      <c r="A43" s="2" t="s">
        <v>3931</v>
      </c>
      <c r="B43" s="11" t="s">
        <v>2277</v>
      </c>
      <c r="C43" s="11" t="s">
        <v>1543</v>
      </c>
      <c r="D43" s="11" t="s">
        <v>755</v>
      </c>
      <c r="E43" s="11" t="s">
        <v>258</v>
      </c>
      <c r="G43" s="11" t="s">
        <v>1144</v>
      </c>
      <c r="H43" s="11" t="s">
        <v>1145</v>
      </c>
      <c r="I43" s="11" t="s">
        <v>1144</v>
      </c>
      <c r="J43" s="11" t="s">
        <v>1145</v>
      </c>
      <c r="K43" s="11" t="s">
        <v>766</v>
      </c>
      <c r="L43" s="11" t="n">
        <v>1</v>
      </c>
      <c r="O43" s="11" t="s">
        <v>3123</v>
      </c>
    </row>
    <row r="44" customFormat="false" ht="15" hidden="false" customHeight="false" outlineLevel="0" collapsed="false">
      <c r="A44" s="2" t="s">
        <v>3932</v>
      </c>
      <c r="B44" s="11" t="s">
        <v>1845</v>
      </c>
      <c r="C44" s="11" t="s">
        <v>1543</v>
      </c>
      <c r="D44" s="11" t="s">
        <v>755</v>
      </c>
      <c r="E44" s="11" t="s">
        <v>258</v>
      </c>
      <c r="G44" s="11" t="s">
        <v>1144</v>
      </c>
      <c r="H44" s="11" t="s">
        <v>1145</v>
      </c>
      <c r="I44" s="11" t="s">
        <v>1144</v>
      </c>
      <c r="J44" s="11" t="s">
        <v>1145</v>
      </c>
      <c r="K44" s="11" t="s">
        <v>766</v>
      </c>
      <c r="L44" s="11" t="n">
        <v>1</v>
      </c>
      <c r="O44" s="11" t="s">
        <v>3123</v>
      </c>
    </row>
    <row r="45" customFormat="false" ht="15" hidden="false" customHeight="false" outlineLevel="0" collapsed="false">
      <c r="A45" s="2" t="s">
        <v>3933</v>
      </c>
      <c r="B45" s="11" t="s">
        <v>2287</v>
      </c>
      <c r="C45" s="11" t="s">
        <v>1558</v>
      </c>
      <c r="D45" s="11" t="s">
        <v>755</v>
      </c>
      <c r="E45" s="11" t="s">
        <v>258</v>
      </c>
      <c r="G45" s="11" t="s">
        <v>1144</v>
      </c>
      <c r="H45" s="11" t="s">
        <v>1145</v>
      </c>
      <c r="I45" s="11" t="s">
        <v>1144</v>
      </c>
      <c r="J45" s="11" t="s">
        <v>1145</v>
      </c>
      <c r="K45" s="11" t="s">
        <v>766</v>
      </c>
      <c r="L45" s="11" t="n">
        <v>1</v>
      </c>
      <c r="O45" s="11" t="s">
        <v>3123</v>
      </c>
    </row>
    <row r="46" customFormat="false" ht="15" hidden="false" customHeight="false" outlineLevel="0" collapsed="false">
      <c r="A46" s="2" t="s">
        <v>3934</v>
      </c>
      <c r="B46" s="11" t="s">
        <v>2294</v>
      </c>
      <c r="C46" s="11" t="s">
        <v>1543</v>
      </c>
      <c r="D46" s="11" t="s">
        <v>755</v>
      </c>
      <c r="E46" s="11" t="s">
        <v>258</v>
      </c>
      <c r="G46" s="11" t="s">
        <v>1144</v>
      </c>
      <c r="H46" s="11" t="s">
        <v>1145</v>
      </c>
      <c r="I46" s="11" t="s">
        <v>1144</v>
      </c>
      <c r="J46" s="11" t="s">
        <v>1145</v>
      </c>
      <c r="K46" s="11" t="s">
        <v>766</v>
      </c>
      <c r="L46" s="11" t="n">
        <v>1</v>
      </c>
      <c r="O46" s="11" t="s">
        <v>3123</v>
      </c>
    </row>
    <row r="47" customFormat="false" ht="15" hidden="false" customHeight="false" outlineLevel="0" collapsed="false">
      <c r="A47" s="2" t="s">
        <v>3935</v>
      </c>
      <c r="B47" s="11" t="s">
        <v>2299</v>
      </c>
      <c r="C47" s="11" t="s">
        <v>1543</v>
      </c>
      <c r="D47" s="11" t="s">
        <v>755</v>
      </c>
      <c r="E47" s="11" t="s">
        <v>258</v>
      </c>
      <c r="G47" s="11" t="s">
        <v>1144</v>
      </c>
      <c r="H47" s="11" t="s">
        <v>1145</v>
      </c>
      <c r="I47" s="11" t="s">
        <v>1144</v>
      </c>
      <c r="J47" s="11" t="s">
        <v>1145</v>
      </c>
      <c r="K47" s="11" t="s">
        <v>766</v>
      </c>
      <c r="L47" s="11" t="n">
        <v>1</v>
      </c>
      <c r="O47" s="11" t="s">
        <v>3123</v>
      </c>
    </row>
    <row r="48" customFormat="false" ht="15" hidden="false" customHeight="false" outlineLevel="0" collapsed="false">
      <c r="A48" s="2" t="s">
        <v>3936</v>
      </c>
      <c r="B48" s="11" t="s">
        <v>2305</v>
      </c>
      <c r="C48" s="11" t="s">
        <v>1543</v>
      </c>
      <c r="D48" s="11" t="s">
        <v>755</v>
      </c>
      <c r="E48" s="11" t="s">
        <v>258</v>
      </c>
      <c r="G48" s="11" t="s">
        <v>1144</v>
      </c>
      <c r="H48" s="11" t="s">
        <v>1145</v>
      </c>
      <c r="I48" s="11" t="s">
        <v>1144</v>
      </c>
      <c r="J48" s="11" t="s">
        <v>1145</v>
      </c>
      <c r="K48" s="11" t="s">
        <v>766</v>
      </c>
      <c r="L48" s="11" t="n">
        <v>1</v>
      </c>
      <c r="O48" s="11" t="s">
        <v>3123</v>
      </c>
    </row>
    <row r="49" customFormat="false" ht="15" hidden="false" customHeight="false" outlineLevel="0" collapsed="false">
      <c r="A49" s="2" t="s">
        <v>3937</v>
      </c>
      <c r="B49" s="11" t="s">
        <v>2311</v>
      </c>
      <c r="C49" s="11" t="s">
        <v>1543</v>
      </c>
      <c r="D49" s="11" t="s">
        <v>755</v>
      </c>
      <c r="E49" s="11" t="s">
        <v>258</v>
      </c>
      <c r="G49" s="11" t="s">
        <v>1144</v>
      </c>
      <c r="H49" s="11" t="s">
        <v>1145</v>
      </c>
      <c r="I49" s="11" t="s">
        <v>1144</v>
      </c>
      <c r="J49" s="11" t="s">
        <v>1145</v>
      </c>
      <c r="K49" s="11" t="s">
        <v>766</v>
      </c>
      <c r="L49" s="11" t="n">
        <v>1</v>
      </c>
      <c r="O49" s="11" t="s">
        <v>3123</v>
      </c>
    </row>
    <row r="50" customFormat="false" ht="15" hidden="false" customHeight="false" outlineLevel="0" collapsed="false">
      <c r="A50" s="2" t="s">
        <v>3938</v>
      </c>
      <c r="B50" s="11" t="s">
        <v>2317</v>
      </c>
      <c r="C50" s="11" t="s">
        <v>1594</v>
      </c>
      <c r="D50" s="11" t="s">
        <v>755</v>
      </c>
      <c r="E50" s="11" t="s">
        <v>258</v>
      </c>
      <c r="G50" s="11" t="s">
        <v>1144</v>
      </c>
      <c r="H50" s="11" t="s">
        <v>1145</v>
      </c>
      <c r="I50" s="11" t="s">
        <v>1144</v>
      </c>
      <c r="J50" s="11" t="s">
        <v>1145</v>
      </c>
      <c r="K50" s="11" t="s">
        <v>766</v>
      </c>
      <c r="L50" s="11" t="n">
        <v>1</v>
      </c>
      <c r="O50" s="11" t="s">
        <v>3123</v>
      </c>
    </row>
    <row r="51" customFormat="false" ht="15" hidden="false" customHeight="false" outlineLevel="0" collapsed="false">
      <c r="A51" s="2" t="s">
        <v>3939</v>
      </c>
      <c r="B51" s="11" t="s">
        <v>2322</v>
      </c>
      <c r="C51" s="11" t="s">
        <v>1543</v>
      </c>
      <c r="D51" s="11" t="s">
        <v>755</v>
      </c>
      <c r="E51" s="11" t="s">
        <v>258</v>
      </c>
      <c r="G51" s="11" t="s">
        <v>1144</v>
      </c>
      <c r="H51" s="11" t="s">
        <v>1145</v>
      </c>
      <c r="I51" s="11" t="s">
        <v>1144</v>
      </c>
      <c r="J51" s="11" t="s">
        <v>1145</v>
      </c>
      <c r="K51" s="11" t="s">
        <v>766</v>
      </c>
      <c r="L51" s="11" t="n">
        <v>1</v>
      </c>
      <c r="O51" s="11" t="s">
        <v>3123</v>
      </c>
    </row>
    <row r="52" customFormat="false" ht="15" hidden="false" customHeight="false" outlineLevel="0" collapsed="false">
      <c r="A52" s="2" t="s">
        <v>3940</v>
      </c>
      <c r="B52" s="11" t="s">
        <v>2329</v>
      </c>
      <c r="C52" s="11" t="s">
        <v>1543</v>
      </c>
      <c r="D52" s="11" t="s">
        <v>755</v>
      </c>
      <c r="E52" s="11" t="s">
        <v>258</v>
      </c>
      <c r="G52" s="11" t="s">
        <v>1144</v>
      </c>
      <c r="H52" s="11" t="s">
        <v>1145</v>
      </c>
      <c r="I52" s="11" t="s">
        <v>1144</v>
      </c>
      <c r="J52" s="11" t="s">
        <v>1145</v>
      </c>
      <c r="K52" s="11" t="s">
        <v>766</v>
      </c>
      <c r="L52" s="11" t="n">
        <v>1</v>
      </c>
      <c r="O52" s="11" t="s">
        <v>3123</v>
      </c>
    </row>
    <row r="53" customFormat="false" ht="15" hidden="false" customHeight="false" outlineLevel="0" collapsed="false">
      <c r="A53" s="2" t="s">
        <v>3941</v>
      </c>
      <c r="B53" s="11" t="s">
        <v>2335</v>
      </c>
      <c r="C53" s="11" t="s">
        <v>1591</v>
      </c>
      <c r="D53" s="11" t="s">
        <v>755</v>
      </c>
      <c r="E53" s="11" t="s">
        <v>258</v>
      </c>
      <c r="G53" s="11" t="s">
        <v>1144</v>
      </c>
      <c r="H53" s="11" t="s">
        <v>1145</v>
      </c>
      <c r="I53" s="11" t="s">
        <v>1144</v>
      </c>
      <c r="J53" s="11" t="s">
        <v>1145</v>
      </c>
      <c r="K53" s="11" t="s">
        <v>766</v>
      </c>
      <c r="L53" s="11" t="n">
        <v>1</v>
      </c>
      <c r="O53" s="11" t="s">
        <v>3123</v>
      </c>
    </row>
    <row r="54" customFormat="false" ht="15" hidden="false" customHeight="false" outlineLevel="0" collapsed="false">
      <c r="A54" s="2" t="s">
        <v>3942</v>
      </c>
      <c r="B54" s="11" t="s">
        <v>2340</v>
      </c>
      <c r="C54" s="11" t="s">
        <v>1543</v>
      </c>
      <c r="D54" s="11" t="s">
        <v>755</v>
      </c>
      <c r="E54" s="11" t="s">
        <v>258</v>
      </c>
      <c r="G54" s="11" t="s">
        <v>1144</v>
      </c>
      <c r="H54" s="11" t="s">
        <v>1145</v>
      </c>
      <c r="I54" s="11" t="s">
        <v>1144</v>
      </c>
      <c r="J54" s="11" t="s">
        <v>1145</v>
      </c>
      <c r="K54" s="11" t="s">
        <v>766</v>
      </c>
      <c r="L54" s="11" t="n">
        <v>1</v>
      </c>
      <c r="O54" s="11" t="s">
        <v>3123</v>
      </c>
    </row>
    <row r="55" customFormat="false" ht="15" hidden="false" customHeight="false" outlineLevel="0" collapsed="false">
      <c r="A55" s="2" t="s">
        <v>3943</v>
      </c>
      <c r="B55" s="11" t="s">
        <v>2345</v>
      </c>
      <c r="C55" s="11" t="s">
        <v>1543</v>
      </c>
      <c r="D55" s="11" t="s">
        <v>755</v>
      </c>
      <c r="E55" s="11" t="s">
        <v>258</v>
      </c>
      <c r="G55" s="11" t="s">
        <v>1144</v>
      </c>
      <c r="H55" s="11" t="s">
        <v>1145</v>
      </c>
      <c r="I55" s="11" t="s">
        <v>1144</v>
      </c>
      <c r="J55" s="11" t="s">
        <v>1145</v>
      </c>
      <c r="K55" s="11" t="s">
        <v>766</v>
      </c>
      <c r="L55" s="11" t="n">
        <v>1</v>
      </c>
      <c r="O55" s="11" t="s">
        <v>3123</v>
      </c>
    </row>
    <row r="56" customFormat="false" ht="15" hidden="false" customHeight="false" outlineLevel="0" collapsed="false">
      <c r="A56" s="2" t="s">
        <v>3944</v>
      </c>
      <c r="B56" s="11" t="s">
        <v>2352</v>
      </c>
      <c r="C56" s="11" t="s">
        <v>1543</v>
      </c>
      <c r="D56" s="11" t="s">
        <v>755</v>
      </c>
      <c r="E56" s="11" t="s">
        <v>258</v>
      </c>
      <c r="G56" s="11" t="s">
        <v>1144</v>
      </c>
      <c r="H56" s="11" t="s">
        <v>1145</v>
      </c>
      <c r="I56" s="11" t="s">
        <v>1144</v>
      </c>
      <c r="J56" s="11" t="s">
        <v>1145</v>
      </c>
      <c r="K56" s="11" t="s">
        <v>766</v>
      </c>
      <c r="L56" s="11" t="n">
        <v>1</v>
      </c>
      <c r="O56" s="11" t="s">
        <v>3123</v>
      </c>
    </row>
    <row r="57" customFormat="false" ht="15" hidden="false" customHeight="false" outlineLevel="0" collapsed="false">
      <c r="A57" s="2" t="s">
        <v>3945</v>
      </c>
      <c r="B57" s="11" t="s">
        <v>2359</v>
      </c>
      <c r="C57" s="11" t="s">
        <v>1543</v>
      </c>
      <c r="D57" s="11" t="s">
        <v>755</v>
      </c>
      <c r="E57" s="11" t="s">
        <v>258</v>
      </c>
      <c r="G57" s="11" t="s">
        <v>1144</v>
      </c>
      <c r="H57" s="11" t="s">
        <v>1145</v>
      </c>
      <c r="I57" s="11" t="s">
        <v>1144</v>
      </c>
      <c r="J57" s="11" t="s">
        <v>1145</v>
      </c>
      <c r="K57" s="11" t="s">
        <v>766</v>
      </c>
      <c r="L57" s="11" t="n">
        <v>1</v>
      </c>
      <c r="O57" s="11" t="s">
        <v>3123</v>
      </c>
    </row>
    <row r="58" customFormat="false" ht="15" hidden="false" customHeight="false" outlineLevel="0" collapsed="false">
      <c r="A58" s="2" t="s">
        <v>3946</v>
      </c>
      <c r="B58" s="11" t="s">
        <v>2366</v>
      </c>
      <c r="C58" s="11" t="s">
        <v>1591</v>
      </c>
      <c r="D58" s="11" t="s">
        <v>755</v>
      </c>
      <c r="E58" s="11" t="s">
        <v>258</v>
      </c>
      <c r="G58" s="11" t="s">
        <v>1144</v>
      </c>
      <c r="H58" s="11" t="s">
        <v>1145</v>
      </c>
      <c r="I58" s="11" t="s">
        <v>1144</v>
      </c>
      <c r="J58" s="11" t="s">
        <v>1145</v>
      </c>
      <c r="K58" s="11" t="s">
        <v>766</v>
      </c>
      <c r="L58" s="11" t="n">
        <v>1</v>
      </c>
      <c r="O58" s="11" t="s">
        <v>3123</v>
      </c>
    </row>
    <row r="59" customFormat="false" ht="15" hidden="false" customHeight="false" outlineLevel="0" collapsed="false">
      <c r="A59" s="2" t="s">
        <v>3947</v>
      </c>
      <c r="B59" s="11" t="s">
        <v>2373</v>
      </c>
      <c r="C59" s="11" t="s">
        <v>1582</v>
      </c>
      <c r="D59" s="11" t="s">
        <v>755</v>
      </c>
      <c r="E59" s="11" t="s">
        <v>258</v>
      </c>
      <c r="G59" s="11" t="s">
        <v>1144</v>
      </c>
      <c r="H59" s="11" t="s">
        <v>1145</v>
      </c>
      <c r="I59" s="11" t="s">
        <v>1144</v>
      </c>
      <c r="J59" s="11" t="s">
        <v>1145</v>
      </c>
      <c r="K59" s="11" t="s">
        <v>766</v>
      </c>
      <c r="L59" s="11" t="n">
        <v>1</v>
      </c>
      <c r="O59" s="11" t="s">
        <v>3123</v>
      </c>
    </row>
    <row r="60" customFormat="false" ht="15" hidden="false" customHeight="false" outlineLevel="0" collapsed="false">
      <c r="A60" s="2" t="s">
        <v>3948</v>
      </c>
      <c r="B60" s="11" t="s">
        <v>2373</v>
      </c>
      <c r="C60" s="11" t="s">
        <v>1585</v>
      </c>
      <c r="D60" s="11" t="s">
        <v>755</v>
      </c>
      <c r="E60" s="11" t="s">
        <v>258</v>
      </c>
      <c r="G60" s="11" t="s">
        <v>1144</v>
      </c>
      <c r="H60" s="11" t="s">
        <v>1145</v>
      </c>
      <c r="I60" s="11" t="s">
        <v>1144</v>
      </c>
      <c r="J60" s="11" t="s">
        <v>1145</v>
      </c>
      <c r="K60" s="11" t="s">
        <v>766</v>
      </c>
      <c r="L60" s="11" t="n">
        <v>1</v>
      </c>
      <c r="O60" s="11" t="s">
        <v>3123</v>
      </c>
    </row>
    <row r="61" customFormat="false" ht="15" hidden="false" customHeight="false" outlineLevel="0" collapsed="false">
      <c r="A61" s="2" t="s">
        <v>3949</v>
      </c>
      <c r="B61" s="11" t="s">
        <v>2380</v>
      </c>
      <c r="C61" s="11" t="s">
        <v>1582</v>
      </c>
      <c r="D61" s="11" t="s">
        <v>755</v>
      </c>
      <c r="E61" s="11" t="s">
        <v>258</v>
      </c>
      <c r="G61" s="11" t="s">
        <v>1144</v>
      </c>
      <c r="H61" s="11" t="s">
        <v>1145</v>
      </c>
      <c r="I61" s="11" t="s">
        <v>1144</v>
      </c>
      <c r="J61" s="11" t="s">
        <v>1145</v>
      </c>
      <c r="K61" s="11" t="s">
        <v>766</v>
      </c>
      <c r="L61" s="11" t="n">
        <v>1</v>
      </c>
      <c r="O61" s="11" t="s">
        <v>3123</v>
      </c>
    </row>
    <row r="62" customFormat="false" ht="15" hidden="false" customHeight="false" outlineLevel="0" collapsed="false">
      <c r="A62" s="2" t="s">
        <v>3950</v>
      </c>
      <c r="B62" s="11" t="s">
        <v>2380</v>
      </c>
      <c r="C62" s="11" t="s">
        <v>1585</v>
      </c>
      <c r="D62" s="11" t="s">
        <v>755</v>
      </c>
      <c r="E62" s="11" t="s">
        <v>258</v>
      </c>
      <c r="G62" s="11" t="s">
        <v>1144</v>
      </c>
      <c r="H62" s="11" t="s">
        <v>1145</v>
      </c>
      <c r="I62" s="11" t="s">
        <v>1144</v>
      </c>
      <c r="J62" s="11" t="s">
        <v>1145</v>
      </c>
      <c r="K62" s="11" t="s">
        <v>766</v>
      </c>
      <c r="L62" s="11" t="n">
        <v>1</v>
      </c>
      <c r="O62" s="11" t="s">
        <v>3123</v>
      </c>
    </row>
    <row r="63" customFormat="false" ht="15" hidden="false" customHeight="false" outlineLevel="0" collapsed="false">
      <c r="A63" s="2" t="s">
        <v>3951</v>
      </c>
      <c r="B63" s="11" t="s">
        <v>2387</v>
      </c>
      <c r="C63" s="11" t="s">
        <v>1582</v>
      </c>
      <c r="D63" s="11" t="s">
        <v>755</v>
      </c>
      <c r="E63" s="11" t="s">
        <v>258</v>
      </c>
      <c r="G63" s="11" t="s">
        <v>1144</v>
      </c>
      <c r="H63" s="11" t="s">
        <v>1145</v>
      </c>
      <c r="I63" s="11" t="s">
        <v>1144</v>
      </c>
      <c r="J63" s="11" t="s">
        <v>1145</v>
      </c>
      <c r="K63" s="11" t="s">
        <v>766</v>
      </c>
      <c r="L63" s="11" t="n">
        <v>1</v>
      </c>
      <c r="O63" s="11" t="s">
        <v>3123</v>
      </c>
    </row>
    <row r="64" customFormat="false" ht="15" hidden="false" customHeight="false" outlineLevel="0" collapsed="false">
      <c r="A64" s="2" t="s">
        <v>3952</v>
      </c>
      <c r="B64" s="11" t="s">
        <v>2387</v>
      </c>
      <c r="C64" s="11" t="s">
        <v>1585</v>
      </c>
      <c r="D64" s="11" t="s">
        <v>755</v>
      </c>
      <c r="E64" s="11" t="s">
        <v>258</v>
      </c>
      <c r="G64" s="11" t="s">
        <v>1144</v>
      </c>
      <c r="H64" s="11" t="s">
        <v>1145</v>
      </c>
      <c r="I64" s="11" t="s">
        <v>1144</v>
      </c>
      <c r="J64" s="11" t="s">
        <v>1145</v>
      </c>
      <c r="K64" s="11" t="s">
        <v>766</v>
      </c>
      <c r="L64" s="11" t="n">
        <v>1</v>
      </c>
      <c r="O64" s="11" t="s">
        <v>3123</v>
      </c>
    </row>
    <row r="65" customFormat="false" ht="15" hidden="false" customHeight="false" outlineLevel="0" collapsed="false">
      <c r="A65" s="2" t="s">
        <v>3953</v>
      </c>
      <c r="B65" s="11" t="s">
        <v>2387</v>
      </c>
      <c r="C65" s="11" t="s">
        <v>1555</v>
      </c>
      <c r="D65" s="11" t="s">
        <v>755</v>
      </c>
      <c r="E65" s="11" t="s">
        <v>272</v>
      </c>
      <c r="G65" s="11" t="s">
        <v>1144</v>
      </c>
      <c r="H65" s="11" t="s">
        <v>1145</v>
      </c>
      <c r="I65" s="11" t="s">
        <v>1144</v>
      </c>
      <c r="J65" s="11" t="s">
        <v>1145</v>
      </c>
      <c r="K65" s="11" t="s">
        <v>766</v>
      </c>
      <c r="L65" s="11" t="n">
        <v>1</v>
      </c>
      <c r="O65" s="11" t="s">
        <v>3123</v>
      </c>
    </row>
    <row r="66" customFormat="false" ht="15" hidden="false" customHeight="false" outlineLevel="0" collapsed="false">
      <c r="A66" s="2" t="s">
        <v>3954</v>
      </c>
      <c r="B66" s="11" t="s">
        <v>2394</v>
      </c>
      <c r="C66" s="11" t="s">
        <v>1543</v>
      </c>
      <c r="D66" s="11" t="s">
        <v>755</v>
      </c>
      <c r="E66" s="11" t="s">
        <v>258</v>
      </c>
      <c r="G66" s="11" t="s">
        <v>1144</v>
      </c>
      <c r="H66" s="11" t="s">
        <v>1145</v>
      </c>
      <c r="I66" s="11" t="s">
        <v>1144</v>
      </c>
      <c r="J66" s="11" t="s">
        <v>1145</v>
      </c>
      <c r="K66" s="11" t="s">
        <v>766</v>
      </c>
      <c r="L66" s="11" t="n">
        <v>1</v>
      </c>
      <c r="O66" s="11" t="s">
        <v>3123</v>
      </c>
    </row>
    <row r="67" customFormat="false" ht="15" hidden="false" customHeight="false" outlineLevel="0" collapsed="false">
      <c r="A67" s="2" t="s">
        <v>3955</v>
      </c>
      <c r="B67" s="11" t="s">
        <v>2401</v>
      </c>
      <c r="C67" s="11" t="s">
        <v>1543</v>
      </c>
      <c r="D67" s="11" t="s">
        <v>755</v>
      </c>
      <c r="E67" s="11" t="s">
        <v>258</v>
      </c>
      <c r="G67" s="11" t="s">
        <v>1144</v>
      </c>
      <c r="H67" s="11" t="s">
        <v>1145</v>
      </c>
      <c r="I67" s="11" t="s">
        <v>1144</v>
      </c>
      <c r="J67" s="11" t="s">
        <v>1145</v>
      </c>
      <c r="K67" s="11" t="s">
        <v>766</v>
      </c>
      <c r="L67" s="11" t="n">
        <v>1</v>
      </c>
      <c r="O67" s="11" t="s">
        <v>3123</v>
      </c>
    </row>
    <row r="68" customFormat="false" ht="15" hidden="false" customHeight="false" outlineLevel="0" collapsed="false">
      <c r="A68" s="2" t="s">
        <v>3956</v>
      </c>
      <c r="B68" s="11" t="s">
        <v>2408</v>
      </c>
      <c r="C68" s="11" t="s">
        <v>1543</v>
      </c>
      <c r="D68" s="11" t="s">
        <v>755</v>
      </c>
      <c r="E68" s="11" t="s">
        <v>258</v>
      </c>
      <c r="G68" s="11" t="s">
        <v>1144</v>
      </c>
      <c r="H68" s="11" t="s">
        <v>1145</v>
      </c>
      <c r="I68" s="11" t="s">
        <v>1144</v>
      </c>
      <c r="J68" s="11" t="s">
        <v>1145</v>
      </c>
      <c r="K68" s="11" t="s">
        <v>766</v>
      </c>
      <c r="L68" s="11" t="n">
        <v>1</v>
      </c>
      <c r="O68" s="11" t="s">
        <v>3123</v>
      </c>
    </row>
    <row r="69" customFormat="false" ht="15" hidden="false" customHeight="false" outlineLevel="0" collapsed="false">
      <c r="A69" s="2" t="s">
        <v>3957</v>
      </c>
      <c r="B69" s="11" t="s">
        <v>2415</v>
      </c>
      <c r="C69" s="11" t="s">
        <v>1558</v>
      </c>
      <c r="D69" s="11" t="s">
        <v>755</v>
      </c>
      <c r="E69" s="11" t="s">
        <v>258</v>
      </c>
      <c r="G69" s="11" t="s">
        <v>1144</v>
      </c>
      <c r="H69" s="11" t="s">
        <v>1145</v>
      </c>
      <c r="I69" s="11" t="s">
        <v>1144</v>
      </c>
      <c r="J69" s="11" t="s">
        <v>1145</v>
      </c>
      <c r="K69" s="11" t="s">
        <v>766</v>
      </c>
      <c r="L69" s="11" t="n">
        <v>1</v>
      </c>
      <c r="O69" s="11" t="s">
        <v>3123</v>
      </c>
    </row>
    <row r="70" customFormat="false" ht="15" hidden="false" customHeight="false" outlineLevel="0" collapsed="false">
      <c r="A70" s="2" t="s">
        <v>3958</v>
      </c>
      <c r="B70" s="11" t="s">
        <v>2422</v>
      </c>
      <c r="C70" s="11" t="s">
        <v>1591</v>
      </c>
      <c r="D70" s="11" t="s">
        <v>755</v>
      </c>
      <c r="E70" s="11" t="s">
        <v>258</v>
      </c>
      <c r="G70" s="11" t="s">
        <v>1144</v>
      </c>
      <c r="H70" s="11" t="s">
        <v>1145</v>
      </c>
      <c r="I70" s="11" t="s">
        <v>1144</v>
      </c>
      <c r="J70" s="11" t="s">
        <v>1145</v>
      </c>
      <c r="K70" s="11" t="s">
        <v>766</v>
      </c>
      <c r="L70" s="11" t="n">
        <v>1</v>
      </c>
      <c r="O70" s="11" t="s">
        <v>3123</v>
      </c>
    </row>
    <row r="71" customFormat="false" ht="15" hidden="false" customHeight="false" outlineLevel="0" collapsed="false">
      <c r="A71" s="2" t="s">
        <v>3959</v>
      </c>
      <c r="B71" s="11" t="s">
        <v>2429</v>
      </c>
      <c r="C71" s="11" t="s">
        <v>1555</v>
      </c>
      <c r="D71" s="11" t="s">
        <v>755</v>
      </c>
      <c r="E71" s="11" t="s">
        <v>258</v>
      </c>
      <c r="G71" s="11" t="s">
        <v>1144</v>
      </c>
      <c r="H71" s="11" t="s">
        <v>1145</v>
      </c>
      <c r="I71" s="11" t="s">
        <v>1144</v>
      </c>
      <c r="J71" s="11" t="s">
        <v>1145</v>
      </c>
      <c r="K71" s="11" t="s">
        <v>766</v>
      </c>
      <c r="L71" s="11" t="n">
        <v>1</v>
      </c>
      <c r="O71" s="11" t="s">
        <v>3123</v>
      </c>
    </row>
    <row r="72" customFormat="false" ht="15" hidden="false" customHeight="false" outlineLevel="0" collapsed="false">
      <c r="A72" s="2" t="s">
        <v>3960</v>
      </c>
      <c r="B72" s="11" t="s">
        <v>2429</v>
      </c>
      <c r="C72" s="11" t="s">
        <v>1549</v>
      </c>
      <c r="D72" s="11" t="s">
        <v>755</v>
      </c>
      <c r="E72" s="11" t="s">
        <v>272</v>
      </c>
      <c r="G72" s="11" t="s">
        <v>1144</v>
      </c>
      <c r="H72" s="11" t="s">
        <v>1145</v>
      </c>
      <c r="I72" s="11" t="s">
        <v>1144</v>
      </c>
      <c r="J72" s="11" t="s">
        <v>1145</v>
      </c>
      <c r="K72" s="11" t="s">
        <v>766</v>
      </c>
      <c r="L72" s="11" t="n">
        <v>1</v>
      </c>
      <c r="O72" s="11" t="s">
        <v>3123</v>
      </c>
    </row>
    <row r="73" customFormat="false" ht="15" hidden="false" customHeight="false" outlineLevel="0" collapsed="false">
      <c r="A73" s="2" t="s">
        <v>3961</v>
      </c>
      <c r="B73" s="11" t="s">
        <v>2429</v>
      </c>
      <c r="C73" s="11" t="s">
        <v>1552</v>
      </c>
      <c r="D73" s="11" t="s">
        <v>755</v>
      </c>
      <c r="E73" s="11" t="s">
        <v>272</v>
      </c>
      <c r="G73" s="11" t="s">
        <v>1144</v>
      </c>
      <c r="H73" s="11" t="s">
        <v>1145</v>
      </c>
      <c r="I73" s="11" t="s">
        <v>1144</v>
      </c>
      <c r="J73" s="11" t="s">
        <v>1145</v>
      </c>
      <c r="K73" s="11" t="s">
        <v>766</v>
      </c>
      <c r="L73" s="11" t="n">
        <v>1</v>
      </c>
      <c r="O73" s="11" t="s">
        <v>3123</v>
      </c>
    </row>
    <row r="74" customFormat="false" ht="15" hidden="false" customHeight="false" outlineLevel="0" collapsed="false">
      <c r="A74" s="2" t="s">
        <v>3962</v>
      </c>
      <c r="B74" s="11" t="s">
        <v>2436</v>
      </c>
      <c r="C74" s="11" t="s">
        <v>1570</v>
      </c>
      <c r="D74" s="11" t="s">
        <v>755</v>
      </c>
      <c r="E74" s="11" t="s">
        <v>258</v>
      </c>
      <c r="G74" s="11" t="s">
        <v>1144</v>
      </c>
      <c r="H74" s="11" t="s">
        <v>1145</v>
      </c>
      <c r="I74" s="11" t="s">
        <v>1144</v>
      </c>
      <c r="J74" s="11" t="s">
        <v>1145</v>
      </c>
      <c r="K74" s="11" t="s">
        <v>766</v>
      </c>
      <c r="L74" s="11" t="n">
        <v>1</v>
      </c>
      <c r="O74" s="11" t="s">
        <v>3123</v>
      </c>
    </row>
    <row r="75" customFormat="false" ht="15" hidden="false" customHeight="false" outlineLevel="0" collapsed="false">
      <c r="A75" s="2" t="s">
        <v>3963</v>
      </c>
      <c r="B75" s="11" t="s">
        <v>2436</v>
      </c>
      <c r="C75" s="11" t="s">
        <v>1567</v>
      </c>
      <c r="D75" s="11" t="s">
        <v>755</v>
      </c>
      <c r="E75" s="11" t="s">
        <v>258</v>
      </c>
      <c r="G75" s="11" t="s">
        <v>1144</v>
      </c>
      <c r="H75" s="11" t="s">
        <v>1145</v>
      </c>
      <c r="I75" s="11" t="s">
        <v>1144</v>
      </c>
      <c r="J75" s="11" t="s">
        <v>1145</v>
      </c>
      <c r="K75" s="11" t="s">
        <v>766</v>
      </c>
      <c r="L75" s="11" t="n">
        <v>1</v>
      </c>
      <c r="O75" s="11" t="s">
        <v>3123</v>
      </c>
    </row>
    <row r="76" customFormat="false" ht="15" hidden="false" customHeight="false" outlineLevel="0" collapsed="false">
      <c r="A76" s="2" t="s">
        <v>3964</v>
      </c>
      <c r="B76" s="11" t="s">
        <v>2436</v>
      </c>
      <c r="C76" s="11" t="s">
        <v>1600</v>
      </c>
      <c r="D76" s="11" t="s">
        <v>755</v>
      </c>
      <c r="E76" s="11" t="s">
        <v>272</v>
      </c>
      <c r="G76" s="11" t="s">
        <v>1144</v>
      </c>
      <c r="H76" s="11" t="s">
        <v>1145</v>
      </c>
      <c r="I76" s="11" t="s">
        <v>1144</v>
      </c>
      <c r="J76" s="11" t="s">
        <v>1145</v>
      </c>
      <c r="K76" s="11" t="s">
        <v>766</v>
      </c>
      <c r="L76" s="11" t="n">
        <v>1</v>
      </c>
      <c r="O76" s="11" t="s">
        <v>3123</v>
      </c>
    </row>
    <row r="77" customFormat="false" ht="15" hidden="false" customHeight="false" outlineLevel="0" collapsed="false">
      <c r="A77" s="2" t="s">
        <v>3965</v>
      </c>
      <c r="B77" s="11" t="s">
        <v>2443</v>
      </c>
      <c r="C77" s="11" t="s">
        <v>1543</v>
      </c>
      <c r="D77" s="11" t="s">
        <v>755</v>
      </c>
      <c r="E77" s="11" t="s">
        <v>258</v>
      </c>
      <c r="G77" s="11" t="s">
        <v>1144</v>
      </c>
      <c r="H77" s="11" t="s">
        <v>1145</v>
      </c>
      <c r="I77" s="11" t="s">
        <v>1144</v>
      </c>
      <c r="J77" s="11" t="s">
        <v>1145</v>
      </c>
      <c r="K77" s="11" t="s">
        <v>766</v>
      </c>
      <c r="L77" s="11" t="n">
        <v>1</v>
      </c>
      <c r="O77" s="11" t="s">
        <v>3123</v>
      </c>
    </row>
    <row r="78" customFormat="false" ht="15" hidden="false" customHeight="false" outlineLevel="0" collapsed="false">
      <c r="A78" s="2" t="s">
        <v>3966</v>
      </c>
      <c r="B78" s="11" t="s">
        <v>2450</v>
      </c>
      <c r="C78" s="11" t="s">
        <v>1543</v>
      </c>
      <c r="D78" s="11" t="s">
        <v>755</v>
      </c>
      <c r="E78" s="11" t="s">
        <v>258</v>
      </c>
      <c r="G78" s="11" t="s">
        <v>1144</v>
      </c>
      <c r="H78" s="11" t="s">
        <v>1145</v>
      </c>
      <c r="I78" s="11" t="s">
        <v>1144</v>
      </c>
      <c r="J78" s="11" t="s">
        <v>1145</v>
      </c>
      <c r="K78" s="11" t="s">
        <v>766</v>
      </c>
      <c r="L78" s="11" t="n">
        <v>1</v>
      </c>
      <c r="O78" s="11" t="s">
        <v>3123</v>
      </c>
    </row>
    <row r="79" customFormat="false" ht="15" hidden="false" customHeight="false" outlineLevel="0" collapsed="false">
      <c r="A79" s="2" t="s">
        <v>3967</v>
      </c>
      <c r="B79" s="11" t="s">
        <v>2456</v>
      </c>
      <c r="C79" s="11" t="s">
        <v>1543</v>
      </c>
      <c r="D79" s="11" t="s">
        <v>755</v>
      </c>
      <c r="E79" s="11" t="s">
        <v>258</v>
      </c>
      <c r="G79" s="11" t="s">
        <v>1144</v>
      </c>
      <c r="H79" s="11" t="s">
        <v>1145</v>
      </c>
      <c r="I79" s="11" t="s">
        <v>1144</v>
      </c>
      <c r="J79" s="11" t="s">
        <v>1145</v>
      </c>
      <c r="K79" s="11" t="s">
        <v>766</v>
      </c>
      <c r="L79" s="11" t="n">
        <v>1</v>
      </c>
      <c r="O79" s="11" t="s">
        <v>3123</v>
      </c>
    </row>
    <row r="80" customFormat="false" ht="15" hidden="false" customHeight="false" outlineLevel="0" collapsed="false">
      <c r="A80" s="2" t="s">
        <v>3968</v>
      </c>
      <c r="B80" s="11" t="s">
        <v>2462</v>
      </c>
      <c r="C80" s="11" t="s">
        <v>1543</v>
      </c>
      <c r="D80" s="11" t="s">
        <v>755</v>
      </c>
      <c r="E80" s="11" t="s">
        <v>258</v>
      </c>
      <c r="G80" s="11" t="s">
        <v>1144</v>
      </c>
      <c r="H80" s="11" t="s">
        <v>1145</v>
      </c>
      <c r="I80" s="11" t="s">
        <v>1144</v>
      </c>
      <c r="J80" s="11" t="s">
        <v>1145</v>
      </c>
      <c r="K80" s="11" t="s">
        <v>766</v>
      </c>
      <c r="L80" s="11" t="n">
        <v>1</v>
      </c>
      <c r="O80" s="11" t="s">
        <v>3123</v>
      </c>
    </row>
    <row r="81" customFormat="false" ht="15" hidden="false" customHeight="false" outlineLevel="0" collapsed="false">
      <c r="A81" s="2" t="s">
        <v>3969</v>
      </c>
      <c r="B81" s="11" t="s">
        <v>2467</v>
      </c>
      <c r="C81" s="11" t="s">
        <v>1543</v>
      </c>
      <c r="D81" s="11" t="s">
        <v>755</v>
      </c>
      <c r="E81" s="11" t="s">
        <v>258</v>
      </c>
      <c r="G81" s="11" t="s">
        <v>1144</v>
      </c>
      <c r="H81" s="11" t="s">
        <v>1145</v>
      </c>
      <c r="I81" s="11" t="s">
        <v>1144</v>
      </c>
      <c r="J81" s="11" t="s">
        <v>1145</v>
      </c>
      <c r="K81" s="11" t="s">
        <v>766</v>
      </c>
      <c r="L81" s="11" t="n">
        <v>1</v>
      </c>
      <c r="O81" s="11" t="s">
        <v>3123</v>
      </c>
    </row>
    <row r="82" customFormat="false" ht="15" hidden="false" customHeight="false" outlineLevel="0" collapsed="false">
      <c r="A82" s="2" t="s">
        <v>3970</v>
      </c>
      <c r="B82" s="11" t="s">
        <v>2473</v>
      </c>
      <c r="C82" s="11" t="s">
        <v>1543</v>
      </c>
      <c r="D82" s="11" t="s">
        <v>755</v>
      </c>
      <c r="E82" s="11" t="s">
        <v>258</v>
      </c>
      <c r="G82" s="11" t="s">
        <v>1144</v>
      </c>
      <c r="H82" s="11" t="s">
        <v>1145</v>
      </c>
      <c r="I82" s="11" t="s">
        <v>1144</v>
      </c>
      <c r="J82" s="11" t="s">
        <v>1145</v>
      </c>
      <c r="K82" s="11" t="s">
        <v>766</v>
      </c>
      <c r="L82" s="11" t="n">
        <v>1</v>
      </c>
      <c r="O82" s="11" t="s">
        <v>3123</v>
      </c>
    </row>
    <row r="83" customFormat="false" ht="15" hidden="false" customHeight="false" outlineLevel="0" collapsed="false">
      <c r="A83" s="2" t="s">
        <v>3971</v>
      </c>
      <c r="B83" s="11" t="s">
        <v>2479</v>
      </c>
      <c r="C83" s="11" t="s">
        <v>1543</v>
      </c>
      <c r="D83" s="11" t="s">
        <v>755</v>
      </c>
      <c r="E83" s="11" t="s">
        <v>258</v>
      </c>
      <c r="G83" s="11" t="s">
        <v>1144</v>
      </c>
      <c r="H83" s="11" t="s">
        <v>1145</v>
      </c>
      <c r="I83" s="11" t="s">
        <v>1144</v>
      </c>
      <c r="J83" s="11" t="s">
        <v>1145</v>
      </c>
      <c r="K83" s="11" t="s">
        <v>766</v>
      </c>
      <c r="L83" s="11" t="n">
        <v>1</v>
      </c>
      <c r="O83" s="11" t="s">
        <v>3123</v>
      </c>
    </row>
    <row r="84" customFormat="false" ht="15" hidden="false" customHeight="false" outlineLevel="0" collapsed="false">
      <c r="A84" s="2" t="s">
        <v>3972</v>
      </c>
      <c r="B84" s="11" t="s">
        <v>2485</v>
      </c>
      <c r="C84" s="11" t="s">
        <v>1582</v>
      </c>
      <c r="D84" s="11" t="s">
        <v>755</v>
      </c>
      <c r="E84" s="11" t="s">
        <v>258</v>
      </c>
      <c r="G84" s="11" t="s">
        <v>1144</v>
      </c>
      <c r="H84" s="11" t="s">
        <v>1145</v>
      </c>
      <c r="I84" s="11" t="s">
        <v>1144</v>
      </c>
      <c r="J84" s="11" t="s">
        <v>1145</v>
      </c>
      <c r="K84" s="11" t="s">
        <v>766</v>
      </c>
      <c r="L84" s="11" t="n">
        <v>1</v>
      </c>
      <c r="O84" s="11" t="s">
        <v>3123</v>
      </c>
    </row>
    <row r="85" customFormat="false" ht="15" hidden="false" customHeight="false" outlineLevel="0" collapsed="false">
      <c r="A85" s="2" t="s">
        <v>3973</v>
      </c>
      <c r="B85" s="11" t="s">
        <v>2485</v>
      </c>
      <c r="C85" s="11" t="s">
        <v>1585</v>
      </c>
      <c r="D85" s="11" t="s">
        <v>755</v>
      </c>
      <c r="E85" s="11" t="s">
        <v>258</v>
      </c>
      <c r="G85" s="11" t="s">
        <v>1144</v>
      </c>
      <c r="H85" s="11" t="s">
        <v>1145</v>
      </c>
      <c r="I85" s="11" t="s">
        <v>1144</v>
      </c>
      <c r="J85" s="11" t="s">
        <v>1145</v>
      </c>
      <c r="K85" s="11" t="s">
        <v>766</v>
      </c>
      <c r="L85" s="11" t="n">
        <v>1</v>
      </c>
      <c r="O85" s="11" t="s">
        <v>3123</v>
      </c>
    </row>
    <row r="86" customFormat="false" ht="15" hidden="false" customHeight="false" outlineLevel="0" collapsed="false">
      <c r="A86" s="2" t="s">
        <v>3974</v>
      </c>
      <c r="B86" s="11" t="s">
        <v>2485</v>
      </c>
      <c r="C86" s="11" t="s">
        <v>1555</v>
      </c>
      <c r="D86" s="11" t="s">
        <v>755</v>
      </c>
      <c r="E86" s="11" t="s">
        <v>272</v>
      </c>
      <c r="G86" s="11" t="s">
        <v>1144</v>
      </c>
      <c r="H86" s="11" t="s">
        <v>1145</v>
      </c>
      <c r="I86" s="11" t="s">
        <v>1144</v>
      </c>
      <c r="J86" s="11" t="s">
        <v>1145</v>
      </c>
      <c r="K86" s="11" t="s">
        <v>766</v>
      </c>
      <c r="L86" s="11" t="n">
        <v>1</v>
      </c>
      <c r="O86" s="11" t="s">
        <v>3123</v>
      </c>
    </row>
    <row r="87" customFormat="false" ht="15" hidden="false" customHeight="false" outlineLevel="0" collapsed="false">
      <c r="A87" s="2" t="s">
        <v>3975</v>
      </c>
      <c r="B87" s="11" t="s">
        <v>2485</v>
      </c>
      <c r="C87" s="11" t="s">
        <v>1567</v>
      </c>
      <c r="D87" s="11" t="s">
        <v>755</v>
      </c>
      <c r="E87" s="11" t="s">
        <v>272</v>
      </c>
      <c r="G87" s="11" t="s">
        <v>1144</v>
      </c>
      <c r="H87" s="11" t="s">
        <v>1145</v>
      </c>
      <c r="I87" s="11" t="s">
        <v>1144</v>
      </c>
      <c r="J87" s="11" t="s">
        <v>1145</v>
      </c>
      <c r="K87" s="11" t="s">
        <v>766</v>
      </c>
      <c r="L87" s="11" t="n">
        <v>1</v>
      </c>
      <c r="O87" s="11" t="s">
        <v>3123</v>
      </c>
    </row>
    <row r="88" customFormat="false" ht="15" hidden="false" customHeight="false" outlineLevel="0" collapsed="false">
      <c r="A88" s="2" t="s">
        <v>3976</v>
      </c>
      <c r="B88" s="11" t="s">
        <v>2491</v>
      </c>
      <c r="C88" s="11" t="s">
        <v>1543</v>
      </c>
      <c r="D88" s="11" t="s">
        <v>755</v>
      </c>
      <c r="E88" s="11" t="s">
        <v>258</v>
      </c>
      <c r="G88" s="11" t="s">
        <v>1144</v>
      </c>
      <c r="H88" s="11" t="s">
        <v>1145</v>
      </c>
      <c r="I88" s="11" t="s">
        <v>1144</v>
      </c>
      <c r="J88" s="11" t="s">
        <v>1145</v>
      </c>
      <c r="K88" s="11" t="s">
        <v>766</v>
      </c>
      <c r="L88" s="11" t="n">
        <v>1</v>
      </c>
      <c r="O88" s="11" t="s">
        <v>3123</v>
      </c>
    </row>
    <row r="89" customFormat="false" ht="15" hidden="false" customHeight="false" outlineLevel="0" collapsed="false">
      <c r="A89" s="2" t="s">
        <v>3977</v>
      </c>
      <c r="B89" s="11" t="s">
        <v>2497</v>
      </c>
      <c r="C89" s="11" t="s">
        <v>1582</v>
      </c>
      <c r="D89" s="11" t="s">
        <v>755</v>
      </c>
      <c r="E89" s="11" t="s">
        <v>258</v>
      </c>
      <c r="G89" s="11" t="s">
        <v>1144</v>
      </c>
      <c r="H89" s="11" t="s">
        <v>1145</v>
      </c>
      <c r="I89" s="11" t="s">
        <v>1144</v>
      </c>
      <c r="J89" s="11" t="s">
        <v>1145</v>
      </c>
      <c r="K89" s="11" t="s">
        <v>766</v>
      </c>
      <c r="L89" s="11" t="n">
        <v>1</v>
      </c>
      <c r="O89" s="11" t="s">
        <v>3123</v>
      </c>
    </row>
    <row r="90" customFormat="false" ht="15" hidden="false" customHeight="false" outlineLevel="0" collapsed="false">
      <c r="A90" s="2" t="s">
        <v>3978</v>
      </c>
      <c r="B90" s="11" t="s">
        <v>2497</v>
      </c>
      <c r="C90" s="11" t="s">
        <v>1585</v>
      </c>
      <c r="D90" s="11" t="s">
        <v>755</v>
      </c>
      <c r="E90" s="11" t="s">
        <v>258</v>
      </c>
      <c r="G90" s="11" t="s">
        <v>1144</v>
      </c>
      <c r="H90" s="11" t="s">
        <v>1145</v>
      </c>
      <c r="I90" s="11" t="s">
        <v>1144</v>
      </c>
      <c r="J90" s="11" t="s">
        <v>1145</v>
      </c>
      <c r="K90" s="11" t="s">
        <v>766</v>
      </c>
      <c r="L90" s="11" t="n">
        <v>1</v>
      </c>
      <c r="O90" s="11" t="s">
        <v>3123</v>
      </c>
    </row>
    <row r="91" customFormat="false" ht="15" hidden="false" customHeight="false" outlineLevel="0" collapsed="false">
      <c r="A91" s="2" t="s">
        <v>3979</v>
      </c>
      <c r="B91" s="11" t="s">
        <v>2497</v>
      </c>
      <c r="C91" s="11" t="s">
        <v>1546</v>
      </c>
      <c r="D91" s="11" t="s">
        <v>755</v>
      </c>
      <c r="E91" s="11" t="s">
        <v>272</v>
      </c>
      <c r="G91" s="11" t="s">
        <v>1144</v>
      </c>
      <c r="H91" s="11" t="s">
        <v>1145</v>
      </c>
      <c r="I91" s="11" t="s">
        <v>1144</v>
      </c>
      <c r="J91" s="11" t="s">
        <v>1145</v>
      </c>
      <c r="K91" s="11" t="s">
        <v>766</v>
      </c>
      <c r="L91" s="11" t="n">
        <v>1</v>
      </c>
      <c r="O91" s="11" t="s">
        <v>3123</v>
      </c>
    </row>
    <row r="92" customFormat="false" ht="15" hidden="false" customHeight="false" outlineLevel="0" collapsed="false">
      <c r="A92" s="2" t="s">
        <v>3980</v>
      </c>
      <c r="B92" s="11" t="s">
        <v>2503</v>
      </c>
      <c r="C92" s="11" t="s">
        <v>1543</v>
      </c>
      <c r="D92" s="11" t="s">
        <v>755</v>
      </c>
      <c r="E92" s="11" t="s">
        <v>258</v>
      </c>
      <c r="G92" s="11" t="s">
        <v>1144</v>
      </c>
      <c r="H92" s="11" t="s">
        <v>1145</v>
      </c>
      <c r="I92" s="11" t="s">
        <v>1144</v>
      </c>
      <c r="J92" s="11" t="s">
        <v>1145</v>
      </c>
      <c r="K92" s="11" t="s">
        <v>766</v>
      </c>
      <c r="L92" s="11" t="n">
        <v>1</v>
      </c>
      <c r="O92" s="11" t="s">
        <v>3123</v>
      </c>
    </row>
    <row r="93" customFormat="false" ht="15" hidden="false" customHeight="false" outlineLevel="0" collapsed="false">
      <c r="A93" s="2" t="s">
        <v>3981</v>
      </c>
      <c r="B93" s="11" t="s">
        <v>2508</v>
      </c>
      <c r="C93" s="11" t="s">
        <v>1543</v>
      </c>
      <c r="D93" s="11" t="s">
        <v>755</v>
      </c>
      <c r="E93" s="11" t="s">
        <v>258</v>
      </c>
      <c r="G93" s="11" t="s">
        <v>1144</v>
      </c>
      <c r="H93" s="11" t="s">
        <v>1145</v>
      </c>
      <c r="I93" s="11" t="s">
        <v>1144</v>
      </c>
      <c r="J93" s="11" t="s">
        <v>1145</v>
      </c>
      <c r="K93" s="11" t="s">
        <v>766</v>
      </c>
      <c r="L93" s="11" t="n">
        <v>1</v>
      </c>
      <c r="O93" s="11" t="s">
        <v>3123</v>
      </c>
    </row>
    <row r="94" customFormat="false" ht="15" hidden="false" customHeight="false" outlineLevel="0" collapsed="false">
      <c r="A94" s="2" t="s">
        <v>3982</v>
      </c>
      <c r="B94" s="11" t="s">
        <v>2514</v>
      </c>
      <c r="C94" s="11" t="s">
        <v>1600</v>
      </c>
      <c r="D94" s="11" t="s">
        <v>755</v>
      </c>
      <c r="E94" s="11" t="s">
        <v>258</v>
      </c>
      <c r="G94" s="11" t="s">
        <v>1144</v>
      </c>
      <c r="H94" s="11" t="s">
        <v>1145</v>
      </c>
      <c r="I94" s="11" t="s">
        <v>1144</v>
      </c>
      <c r="J94" s="11" t="s">
        <v>1145</v>
      </c>
      <c r="K94" s="11" t="s">
        <v>766</v>
      </c>
      <c r="L94" s="11" t="n">
        <v>1</v>
      </c>
      <c r="O94" s="11" t="s">
        <v>3123</v>
      </c>
    </row>
    <row r="95" customFormat="false" ht="15" hidden="false" customHeight="false" outlineLevel="0" collapsed="false">
      <c r="A95" s="2" t="s">
        <v>3983</v>
      </c>
      <c r="B95" s="11" t="s">
        <v>2514</v>
      </c>
      <c r="C95" s="11" t="s">
        <v>1570</v>
      </c>
      <c r="D95" s="11" t="s">
        <v>755</v>
      </c>
      <c r="E95" s="11" t="s">
        <v>272</v>
      </c>
      <c r="G95" s="11" t="s">
        <v>1144</v>
      </c>
      <c r="H95" s="11" t="s">
        <v>1145</v>
      </c>
      <c r="I95" s="11" t="s">
        <v>1144</v>
      </c>
      <c r="J95" s="11" t="s">
        <v>1145</v>
      </c>
      <c r="K95" s="11" t="s">
        <v>766</v>
      </c>
      <c r="L95" s="11" t="n">
        <v>1</v>
      </c>
      <c r="O95" s="11" t="s">
        <v>3123</v>
      </c>
    </row>
    <row r="96" customFormat="false" ht="15" hidden="false" customHeight="false" outlineLevel="0" collapsed="false">
      <c r="A96" s="2" t="s">
        <v>3984</v>
      </c>
      <c r="B96" s="11" t="s">
        <v>2514</v>
      </c>
      <c r="C96" s="11" t="s">
        <v>1567</v>
      </c>
      <c r="D96" s="11" t="s">
        <v>755</v>
      </c>
      <c r="E96" s="11" t="s">
        <v>272</v>
      </c>
      <c r="G96" s="11" t="s">
        <v>1144</v>
      </c>
      <c r="H96" s="11" t="s">
        <v>1145</v>
      </c>
      <c r="I96" s="11" t="s">
        <v>1144</v>
      </c>
      <c r="J96" s="11" t="s">
        <v>1145</v>
      </c>
      <c r="K96" s="11" t="s">
        <v>766</v>
      </c>
      <c r="L96" s="11" t="n">
        <v>1</v>
      </c>
      <c r="O96" s="11" t="s">
        <v>3123</v>
      </c>
    </row>
  </sheetData>
  <autoFilter ref="A1:O96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96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96" type="list">
      <formula1>objecttype!$B$2:$B$2000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96" type="list">
      <formula1>Keuzelijsten!$Q$5:$Q$60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96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96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17"/>
    <col collapsed="false" customWidth="true" hidden="false" outlineLevel="0" max="7" min="6" style="0" width="40"/>
    <col collapsed="false" customWidth="true" hidden="false" outlineLevel="0" max="8" min="8" style="0" width="21"/>
    <col collapsed="false" customWidth="true" hidden="false" outlineLevel="0" max="13" min="9" style="0" width="14"/>
    <col collapsed="false" customWidth="true" hidden="false" outlineLevel="0" max="14" min="14" style="0" width="40"/>
    <col collapsed="false" customWidth="true" hidden="false" outlineLevel="0" max="15" min="15" style="0" width="17"/>
    <col collapsed="false" customWidth="true" hidden="false" outlineLevel="0" max="17" min="16" style="0" width="14"/>
    <col collapsed="false" customWidth="true" hidden="false" outlineLevel="0" max="18" min="18" style="0" width="40"/>
  </cols>
  <sheetData>
    <row r="1" customFormat="false" ht="15" hidden="false" customHeight="false" outlineLevel="0" collapsed="false">
      <c r="A1" s="13" t="s">
        <v>577</v>
      </c>
      <c r="B1" s="13" t="s">
        <v>578</v>
      </c>
      <c r="C1" s="13" t="s">
        <v>264</v>
      </c>
      <c r="D1" s="13" t="s">
        <v>319</v>
      </c>
      <c r="E1" s="14" t="s">
        <v>579</v>
      </c>
      <c r="F1" s="14" t="s">
        <v>580</v>
      </c>
      <c r="G1" s="14" t="s">
        <v>276</v>
      </c>
      <c r="H1" s="13" t="s">
        <v>340</v>
      </c>
      <c r="I1" s="13" t="s">
        <v>285</v>
      </c>
      <c r="J1" s="15" t="s">
        <v>292</v>
      </c>
      <c r="K1" s="15" t="s">
        <v>295</v>
      </c>
      <c r="L1" s="15" t="s">
        <v>298</v>
      </c>
      <c r="M1" s="15" t="s">
        <v>300</v>
      </c>
      <c r="N1" s="15" t="s">
        <v>302</v>
      </c>
      <c r="O1" s="15" t="s">
        <v>305</v>
      </c>
      <c r="P1" s="15" t="s">
        <v>307</v>
      </c>
      <c r="Q1" s="15" t="s">
        <v>310</v>
      </c>
      <c r="R1" s="15" t="s">
        <v>312</v>
      </c>
    </row>
    <row r="2" customFormat="false" ht="15" hidden="false" customHeight="false" outlineLevel="0" collapsed="false">
      <c r="A2" s="2" t="s">
        <v>3985</v>
      </c>
      <c r="B2" s="11" t="s">
        <v>3986</v>
      </c>
      <c r="C2" s="11" t="s">
        <v>3987</v>
      </c>
      <c r="D2" s="11" t="s">
        <v>3988</v>
      </c>
      <c r="H2" s="11" t="s">
        <v>258</v>
      </c>
      <c r="I2" s="11" t="n">
        <v>1</v>
      </c>
      <c r="J2" s="11" t="s">
        <v>985</v>
      </c>
      <c r="K2" s="11" t="s">
        <v>986</v>
      </c>
      <c r="L2" s="11" t="s">
        <v>985</v>
      </c>
      <c r="M2" s="11" t="s">
        <v>986</v>
      </c>
      <c r="N2" s="11" t="s">
        <v>766</v>
      </c>
      <c r="O2" s="11" t="n">
        <v>1</v>
      </c>
      <c r="R2" s="11" t="s">
        <v>1037</v>
      </c>
    </row>
    <row r="3" customFormat="false" ht="15" hidden="false" customHeight="false" outlineLevel="0" collapsed="false">
      <c r="A3" s="2" t="s">
        <v>3989</v>
      </c>
      <c r="B3" s="11" t="s">
        <v>3990</v>
      </c>
      <c r="C3" s="11" t="s">
        <v>3991</v>
      </c>
      <c r="D3" s="11" t="s">
        <v>3992</v>
      </c>
      <c r="H3" s="11" t="s">
        <v>258</v>
      </c>
      <c r="I3" s="11" t="n">
        <v>2</v>
      </c>
      <c r="J3" s="11" t="s">
        <v>985</v>
      </c>
      <c r="K3" s="11" t="s">
        <v>986</v>
      </c>
      <c r="L3" s="11" t="s">
        <v>985</v>
      </c>
      <c r="M3" s="11" t="s">
        <v>986</v>
      </c>
      <c r="N3" s="11" t="s">
        <v>766</v>
      </c>
      <c r="O3" s="11" t="n">
        <v>1</v>
      </c>
      <c r="R3" s="11" t="s">
        <v>1037</v>
      </c>
    </row>
    <row r="4" customFormat="false" ht="15" hidden="false" customHeight="false" outlineLevel="0" collapsed="false">
      <c r="A4" s="2" t="s">
        <v>3993</v>
      </c>
      <c r="B4" s="11" t="s">
        <v>3994</v>
      </c>
      <c r="C4" s="11" t="s">
        <v>3995</v>
      </c>
      <c r="D4" s="11" t="s">
        <v>3996</v>
      </c>
      <c r="H4" s="11" t="s">
        <v>258</v>
      </c>
      <c r="I4" s="11" t="n">
        <v>3</v>
      </c>
      <c r="J4" s="11" t="s">
        <v>985</v>
      </c>
      <c r="K4" s="11" t="s">
        <v>986</v>
      </c>
      <c r="L4" s="11" t="s">
        <v>985</v>
      </c>
      <c r="M4" s="11" t="s">
        <v>986</v>
      </c>
      <c r="N4" s="11" t="s">
        <v>766</v>
      </c>
      <c r="O4" s="11" t="n">
        <v>1</v>
      </c>
      <c r="R4" s="11" t="s">
        <v>1037</v>
      </c>
    </row>
    <row r="5" customFormat="false" ht="15" hidden="false" customHeight="false" outlineLevel="0" collapsed="false">
      <c r="A5" s="2" t="s">
        <v>3997</v>
      </c>
      <c r="B5" s="11" t="s">
        <v>3998</v>
      </c>
      <c r="C5" s="11" t="s">
        <v>3999</v>
      </c>
      <c r="D5" s="11" t="s">
        <v>4000</v>
      </c>
      <c r="H5" s="11" t="s">
        <v>258</v>
      </c>
      <c r="I5" s="11" t="n">
        <v>4</v>
      </c>
      <c r="J5" s="11" t="s">
        <v>985</v>
      </c>
      <c r="K5" s="11" t="s">
        <v>986</v>
      </c>
      <c r="L5" s="11" t="s">
        <v>985</v>
      </c>
      <c r="M5" s="11" t="s">
        <v>986</v>
      </c>
      <c r="N5" s="11" t="s">
        <v>766</v>
      </c>
      <c r="O5" s="11" t="n">
        <v>1</v>
      </c>
      <c r="R5" s="11" t="s">
        <v>1037</v>
      </c>
    </row>
    <row r="6" customFormat="false" ht="15" hidden="false" customHeight="false" outlineLevel="0" collapsed="false">
      <c r="A6" s="2" t="s">
        <v>4001</v>
      </c>
      <c r="B6" s="11" t="s">
        <v>4002</v>
      </c>
      <c r="C6" s="11" t="s">
        <v>4003</v>
      </c>
      <c r="D6" s="11" t="s">
        <v>4004</v>
      </c>
      <c r="H6" s="11" t="s">
        <v>258</v>
      </c>
      <c r="I6" s="11" t="n">
        <v>5</v>
      </c>
      <c r="J6" s="11" t="s">
        <v>985</v>
      </c>
      <c r="K6" s="11" t="s">
        <v>986</v>
      </c>
      <c r="L6" s="11" t="s">
        <v>985</v>
      </c>
      <c r="M6" s="11" t="s">
        <v>986</v>
      </c>
      <c r="N6" s="11" t="s">
        <v>766</v>
      </c>
      <c r="O6" s="11" t="n">
        <v>1</v>
      </c>
      <c r="R6" s="11" t="s">
        <v>1037</v>
      </c>
    </row>
    <row r="7" customFormat="false" ht="15" hidden="false" customHeight="false" outlineLevel="0" collapsed="false">
      <c r="A7" s="2" t="s">
        <v>4005</v>
      </c>
      <c r="B7" s="11" t="s">
        <v>4006</v>
      </c>
      <c r="C7" s="11" t="s">
        <v>4007</v>
      </c>
      <c r="D7" s="11" t="s">
        <v>4008</v>
      </c>
      <c r="H7" s="11" t="s">
        <v>258</v>
      </c>
      <c r="I7" s="11" t="n">
        <v>6</v>
      </c>
      <c r="J7" s="11" t="s">
        <v>985</v>
      </c>
      <c r="K7" s="11" t="s">
        <v>986</v>
      </c>
      <c r="L7" s="11" t="s">
        <v>985</v>
      </c>
      <c r="M7" s="11" t="s">
        <v>986</v>
      </c>
      <c r="N7" s="11" t="s">
        <v>766</v>
      </c>
      <c r="O7" s="11" t="n">
        <v>1</v>
      </c>
      <c r="R7" s="11" t="s">
        <v>1037</v>
      </c>
    </row>
    <row r="8" customFormat="false" ht="15" hidden="false" customHeight="false" outlineLevel="0" collapsed="false">
      <c r="A8" s="2" t="s">
        <v>4009</v>
      </c>
      <c r="B8" s="11" t="s">
        <v>4010</v>
      </c>
      <c r="C8" s="11" t="s">
        <v>4011</v>
      </c>
      <c r="D8" s="11" t="s">
        <v>4012</v>
      </c>
      <c r="H8" s="11" t="s">
        <v>258</v>
      </c>
      <c r="I8" s="11" t="n">
        <v>7</v>
      </c>
      <c r="J8" s="11" t="s">
        <v>985</v>
      </c>
      <c r="K8" s="11" t="s">
        <v>986</v>
      </c>
      <c r="L8" s="11" t="s">
        <v>985</v>
      </c>
      <c r="M8" s="11" t="s">
        <v>986</v>
      </c>
      <c r="N8" s="11" t="s">
        <v>766</v>
      </c>
      <c r="O8" s="11" t="n">
        <v>1</v>
      </c>
      <c r="R8" s="11" t="s">
        <v>1037</v>
      </c>
    </row>
    <row r="9" customFormat="false" ht="15" hidden="false" customHeight="false" outlineLevel="0" collapsed="false">
      <c r="A9" s="2" t="s">
        <v>4013</v>
      </c>
      <c r="B9" s="11" t="s">
        <v>4014</v>
      </c>
      <c r="C9" s="11" t="s">
        <v>4015</v>
      </c>
      <c r="D9" s="11" t="s">
        <v>4016</v>
      </c>
      <c r="H9" s="11" t="s">
        <v>258</v>
      </c>
      <c r="I9" s="11" t="n">
        <v>8</v>
      </c>
      <c r="J9" s="11" t="s">
        <v>985</v>
      </c>
      <c r="K9" s="11" t="s">
        <v>986</v>
      </c>
      <c r="L9" s="11" t="s">
        <v>985</v>
      </c>
      <c r="M9" s="11" t="s">
        <v>986</v>
      </c>
      <c r="N9" s="11" t="s">
        <v>766</v>
      </c>
      <c r="O9" s="11" t="n">
        <v>1</v>
      </c>
      <c r="R9" s="11" t="s">
        <v>1037</v>
      </c>
    </row>
    <row r="10" customFormat="false" ht="15" hidden="false" customHeight="false" outlineLevel="0" collapsed="false">
      <c r="A10" s="2" t="s">
        <v>4017</v>
      </c>
      <c r="B10" s="11" t="s">
        <v>4018</v>
      </c>
      <c r="C10" s="11" t="s">
        <v>1680</v>
      </c>
      <c r="D10" s="11" t="s">
        <v>4019</v>
      </c>
      <c r="H10" s="11" t="s">
        <v>258</v>
      </c>
      <c r="I10" s="11" t="n">
        <v>9</v>
      </c>
      <c r="J10" s="11" t="s">
        <v>985</v>
      </c>
      <c r="K10" s="11" t="s">
        <v>986</v>
      </c>
      <c r="L10" s="11" t="s">
        <v>985</v>
      </c>
      <c r="M10" s="11" t="s">
        <v>986</v>
      </c>
      <c r="N10" s="11" t="s">
        <v>766</v>
      </c>
      <c r="O10" s="11" t="n">
        <v>1</v>
      </c>
      <c r="R10" s="11" t="s">
        <v>1037</v>
      </c>
    </row>
    <row r="11" customFormat="false" ht="15" hidden="false" customHeight="false" outlineLevel="0" collapsed="false">
      <c r="A11" s="2" t="s">
        <v>4020</v>
      </c>
      <c r="B11" s="11" t="s">
        <v>4021</v>
      </c>
      <c r="C11" s="11" t="s">
        <v>4022</v>
      </c>
      <c r="D11" s="11" t="s">
        <v>4023</v>
      </c>
      <c r="H11" s="11" t="s">
        <v>258</v>
      </c>
      <c r="I11" s="11" t="n">
        <v>10</v>
      </c>
      <c r="J11" s="11" t="s">
        <v>985</v>
      </c>
      <c r="K11" s="11" t="s">
        <v>986</v>
      </c>
      <c r="L11" s="11" t="s">
        <v>985</v>
      </c>
      <c r="M11" s="11" t="s">
        <v>986</v>
      </c>
      <c r="N11" s="11" t="s">
        <v>766</v>
      </c>
      <c r="O11" s="11" t="n">
        <v>1</v>
      </c>
      <c r="R11" s="11" t="s">
        <v>1037</v>
      </c>
    </row>
    <row r="12" customFormat="false" ht="15" hidden="false" customHeight="false" outlineLevel="0" collapsed="false">
      <c r="A12" s="2" t="s">
        <v>4024</v>
      </c>
      <c r="B12" s="11" t="s">
        <v>4025</v>
      </c>
      <c r="C12" s="11" t="s">
        <v>4026</v>
      </c>
      <c r="D12" s="11" t="s">
        <v>4027</v>
      </c>
      <c r="H12" s="11" t="s">
        <v>258</v>
      </c>
      <c r="I12" s="11" t="n">
        <v>11</v>
      </c>
      <c r="J12" s="11" t="s">
        <v>985</v>
      </c>
      <c r="K12" s="11" t="s">
        <v>986</v>
      </c>
      <c r="L12" s="11" t="s">
        <v>985</v>
      </c>
      <c r="M12" s="11" t="s">
        <v>986</v>
      </c>
      <c r="N12" s="11" t="s">
        <v>766</v>
      </c>
      <c r="O12" s="11" t="n">
        <v>1</v>
      </c>
      <c r="R12" s="11" t="s">
        <v>1037</v>
      </c>
    </row>
    <row r="13" customFormat="false" ht="15" hidden="false" customHeight="false" outlineLevel="0" collapsed="false">
      <c r="A13" s="2" t="s">
        <v>4028</v>
      </c>
      <c r="B13" s="11" t="s">
        <v>4029</v>
      </c>
      <c r="C13" s="11" t="s">
        <v>4030</v>
      </c>
      <c r="D13" s="11" t="s">
        <v>4031</v>
      </c>
      <c r="H13" s="11" t="s">
        <v>258</v>
      </c>
      <c r="I13" s="11" t="n">
        <v>12</v>
      </c>
      <c r="J13" s="11" t="s">
        <v>985</v>
      </c>
      <c r="K13" s="11" t="s">
        <v>986</v>
      </c>
      <c r="L13" s="11" t="s">
        <v>985</v>
      </c>
      <c r="M13" s="11" t="s">
        <v>986</v>
      </c>
      <c r="N13" s="11" t="s">
        <v>766</v>
      </c>
      <c r="O13" s="11" t="n">
        <v>1</v>
      </c>
      <c r="R13" s="11" t="s">
        <v>1037</v>
      </c>
    </row>
    <row r="14" customFormat="false" ht="15" hidden="false" customHeight="false" outlineLevel="0" collapsed="false">
      <c r="A14" s="2" t="s">
        <v>4032</v>
      </c>
      <c r="B14" s="11" t="s">
        <v>4033</v>
      </c>
      <c r="C14" s="11" t="s">
        <v>4034</v>
      </c>
      <c r="D14" s="11" t="s">
        <v>4035</v>
      </c>
      <c r="H14" s="11" t="s">
        <v>258</v>
      </c>
      <c r="I14" s="11" t="n">
        <v>13</v>
      </c>
      <c r="J14" s="11" t="s">
        <v>985</v>
      </c>
      <c r="K14" s="11" t="s">
        <v>986</v>
      </c>
      <c r="L14" s="11" t="s">
        <v>985</v>
      </c>
      <c r="M14" s="11" t="s">
        <v>986</v>
      </c>
      <c r="N14" s="11" t="s">
        <v>766</v>
      </c>
      <c r="O14" s="11" t="n">
        <v>1</v>
      </c>
      <c r="R14" s="11" t="s">
        <v>1037</v>
      </c>
    </row>
    <row r="15" customFormat="false" ht="15" hidden="false" customHeight="false" outlineLevel="0" collapsed="false">
      <c r="A15" s="2" t="s">
        <v>4036</v>
      </c>
      <c r="B15" s="11" t="s">
        <v>4037</v>
      </c>
      <c r="C15" s="11" t="s">
        <v>4038</v>
      </c>
      <c r="D15" s="11" t="s">
        <v>4039</v>
      </c>
      <c r="H15" s="11" t="s">
        <v>258</v>
      </c>
      <c r="I15" s="11" t="n">
        <v>14</v>
      </c>
      <c r="J15" s="11" t="s">
        <v>985</v>
      </c>
      <c r="K15" s="11" t="s">
        <v>986</v>
      </c>
      <c r="L15" s="11" t="s">
        <v>985</v>
      </c>
      <c r="M15" s="11" t="s">
        <v>986</v>
      </c>
      <c r="N15" s="11" t="s">
        <v>766</v>
      </c>
      <c r="O15" s="11" t="n">
        <v>1</v>
      </c>
      <c r="R15" s="11" t="s">
        <v>1037</v>
      </c>
    </row>
    <row r="16" customFormat="false" ht="15" hidden="false" customHeight="false" outlineLevel="0" collapsed="false">
      <c r="A16" s="2" t="s">
        <v>4040</v>
      </c>
      <c r="B16" s="11" t="s">
        <v>4041</v>
      </c>
      <c r="C16" s="11" t="s">
        <v>4042</v>
      </c>
      <c r="D16" s="11" t="s">
        <v>4043</v>
      </c>
      <c r="H16" s="11" t="s">
        <v>258</v>
      </c>
      <c r="I16" s="11" t="n">
        <v>15</v>
      </c>
      <c r="J16" s="11" t="s">
        <v>985</v>
      </c>
      <c r="K16" s="11" t="s">
        <v>986</v>
      </c>
      <c r="L16" s="11" t="s">
        <v>985</v>
      </c>
      <c r="M16" s="11" t="s">
        <v>986</v>
      </c>
      <c r="N16" s="11" t="s">
        <v>766</v>
      </c>
      <c r="O16" s="11" t="n">
        <v>1</v>
      </c>
      <c r="R16" s="11" t="s">
        <v>1037</v>
      </c>
    </row>
    <row r="17" customFormat="false" ht="15" hidden="false" customHeight="false" outlineLevel="0" collapsed="false">
      <c r="A17" s="2" t="s">
        <v>4044</v>
      </c>
      <c r="B17" s="11" t="s">
        <v>4045</v>
      </c>
      <c r="C17" s="11" t="s">
        <v>4046</v>
      </c>
      <c r="D17" s="11" t="s">
        <v>4047</v>
      </c>
      <c r="H17" s="11" t="s">
        <v>258</v>
      </c>
      <c r="I17" s="11" t="n">
        <v>16</v>
      </c>
      <c r="J17" s="11" t="s">
        <v>985</v>
      </c>
      <c r="K17" s="11" t="s">
        <v>986</v>
      </c>
      <c r="L17" s="11" t="s">
        <v>985</v>
      </c>
      <c r="M17" s="11" t="s">
        <v>986</v>
      </c>
      <c r="N17" s="11" t="s">
        <v>766</v>
      </c>
      <c r="O17" s="11" t="n">
        <v>1</v>
      </c>
      <c r="R17" s="11" t="s">
        <v>1037</v>
      </c>
    </row>
    <row r="18" customFormat="false" ht="15" hidden="false" customHeight="false" outlineLevel="0" collapsed="false">
      <c r="A18" s="2" t="s">
        <v>4048</v>
      </c>
      <c r="B18" s="11" t="s">
        <v>4049</v>
      </c>
      <c r="C18" s="11" t="s">
        <v>1711</v>
      </c>
      <c r="D18" s="11" t="s">
        <v>4050</v>
      </c>
      <c r="H18" s="11" t="s">
        <v>258</v>
      </c>
      <c r="I18" s="11" t="n">
        <v>17</v>
      </c>
      <c r="J18" s="11" t="s">
        <v>985</v>
      </c>
      <c r="K18" s="11" t="s">
        <v>986</v>
      </c>
      <c r="L18" s="11" t="s">
        <v>985</v>
      </c>
      <c r="M18" s="11" t="s">
        <v>986</v>
      </c>
      <c r="N18" s="11" t="s">
        <v>766</v>
      </c>
      <c r="O18" s="11" t="n">
        <v>1</v>
      </c>
      <c r="R18" s="11" t="s">
        <v>1037</v>
      </c>
    </row>
  </sheetData>
  <autoFilter ref="A1:R18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H2:H1018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N2:N101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9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11" min="8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581</v>
      </c>
      <c r="B1" s="13" t="s">
        <v>469</v>
      </c>
      <c r="C1" s="13" t="s">
        <v>577</v>
      </c>
      <c r="D1" s="14" t="s">
        <v>583</v>
      </c>
      <c r="E1" s="14" t="s">
        <v>584</v>
      </c>
      <c r="F1" s="13" t="s">
        <v>554</v>
      </c>
      <c r="G1" s="14" t="s">
        <v>410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4051</v>
      </c>
      <c r="B2" s="11" t="s">
        <v>2008</v>
      </c>
      <c r="C2" s="11" t="s">
        <v>3998</v>
      </c>
      <c r="F2" s="11" t="s">
        <v>258</v>
      </c>
      <c r="H2" s="11" t="s">
        <v>1144</v>
      </c>
      <c r="I2" s="11" t="s">
        <v>1145</v>
      </c>
      <c r="J2" s="11" t="s">
        <v>1144</v>
      </c>
      <c r="K2" s="11" t="s">
        <v>1145</v>
      </c>
      <c r="L2" s="11" t="s">
        <v>766</v>
      </c>
      <c r="M2" s="11" t="n">
        <v>1</v>
      </c>
      <c r="P2" s="11" t="s">
        <v>3123</v>
      </c>
    </row>
    <row r="3" customFormat="false" ht="15" hidden="false" customHeight="false" outlineLevel="0" collapsed="false">
      <c r="A3" s="2" t="s">
        <v>4052</v>
      </c>
      <c r="B3" s="11" t="s">
        <v>2023</v>
      </c>
      <c r="C3" s="11" t="s">
        <v>3998</v>
      </c>
      <c r="F3" s="11" t="s">
        <v>258</v>
      </c>
      <c r="H3" s="11" t="s">
        <v>1144</v>
      </c>
      <c r="I3" s="11" t="s">
        <v>1145</v>
      </c>
      <c r="J3" s="11" t="s">
        <v>1144</v>
      </c>
      <c r="K3" s="11" t="s">
        <v>1145</v>
      </c>
      <c r="L3" s="11" t="s">
        <v>766</v>
      </c>
      <c r="M3" s="11" t="n">
        <v>1</v>
      </c>
      <c r="P3" s="11" t="s">
        <v>3123</v>
      </c>
    </row>
    <row r="4" customFormat="false" ht="15" hidden="false" customHeight="false" outlineLevel="0" collapsed="false">
      <c r="A4" s="2" t="s">
        <v>4053</v>
      </c>
      <c r="B4" s="11" t="s">
        <v>2030</v>
      </c>
      <c r="C4" s="11" t="s">
        <v>3998</v>
      </c>
      <c r="F4" s="11" t="s">
        <v>258</v>
      </c>
      <c r="H4" s="11" t="s">
        <v>1144</v>
      </c>
      <c r="I4" s="11" t="s">
        <v>1145</v>
      </c>
      <c r="J4" s="11" t="s">
        <v>1144</v>
      </c>
      <c r="K4" s="11" t="s">
        <v>1145</v>
      </c>
      <c r="L4" s="11" t="s">
        <v>766</v>
      </c>
      <c r="M4" s="11" t="n">
        <v>1</v>
      </c>
      <c r="P4" s="11" t="s">
        <v>3123</v>
      </c>
    </row>
    <row r="5" customFormat="false" ht="15" hidden="false" customHeight="false" outlineLevel="0" collapsed="false">
      <c r="A5" s="2" t="s">
        <v>4054</v>
      </c>
      <c r="B5" s="11" t="s">
        <v>2036</v>
      </c>
      <c r="C5" s="11" t="s">
        <v>3998</v>
      </c>
      <c r="F5" s="11" t="s">
        <v>258</v>
      </c>
      <c r="H5" s="11" t="s">
        <v>1144</v>
      </c>
      <c r="I5" s="11" t="s">
        <v>1145</v>
      </c>
      <c r="J5" s="11" t="s">
        <v>1144</v>
      </c>
      <c r="K5" s="11" t="s">
        <v>1145</v>
      </c>
      <c r="L5" s="11" t="s">
        <v>766</v>
      </c>
      <c r="M5" s="11" t="n">
        <v>1</v>
      </c>
      <c r="P5" s="11" t="s">
        <v>3123</v>
      </c>
    </row>
    <row r="6" customFormat="false" ht="15" hidden="false" customHeight="false" outlineLevel="0" collapsed="false">
      <c r="A6" s="2" t="s">
        <v>4055</v>
      </c>
      <c r="B6" s="11" t="s">
        <v>2045</v>
      </c>
      <c r="C6" s="11" t="s">
        <v>3998</v>
      </c>
      <c r="F6" s="11" t="s">
        <v>258</v>
      </c>
      <c r="H6" s="11" t="s">
        <v>1144</v>
      </c>
      <c r="I6" s="11" t="s">
        <v>1145</v>
      </c>
      <c r="J6" s="11" t="s">
        <v>1144</v>
      </c>
      <c r="K6" s="11" t="s">
        <v>1145</v>
      </c>
      <c r="L6" s="11" t="s">
        <v>766</v>
      </c>
      <c r="M6" s="11" t="n">
        <v>1</v>
      </c>
      <c r="P6" s="11" t="s">
        <v>3123</v>
      </c>
    </row>
    <row r="7" customFormat="false" ht="15" hidden="false" customHeight="false" outlineLevel="0" collapsed="false">
      <c r="A7" s="2" t="s">
        <v>4056</v>
      </c>
      <c r="B7" s="11" t="s">
        <v>2051</v>
      </c>
      <c r="C7" s="11" t="s">
        <v>3998</v>
      </c>
      <c r="F7" s="11" t="s">
        <v>258</v>
      </c>
      <c r="H7" s="11" t="s">
        <v>1144</v>
      </c>
      <c r="I7" s="11" t="s">
        <v>1145</v>
      </c>
      <c r="J7" s="11" t="s">
        <v>1144</v>
      </c>
      <c r="K7" s="11" t="s">
        <v>1145</v>
      </c>
      <c r="L7" s="11" t="s">
        <v>766</v>
      </c>
      <c r="M7" s="11" t="n">
        <v>1</v>
      </c>
      <c r="P7" s="11" t="s">
        <v>3123</v>
      </c>
    </row>
    <row r="8" customFormat="false" ht="15" hidden="false" customHeight="false" outlineLevel="0" collapsed="false">
      <c r="A8" s="2" t="s">
        <v>4057</v>
      </c>
      <c r="B8" s="11" t="s">
        <v>2060</v>
      </c>
      <c r="C8" s="11" t="s">
        <v>3998</v>
      </c>
      <c r="F8" s="11" t="s">
        <v>258</v>
      </c>
      <c r="H8" s="11" t="s">
        <v>1144</v>
      </c>
      <c r="I8" s="11" t="s">
        <v>1145</v>
      </c>
      <c r="J8" s="11" t="s">
        <v>1144</v>
      </c>
      <c r="K8" s="11" t="s">
        <v>1145</v>
      </c>
      <c r="L8" s="11" t="s">
        <v>766</v>
      </c>
      <c r="M8" s="11" t="n">
        <v>1</v>
      </c>
      <c r="P8" s="11" t="s">
        <v>3123</v>
      </c>
    </row>
    <row r="9" customFormat="false" ht="15" hidden="false" customHeight="false" outlineLevel="0" collapsed="false">
      <c r="A9" s="2" t="s">
        <v>4058</v>
      </c>
      <c r="B9" s="11" t="s">
        <v>2065</v>
      </c>
      <c r="C9" s="11" t="s">
        <v>3998</v>
      </c>
      <c r="F9" s="11" t="s">
        <v>258</v>
      </c>
      <c r="H9" s="11" t="s">
        <v>1144</v>
      </c>
      <c r="I9" s="11" t="s">
        <v>1145</v>
      </c>
      <c r="J9" s="11" t="s">
        <v>1144</v>
      </c>
      <c r="K9" s="11" t="s">
        <v>1145</v>
      </c>
      <c r="L9" s="11" t="s">
        <v>766</v>
      </c>
      <c r="M9" s="11" t="n">
        <v>1</v>
      </c>
      <c r="P9" s="11" t="s">
        <v>3123</v>
      </c>
    </row>
    <row r="10" customFormat="false" ht="15" hidden="false" customHeight="false" outlineLevel="0" collapsed="false">
      <c r="A10" s="2" t="s">
        <v>4059</v>
      </c>
      <c r="B10" s="11" t="s">
        <v>2075</v>
      </c>
      <c r="C10" s="11" t="s">
        <v>4002</v>
      </c>
      <c r="F10" s="11" t="s">
        <v>258</v>
      </c>
      <c r="H10" s="11" t="s">
        <v>1144</v>
      </c>
      <c r="I10" s="11" t="s">
        <v>1145</v>
      </c>
      <c r="J10" s="11" t="s">
        <v>1144</v>
      </c>
      <c r="K10" s="11" t="s">
        <v>1145</v>
      </c>
      <c r="L10" s="11" t="s">
        <v>766</v>
      </c>
      <c r="M10" s="11" t="n">
        <v>1</v>
      </c>
      <c r="P10" s="11" t="s">
        <v>3123</v>
      </c>
    </row>
    <row r="11" customFormat="false" ht="15" hidden="false" customHeight="false" outlineLevel="0" collapsed="false">
      <c r="A11" s="2" t="s">
        <v>4060</v>
      </c>
      <c r="B11" s="11" t="s">
        <v>2084</v>
      </c>
      <c r="C11" s="11" t="s">
        <v>4002</v>
      </c>
      <c r="F11" s="11" t="s">
        <v>258</v>
      </c>
      <c r="H11" s="11" t="s">
        <v>1144</v>
      </c>
      <c r="I11" s="11" t="s">
        <v>1145</v>
      </c>
      <c r="J11" s="11" t="s">
        <v>1144</v>
      </c>
      <c r="K11" s="11" t="s">
        <v>1145</v>
      </c>
      <c r="L11" s="11" t="s">
        <v>766</v>
      </c>
      <c r="M11" s="11" t="n">
        <v>1</v>
      </c>
      <c r="P11" s="11" t="s">
        <v>3123</v>
      </c>
    </row>
    <row r="12" customFormat="false" ht="15" hidden="false" customHeight="false" outlineLevel="0" collapsed="false">
      <c r="A12" s="2" t="s">
        <v>4061</v>
      </c>
      <c r="B12" s="11" t="s">
        <v>2089</v>
      </c>
      <c r="C12" s="11" t="s">
        <v>3990</v>
      </c>
      <c r="F12" s="11" t="s">
        <v>258</v>
      </c>
      <c r="H12" s="11" t="s">
        <v>1144</v>
      </c>
      <c r="I12" s="11" t="s">
        <v>1145</v>
      </c>
      <c r="J12" s="11" t="s">
        <v>1144</v>
      </c>
      <c r="K12" s="11" t="s">
        <v>1145</v>
      </c>
      <c r="L12" s="11" t="s">
        <v>766</v>
      </c>
      <c r="M12" s="11" t="n">
        <v>1</v>
      </c>
      <c r="P12" s="11" t="s">
        <v>3123</v>
      </c>
    </row>
    <row r="13" customFormat="false" ht="15" hidden="false" customHeight="false" outlineLevel="0" collapsed="false">
      <c r="A13" s="2" t="s">
        <v>4062</v>
      </c>
      <c r="B13" s="11" t="s">
        <v>2099</v>
      </c>
      <c r="C13" s="11" t="s">
        <v>4006</v>
      </c>
      <c r="F13" s="11" t="s">
        <v>258</v>
      </c>
      <c r="H13" s="11" t="s">
        <v>1144</v>
      </c>
      <c r="I13" s="11" t="s">
        <v>1145</v>
      </c>
      <c r="J13" s="11" t="s">
        <v>1144</v>
      </c>
      <c r="K13" s="11" t="s">
        <v>1145</v>
      </c>
      <c r="L13" s="11" t="s">
        <v>766</v>
      </c>
      <c r="M13" s="11" t="n">
        <v>1</v>
      </c>
      <c r="P13" s="11" t="s">
        <v>3123</v>
      </c>
    </row>
    <row r="14" customFormat="false" ht="15" hidden="false" customHeight="false" outlineLevel="0" collapsed="false">
      <c r="A14" s="2" t="s">
        <v>4063</v>
      </c>
      <c r="B14" s="11" t="s">
        <v>2107</v>
      </c>
      <c r="C14" s="11" t="s">
        <v>4029</v>
      </c>
      <c r="F14" s="11" t="s">
        <v>258</v>
      </c>
      <c r="H14" s="11" t="s">
        <v>1144</v>
      </c>
      <c r="I14" s="11" t="s">
        <v>1145</v>
      </c>
      <c r="J14" s="11" t="s">
        <v>1144</v>
      </c>
      <c r="K14" s="11" t="s">
        <v>1145</v>
      </c>
      <c r="L14" s="11" t="s">
        <v>766</v>
      </c>
      <c r="M14" s="11" t="n">
        <v>1</v>
      </c>
      <c r="P14" s="11" t="s">
        <v>3123</v>
      </c>
    </row>
    <row r="15" customFormat="false" ht="15" hidden="false" customHeight="false" outlineLevel="0" collapsed="false">
      <c r="A15" s="2" t="s">
        <v>4064</v>
      </c>
      <c r="B15" s="11" t="s">
        <v>2117</v>
      </c>
      <c r="C15" s="11" t="s">
        <v>4029</v>
      </c>
      <c r="F15" s="11" t="s">
        <v>258</v>
      </c>
      <c r="H15" s="11" t="s">
        <v>1144</v>
      </c>
      <c r="I15" s="11" t="s">
        <v>1145</v>
      </c>
      <c r="J15" s="11" t="s">
        <v>1144</v>
      </c>
      <c r="K15" s="11" t="s">
        <v>1145</v>
      </c>
      <c r="L15" s="11" t="s">
        <v>766</v>
      </c>
      <c r="M15" s="11" t="n">
        <v>1</v>
      </c>
      <c r="P15" s="11" t="s">
        <v>3123</v>
      </c>
    </row>
    <row r="16" customFormat="false" ht="15" hidden="false" customHeight="false" outlineLevel="0" collapsed="false">
      <c r="A16" s="2" t="s">
        <v>4065</v>
      </c>
      <c r="B16" s="11" t="s">
        <v>2122</v>
      </c>
      <c r="C16" s="11" t="s">
        <v>4029</v>
      </c>
      <c r="F16" s="11" t="s">
        <v>258</v>
      </c>
      <c r="H16" s="11" t="s">
        <v>1144</v>
      </c>
      <c r="I16" s="11" t="s">
        <v>1145</v>
      </c>
      <c r="J16" s="11" t="s">
        <v>1144</v>
      </c>
      <c r="K16" s="11" t="s">
        <v>1145</v>
      </c>
      <c r="L16" s="11" t="s">
        <v>766</v>
      </c>
      <c r="M16" s="11" t="n">
        <v>1</v>
      </c>
      <c r="P16" s="11" t="s">
        <v>3123</v>
      </c>
    </row>
    <row r="17" customFormat="false" ht="15" hidden="false" customHeight="false" outlineLevel="0" collapsed="false">
      <c r="A17" s="2" t="s">
        <v>4066</v>
      </c>
      <c r="B17" s="11" t="s">
        <v>2127</v>
      </c>
      <c r="C17" s="11" t="s">
        <v>4041</v>
      </c>
      <c r="F17" s="11" t="s">
        <v>258</v>
      </c>
      <c r="H17" s="11" t="s">
        <v>1144</v>
      </c>
      <c r="I17" s="11" t="s">
        <v>1145</v>
      </c>
      <c r="J17" s="11" t="s">
        <v>1144</v>
      </c>
      <c r="K17" s="11" t="s">
        <v>1145</v>
      </c>
      <c r="L17" s="11" t="s">
        <v>766</v>
      </c>
      <c r="M17" s="11" t="n">
        <v>1</v>
      </c>
      <c r="P17" s="11" t="s">
        <v>3123</v>
      </c>
    </row>
    <row r="18" customFormat="false" ht="15" hidden="false" customHeight="false" outlineLevel="0" collapsed="false">
      <c r="A18" s="2" t="s">
        <v>4067</v>
      </c>
      <c r="B18" s="11" t="s">
        <v>2133</v>
      </c>
      <c r="C18" s="11" t="s">
        <v>4014</v>
      </c>
      <c r="F18" s="11" t="s">
        <v>258</v>
      </c>
      <c r="H18" s="11" t="s">
        <v>1144</v>
      </c>
      <c r="I18" s="11" t="s">
        <v>1145</v>
      </c>
      <c r="J18" s="11" t="s">
        <v>1144</v>
      </c>
      <c r="K18" s="11" t="s">
        <v>1145</v>
      </c>
      <c r="L18" s="11" t="s">
        <v>766</v>
      </c>
      <c r="M18" s="11" t="n">
        <v>1</v>
      </c>
      <c r="P18" s="11" t="s">
        <v>3123</v>
      </c>
    </row>
    <row r="19" customFormat="false" ht="15" hidden="false" customHeight="false" outlineLevel="0" collapsed="false">
      <c r="A19" s="2" t="s">
        <v>4068</v>
      </c>
      <c r="B19" s="11" t="s">
        <v>2141</v>
      </c>
      <c r="C19" s="11" t="s">
        <v>3994</v>
      </c>
      <c r="F19" s="11" t="s">
        <v>258</v>
      </c>
      <c r="H19" s="11" t="s">
        <v>1144</v>
      </c>
      <c r="I19" s="11" t="s">
        <v>1145</v>
      </c>
      <c r="J19" s="11" t="s">
        <v>1144</v>
      </c>
      <c r="K19" s="11" t="s">
        <v>1145</v>
      </c>
      <c r="L19" s="11" t="s">
        <v>766</v>
      </c>
      <c r="M19" s="11" t="n">
        <v>1</v>
      </c>
      <c r="P19" s="11" t="s">
        <v>3123</v>
      </c>
    </row>
    <row r="20" customFormat="false" ht="15" hidden="false" customHeight="false" outlineLevel="0" collapsed="false">
      <c r="A20" s="2" t="s">
        <v>4069</v>
      </c>
      <c r="B20" s="11" t="s">
        <v>2147</v>
      </c>
      <c r="C20" s="11" t="s">
        <v>3994</v>
      </c>
      <c r="F20" s="11" t="s">
        <v>258</v>
      </c>
      <c r="H20" s="11" t="s">
        <v>1144</v>
      </c>
      <c r="I20" s="11" t="s">
        <v>1145</v>
      </c>
      <c r="J20" s="11" t="s">
        <v>1144</v>
      </c>
      <c r="K20" s="11" t="s">
        <v>1145</v>
      </c>
      <c r="L20" s="11" t="s">
        <v>766</v>
      </c>
      <c r="M20" s="11" t="n">
        <v>1</v>
      </c>
      <c r="P20" s="11" t="s">
        <v>3123</v>
      </c>
    </row>
    <row r="21" customFormat="false" ht="15" hidden="false" customHeight="false" outlineLevel="0" collapsed="false">
      <c r="A21" s="2" t="s">
        <v>4070</v>
      </c>
      <c r="B21" s="11" t="s">
        <v>2152</v>
      </c>
      <c r="C21" s="11" t="s">
        <v>4014</v>
      </c>
      <c r="F21" s="11" t="s">
        <v>258</v>
      </c>
      <c r="H21" s="11" t="s">
        <v>1144</v>
      </c>
      <c r="I21" s="11" t="s">
        <v>1145</v>
      </c>
      <c r="J21" s="11" t="s">
        <v>1144</v>
      </c>
      <c r="K21" s="11" t="s">
        <v>1145</v>
      </c>
      <c r="L21" s="11" t="s">
        <v>766</v>
      </c>
      <c r="M21" s="11" t="n">
        <v>1</v>
      </c>
      <c r="P21" s="11" t="s">
        <v>3123</v>
      </c>
    </row>
    <row r="22" customFormat="false" ht="15" hidden="false" customHeight="false" outlineLevel="0" collapsed="false">
      <c r="A22" s="2" t="s">
        <v>4071</v>
      </c>
      <c r="B22" s="11" t="s">
        <v>2158</v>
      </c>
      <c r="C22" s="11" t="s">
        <v>4018</v>
      </c>
      <c r="F22" s="11" t="s">
        <v>258</v>
      </c>
      <c r="H22" s="11" t="s">
        <v>1144</v>
      </c>
      <c r="I22" s="11" t="s">
        <v>1145</v>
      </c>
      <c r="J22" s="11" t="s">
        <v>1144</v>
      </c>
      <c r="K22" s="11" t="s">
        <v>1145</v>
      </c>
      <c r="L22" s="11" t="s">
        <v>766</v>
      </c>
      <c r="M22" s="11" t="n">
        <v>1</v>
      </c>
      <c r="P22" s="11" t="s">
        <v>3123</v>
      </c>
    </row>
    <row r="23" customFormat="false" ht="15" hidden="false" customHeight="false" outlineLevel="0" collapsed="false">
      <c r="A23" s="2" t="s">
        <v>4072</v>
      </c>
      <c r="B23" s="11" t="s">
        <v>2166</v>
      </c>
      <c r="C23" s="11" t="s">
        <v>4018</v>
      </c>
      <c r="F23" s="11" t="s">
        <v>258</v>
      </c>
      <c r="H23" s="11" t="s">
        <v>1144</v>
      </c>
      <c r="I23" s="11" t="s">
        <v>1145</v>
      </c>
      <c r="J23" s="11" t="s">
        <v>1144</v>
      </c>
      <c r="K23" s="11" t="s">
        <v>1145</v>
      </c>
      <c r="L23" s="11" t="s">
        <v>766</v>
      </c>
      <c r="M23" s="11" t="n">
        <v>1</v>
      </c>
      <c r="P23" s="11" t="s">
        <v>3123</v>
      </c>
    </row>
    <row r="24" customFormat="false" ht="15" hidden="false" customHeight="false" outlineLevel="0" collapsed="false">
      <c r="A24" s="2" t="s">
        <v>4073</v>
      </c>
      <c r="B24" s="11" t="s">
        <v>2171</v>
      </c>
      <c r="C24" s="11" t="s">
        <v>3990</v>
      </c>
      <c r="F24" s="11" t="s">
        <v>258</v>
      </c>
      <c r="H24" s="11" t="s">
        <v>1144</v>
      </c>
      <c r="I24" s="11" t="s">
        <v>1145</v>
      </c>
      <c r="J24" s="11" t="s">
        <v>1144</v>
      </c>
      <c r="K24" s="11" t="s">
        <v>1145</v>
      </c>
      <c r="L24" s="11" t="s">
        <v>766</v>
      </c>
      <c r="M24" s="11" t="n">
        <v>1</v>
      </c>
      <c r="P24" s="11" t="s">
        <v>3123</v>
      </c>
    </row>
    <row r="25" customFormat="false" ht="15" hidden="false" customHeight="false" outlineLevel="0" collapsed="false">
      <c r="A25" s="2" t="s">
        <v>4074</v>
      </c>
      <c r="B25" s="11" t="s">
        <v>1841</v>
      </c>
      <c r="C25" s="11" t="s">
        <v>3990</v>
      </c>
      <c r="F25" s="11" t="s">
        <v>258</v>
      </c>
      <c r="H25" s="11" t="s">
        <v>1144</v>
      </c>
      <c r="I25" s="11" t="s">
        <v>1145</v>
      </c>
      <c r="J25" s="11" t="s">
        <v>1144</v>
      </c>
      <c r="K25" s="11" t="s">
        <v>1145</v>
      </c>
      <c r="L25" s="11" t="s">
        <v>766</v>
      </c>
      <c r="M25" s="11" t="n">
        <v>1</v>
      </c>
      <c r="P25" s="11" t="s">
        <v>3123</v>
      </c>
    </row>
    <row r="26" customFormat="false" ht="15" hidden="false" customHeight="false" outlineLevel="0" collapsed="false">
      <c r="A26" s="2" t="s">
        <v>4075</v>
      </c>
      <c r="B26" s="11" t="s">
        <v>1832</v>
      </c>
      <c r="C26" s="11" t="s">
        <v>3990</v>
      </c>
      <c r="F26" s="11" t="s">
        <v>258</v>
      </c>
      <c r="H26" s="11" t="s">
        <v>1144</v>
      </c>
      <c r="I26" s="11" t="s">
        <v>1145</v>
      </c>
      <c r="J26" s="11" t="s">
        <v>1144</v>
      </c>
      <c r="K26" s="11" t="s">
        <v>1145</v>
      </c>
      <c r="L26" s="11" t="s">
        <v>766</v>
      </c>
      <c r="M26" s="11" t="n">
        <v>1</v>
      </c>
      <c r="P26" s="11" t="s">
        <v>3123</v>
      </c>
    </row>
    <row r="27" customFormat="false" ht="15" hidden="false" customHeight="false" outlineLevel="0" collapsed="false">
      <c r="A27" s="2" t="s">
        <v>4076</v>
      </c>
      <c r="B27" s="11" t="s">
        <v>2193</v>
      </c>
      <c r="C27" s="11" t="s">
        <v>3998</v>
      </c>
      <c r="F27" s="11" t="s">
        <v>258</v>
      </c>
      <c r="H27" s="11" t="s">
        <v>1144</v>
      </c>
      <c r="I27" s="11" t="s">
        <v>1145</v>
      </c>
      <c r="J27" s="11" t="s">
        <v>1144</v>
      </c>
      <c r="K27" s="11" t="s">
        <v>1145</v>
      </c>
      <c r="L27" s="11" t="s">
        <v>766</v>
      </c>
      <c r="M27" s="11" t="n">
        <v>1</v>
      </c>
      <c r="P27" s="11" t="s">
        <v>3123</v>
      </c>
    </row>
    <row r="28" customFormat="false" ht="15" hidden="false" customHeight="false" outlineLevel="0" collapsed="false">
      <c r="A28" s="2" t="s">
        <v>4077</v>
      </c>
      <c r="B28" s="11" t="s">
        <v>2201</v>
      </c>
      <c r="C28" s="11" t="s">
        <v>3998</v>
      </c>
      <c r="F28" s="11" t="s">
        <v>258</v>
      </c>
      <c r="H28" s="11" t="s">
        <v>1144</v>
      </c>
      <c r="I28" s="11" t="s">
        <v>1145</v>
      </c>
      <c r="J28" s="11" t="s">
        <v>1144</v>
      </c>
      <c r="K28" s="11" t="s">
        <v>1145</v>
      </c>
      <c r="L28" s="11" t="s">
        <v>766</v>
      </c>
      <c r="M28" s="11" t="n">
        <v>1</v>
      </c>
      <c r="P28" s="11" t="s">
        <v>3123</v>
      </c>
    </row>
    <row r="29" customFormat="false" ht="15" hidden="false" customHeight="false" outlineLevel="0" collapsed="false">
      <c r="A29" s="2" t="s">
        <v>4078</v>
      </c>
      <c r="B29" s="11" t="s">
        <v>2207</v>
      </c>
      <c r="C29" s="11" t="s">
        <v>4002</v>
      </c>
      <c r="F29" s="11" t="s">
        <v>258</v>
      </c>
      <c r="H29" s="11" t="s">
        <v>1144</v>
      </c>
      <c r="I29" s="11" t="s">
        <v>1145</v>
      </c>
      <c r="J29" s="11" t="s">
        <v>1144</v>
      </c>
      <c r="K29" s="11" t="s">
        <v>1145</v>
      </c>
      <c r="L29" s="11" t="s">
        <v>766</v>
      </c>
      <c r="M29" s="11" t="n">
        <v>1</v>
      </c>
      <c r="P29" s="11" t="s">
        <v>3123</v>
      </c>
    </row>
    <row r="30" customFormat="false" ht="15" hidden="false" customHeight="false" outlineLevel="0" collapsed="false">
      <c r="A30" s="2" t="s">
        <v>4079</v>
      </c>
      <c r="B30" s="11" t="s">
        <v>1882</v>
      </c>
      <c r="C30" s="11" t="s">
        <v>4049</v>
      </c>
      <c r="F30" s="11" t="s">
        <v>258</v>
      </c>
      <c r="H30" s="11" t="s">
        <v>1144</v>
      </c>
      <c r="I30" s="11" t="s">
        <v>1145</v>
      </c>
      <c r="J30" s="11" t="s">
        <v>1144</v>
      </c>
      <c r="K30" s="11" t="s">
        <v>1145</v>
      </c>
      <c r="L30" s="11" t="s">
        <v>766</v>
      </c>
      <c r="M30" s="11" t="n">
        <v>1</v>
      </c>
      <c r="P30" s="11" t="s">
        <v>3123</v>
      </c>
    </row>
    <row r="31" customFormat="false" ht="15" hidden="false" customHeight="false" outlineLevel="0" collapsed="false">
      <c r="A31" s="2" t="s">
        <v>4080</v>
      </c>
      <c r="B31" s="11" t="s">
        <v>2221</v>
      </c>
      <c r="C31" s="11" t="s">
        <v>4049</v>
      </c>
      <c r="F31" s="11" t="s">
        <v>258</v>
      </c>
      <c r="H31" s="11" t="s">
        <v>1144</v>
      </c>
      <c r="I31" s="11" t="s">
        <v>1145</v>
      </c>
      <c r="J31" s="11" t="s">
        <v>1144</v>
      </c>
      <c r="K31" s="11" t="s">
        <v>1145</v>
      </c>
      <c r="L31" s="11" t="s">
        <v>766</v>
      </c>
      <c r="M31" s="11" t="n">
        <v>1</v>
      </c>
      <c r="P31" s="11" t="s">
        <v>3123</v>
      </c>
    </row>
    <row r="32" customFormat="false" ht="15" hidden="false" customHeight="false" outlineLevel="0" collapsed="false">
      <c r="A32" s="2" t="s">
        <v>4081</v>
      </c>
      <c r="B32" s="11" t="s">
        <v>2230</v>
      </c>
      <c r="C32" s="11" t="s">
        <v>4002</v>
      </c>
      <c r="F32" s="11" t="s">
        <v>258</v>
      </c>
      <c r="H32" s="11" t="s">
        <v>1144</v>
      </c>
      <c r="I32" s="11" t="s">
        <v>1145</v>
      </c>
      <c r="J32" s="11" t="s">
        <v>1144</v>
      </c>
      <c r="K32" s="11" t="s">
        <v>1145</v>
      </c>
      <c r="L32" s="11" t="s">
        <v>766</v>
      </c>
      <c r="M32" s="11" t="n">
        <v>1</v>
      </c>
      <c r="P32" s="11" t="s">
        <v>3123</v>
      </c>
    </row>
    <row r="33" customFormat="false" ht="15" hidden="false" customHeight="false" outlineLevel="0" collapsed="false">
      <c r="A33" s="2" t="s">
        <v>4082</v>
      </c>
      <c r="B33" s="11" t="s">
        <v>2236</v>
      </c>
      <c r="C33" s="11" t="s">
        <v>4002</v>
      </c>
      <c r="F33" s="11" t="s">
        <v>258</v>
      </c>
      <c r="H33" s="11" t="s">
        <v>1144</v>
      </c>
      <c r="I33" s="11" t="s">
        <v>1145</v>
      </c>
      <c r="J33" s="11" t="s">
        <v>1144</v>
      </c>
      <c r="K33" s="11" t="s">
        <v>1145</v>
      </c>
      <c r="L33" s="11" t="s">
        <v>766</v>
      </c>
      <c r="M33" s="11" t="n">
        <v>1</v>
      </c>
      <c r="P33" s="11" t="s">
        <v>3123</v>
      </c>
    </row>
    <row r="34" customFormat="false" ht="15" hidden="false" customHeight="false" outlineLevel="0" collapsed="false">
      <c r="A34" s="2" t="s">
        <v>4083</v>
      </c>
      <c r="B34" s="11" t="s">
        <v>2242</v>
      </c>
      <c r="C34" s="11" t="s">
        <v>4002</v>
      </c>
      <c r="F34" s="11" t="s">
        <v>258</v>
      </c>
      <c r="H34" s="11" t="s">
        <v>1144</v>
      </c>
      <c r="I34" s="11" t="s">
        <v>1145</v>
      </c>
      <c r="J34" s="11" t="s">
        <v>1144</v>
      </c>
      <c r="K34" s="11" t="s">
        <v>1145</v>
      </c>
      <c r="L34" s="11" t="s">
        <v>766</v>
      </c>
      <c r="M34" s="11" t="n">
        <v>1</v>
      </c>
      <c r="P34" s="11" t="s">
        <v>3123</v>
      </c>
    </row>
    <row r="35" customFormat="false" ht="15" hidden="false" customHeight="false" outlineLevel="0" collapsed="false">
      <c r="A35" s="2" t="s">
        <v>4084</v>
      </c>
      <c r="B35" s="11" t="s">
        <v>2248</v>
      </c>
      <c r="C35" s="11" t="s">
        <v>3998</v>
      </c>
      <c r="F35" s="11" t="s">
        <v>258</v>
      </c>
      <c r="H35" s="11" t="s">
        <v>1144</v>
      </c>
      <c r="I35" s="11" t="s">
        <v>1145</v>
      </c>
      <c r="J35" s="11" t="s">
        <v>1144</v>
      </c>
      <c r="K35" s="11" t="s">
        <v>1145</v>
      </c>
      <c r="L35" s="11" t="s">
        <v>766</v>
      </c>
      <c r="M35" s="11" t="n">
        <v>1</v>
      </c>
      <c r="P35" s="11" t="s">
        <v>3123</v>
      </c>
    </row>
    <row r="36" customFormat="false" ht="15" hidden="false" customHeight="false" outlineLevel="0" collapsed="false">
      <c r="A36" s="2" t="s">
        <v>4085</v>
      </c>
      <c r="B36" s="11" t="s">
        <v>2254</v>
      </c>
      <c r="C36" s="11" t="s">
        <v>3998</v>
      </c>
      <c r="F36" s="11" t="s">
        <v>258</v>
      </c>
      <c r="H36" s="11" t="s">
        <v>1144</v>
      </c>
      <c r="I36" s="11" t="s">
        <v>1145</v>
      </c>
      <c r="J36" s="11" t="s">
        <v>1144</v>
      </c>
      <c r="K36" s="11" t="s">
        <v>1145</v>
      </c>
      <c r="L36" s="11" t="s">
        <v>766</v>
      </c>
      <c r="M36" s="11" t="n">
        <v>1</v>
      </c>
      <c r="P36" s="11" t="s">
        <v>3123</v>
      </c>
    </row>
    <row r="37" customFormat="false" ht="15" hidden="false" customHeight="false" outlineLevel="0" collapsed="false">
      <c r="A37" s="2" t="s">
        <v>4086</v>
      </c>
      <c r="B37" s="11" t="s">
        <v>2260</v>
      </c>
      <c r="C37" s="11" t="s">
        <v>4002</v>
      </c>
      <c r="F37" s="11" t="s">
        <v>258</v>
      </c>
      <c r="H37" s="11" t="s">
        <v>1144</v>
      </c>
      <c r="I37" s="11" t="s">
        <v>1145</v>
      </c>
      <c r="J37" s="11" t="s">
        <v>1144</v>
      </c>
      <c r="K37" s="11" t="s">
        <v>1145</v>
      </c>
      <c r="L37" s="11" t="s">
        <v>766</v>
      </c>
      <c r="M37" s="11" t="n">
        <v>1</v>
      </c>
      <c r="P37" s="11" t="s">
        <v>3123</v>
      </c>
    </row>
    <row r="38" customFormat="false" ht="15" hidden="false" customHeight="false" outlineLevel="0" collapsed="false">
      <c r="A38" s="2" t="s">
        <v>4087</v>
      </c>
      <c r="B38" s="11" t="s">
        <v>2265</v>
      </c>
      <c r="C38" s="11" t="s">
        <v>3998</v>
      </c>
      <c r="F38" s="11" t="s">
        <v>258</v>
      </c>
      <c r="H38" s="11" t="s">
        <v>1144</v>
      </c>
      <c r="I38" s="11" t="s">
        <v>1145</v>
      </c>
      <c r="J38" s="11" t="s">
        <v>1144</v>
      </c>
      <c r="K38" s="11" t="s">
        <v>1145</v>
      </c>
      <c r="L38" s="11" t="s">
        <v>766</v>
      </c>
      <c r="M38" s="11" t="n">
        <v>1</v>
      </c>
      <c r="P38" s="11" t="s">
        <v>3123</v>
      </c>
    </row>
    <row r="39" customFormat="false" ht="15" hidden="false" customHeight="false" outlineLevel="0" collapsed="false">
      <c r="A39" s="2" t="s">
        <v>4088</v>
      </c>
      <c r="B39" s="11" t="s">
        <v>2271</v>
      </c>
      <c r="C39" s="11" t="s">
        <v>3990</v>
      </c>
      <c r="F39" s="11" t="s">
        <v>258</v>
      </c>
      <c r="H39" s="11" t="s">
        <v>1144</v>
      </c>
      <c r="I39" s="11" t="s">
        <v>1145</v>
      </c>
      <c r="J39" s="11" t="s">
        <v>1144</v>
      </c>
      <c r="K39" s="11" t="s">
        <v>1145</v>
      </c>
      <c r="L39" s="11" t="s">
        <v>766</v>
      </c>
      <c r="M39" s="11" t="n">
        <v>1</v>
      </c>
      <c r="P39" s="11" t="s">
        <v>3123</v>
      </c>
    </row>
    <row r="40" customFormat="false" ht="15" hidden="false" customHeight="false" outlineLevel="0" collapsed="false">
      <c r="A40" s="2" t="s">
        <v>4089</v>
      </c>
      <c r="B40" s="11" t="s">
        <v>2277</v>
      </c>
      <c r="C40" s="11" t="s">
        <v>3990</v>
      </c>
      <c r="F40" s="11" t="s">
        <v>258</v>
      </c>
      <c r="H40" s="11" t="s">
        <v>1144</v>
      </c>
      <c r="I40" s="11" t="s">
        <v>1145</v>
      </c>
      <c r="J40" s="11" t="s">
        <v>1144</v>
      </c>
      <c r="K40" s="11" t="s">
        <v>1145</v>
      </c>
      <c r="L40" s="11" t="s">
        <v>766</v>
      </c>
      <c r="M40" s="11" t="n">
        <v>1</v>
      </c>
      <c r="P40" s="11" t="s">
        <v>3123</v>
      </c>
    </row>
    <row r="41" customFormat="false" ht="15" hidden="false" customHeight="false" outlineLevel="0" collapsed="false">
      <c r="A41" s="2" t="s">
        <v>4090</v>
      </c>
      <c r="B41" s="11" t="s">
        <v>1845</v>
      </c>
      <c r="C41" s="11" t="s">
        <v>3990</v>
      </c>
      <c r="F41" s="11" t="s">
        <v>258</v>
      </c>
      <c r="H41" s="11" t="s">
        <v>1144</v>
      </c>
      <c r="I41" s="11" t="s">
        <v>1145</v>
      </c>
      <c r="J41" s="11" t="s">
        <v>1144</v>
      </c>
      <c r="K41" s="11" t="s">
        <v>1145</v>
      </c>
      <c r="L41" s="11" t="s">
        <v>766</v>
      </c>
      <c r="M41" s="11" t="n">
        <v>1</v>
      </c>
      <c r="P41" s="11" t="s">
        <v>3123</v>
      </c>
    </row>
    <row r="42" customFormat="false" ht="15" hidden="false" customHeight="false" outlineLevel="0" collapsed="false">
      <c r="A42" s="2" t="s">
        <v>4091</v>
      </c>
      <c r="B42" s="11" t="s">
        <v>2287</v>
      </c>
      <c r="C42" s="11" t="s">
        <v>3990</v>
      </c>
      <c r="F42" s="11" t="s">
        <v>258</v>
      </c>
      <c r="H42" s="11" t="s">
        <v>1144</v>
      </c>
      <c r="I42" s="11" t="s">
        <v>1145</v>
      </c>
      <c r="J42" s="11" t="s">
        <v>1144</v>
      </c>
      <c r="K42" s="11" t="s">
        <v>1145</v>
      </c>
      <c r="L42" s="11" t="s">
        <v>766</v>
      </c>
      <c r="M42" s="11" t="n">
        <v>1</v>
      </c>
      <c r="P42" s="11" t="s">
        <v>3123</v>
      </c>
    </row>
    <row r="43" customFormat="false" ht="15" hidden="false" customHeight="false" outlineLevel="0" collapsed="false">
      <c r="A43" s="2" t="s">
        <v>4092</v>
      </c>
      <c r="B43" s="11" t="s">
        <v>2294</v>
      </c>
      <c r="C43" s="11" t="s">
        <v>4037</v>
      </c>
      <c r="F43" s="11" t="s">
        <v>258</v>
      </c>
      <c r="H43" s="11" t="s">
        <v>1144</v>
      </c>
      <c r="I43" s="11" t="s">
        <v>1145</v>
      </c>
      <c r="J43" s="11" t="s">
        <v>1144</v>
      </c>
      <c r="K43" s="11" t="s">
        <v>1145</v>
      </c>
      <c r="L43" s="11" t="s">
        <v>766</v>
      </c>
      <c r="M43" s="11" t="n">
        <v>1</v>
      </c>
      <c r="P43" s="11" t="s">
        <v>3123</v>
      </c>
    </row>
    <row r="44" customFormat="false" ht="15" hidden="false" customHeight="false" outlineLevel="0" collapsed="false">
      <c r="A44" s="2" t="s">
        <v>4093</v>
      </c>
      <c r="B44" s="11" t="s">
        <v>2299</v>
      </c>
      <c r="C44" s="11" t="s">
        <v>3990</v>
      </c>
      <c r="F44" s="11" t="s">
        <v>258</v>
      </c>
      <c r="H44" s="11" t="s">
        <v>1144</v>
      </c>
      <c r="I44" s="11" t="s">
        <v>1145</v>
      </c>
      <c r="J44" s="11" t="s">
        <v>1144</v>
      </c>
      <c r="K44" s="11" t="s">
        <v>1145</v>
      </c>
      <c r="L44" s="11" t="s">
        <v>766</v>
      </c>
      <c r="M44" s="11" t="n">
        <v>1</v>
      </c>
      <c r="P44" s="11" t="s">
        <v>3123</v>
      </c>
    </row>
    <row r="45" customFormat="false" ht="15" hidden="false" customHeight="false" outlineLevel="0" collapsed="false">
      <c r="A45" s="2" t="s">
        <v>4094</v>
      </c>
      <c r="B45" s="11" t="s">
        <v>2305</v>
      </c>
      <c r="C45" s="11" t="s">
        <v>4018</v>
      </c>
      <c r="F45" s="11" t="s">
        <v>258</v>
      </c>
      <c r="H45" s="11" t="s">
        <v>1144</v>
      </c>
      <c r="I45" s="11" t="s">
        <v>1145</v>
      </c>
      <c r="J45" s="11" t="s">
        <v>1144</v>
      </c>
      <c r="K45" s="11" t="s">
        <v>1145</v>
      </c>
      <c r="L45" s="11" t="s">
        <v>766</v>
      </c>
      <c r="M45" s="11" t="n">
        <v>1</v>
      </c>
      <c r="P45" s="11" t="s">
        <v>3123</v>
      </c>
    </row>
    <row r="46" customFormat="false" ht="15" hidden="false" customHeight="false" outlineLevel="0" collapsed="false">
      <c r="A46" s="2" t="s">
        <v>4095</v>
      </c>
      <c r="B46" s="11" t="s">
        <v>2311</v>
      </c>
      <c r="C46" s="11" t="s">
        <v>4049</v>
      </c>
      <c r="F46" s="11" t="s">
        <v>258</v>
      </c>
      <c r="H46" s="11" t="s">
        <v>1144</v>
      </c>
      <c r="I46" s="11" t="s">
        <v>1145</v>
      </c>
      <c r="J46" s="11" t="s">
        <v>1144</v>
      </c>
      <c r="K46" s="11" t="s">
        <v>1145</v>
      </c>
      <c r="L46" s="11" t="s">
        <v>766</v>
      </c>
      <c r="M46" s="11" t="n">
        <v>1</v>
      </c>
      <c r="P46" s="11" t="s">
        <v>3123</v>
      </c>
    </row>
    <row r="47" customFormat="false" ht="15" hidden="false" customHeight="false" outlineLevel="0" collapsed="false">
      <c r="A47" s="2" t="s">
        <v>4096</v>
      </c>
      <c r="B47" s="11" t="s">
        <v>2317</v>
      </c>
      <c r="C47" s="11" t="s">
        <v>4049</v>
      </c>
      <c r="F47" s="11" t="s">
        <v>258</v>
      </c>
      <c r="H47" s="11" t="s">
        <v>1144</v>
      </c>
      <c r="I47" s="11" t="s">
        <v>1145</v>
      </c>
      <c r="J47" s="11" t="s">
        <v>1144</v>
      </c>
      <c r="K47" s="11" t="s">
        <v>1145</v>
      </c>
      <c r="L47" s="11" t="s">
        <v>766</v>
      </c>
      <c r="M47" s="11" t="n">
        <v>1</v>
      </c>
      <c r="P47" s="11" t="s">
        <v>3123</v>
      </c>
    </row>
    <row r="48" customFormat="false" ht="15" hidden="false" customHeight="false" outlineLevel="0" collapsed="false">
      <c r="A48" s="2" t="s">
        <v>4097</v>
      </c>
      <c r="B48" s="11" t="s">
        <v>2322</v>
      </c>
      <c r="C48" s="11" t="s">
        <v>4014</v>
      </c>
      <c r="F48" s="11" t="s">
        <v>258</v>
      </c>
      <c r="H48" s="11" t="s">
        <v>1144</v>
      </c>
      <c r="I48" s="11" t="s">
        <v>1145</v>
      </c>
      <c r="J48" s="11" t="s">
        <v>1144</v>
      </c>
      <c r="K48" s="11" t="s">
        <v>1145</v>
      </c>
      <c r="L48" s="11" t="s">
        <v>766</v>
      </c>
      <c r="M48" s="11" t="n">
        <v>1</v>
      </c>
      <c r="P48" s="11" t="s">
        <v>3123</v>
      </c>
    </row>
    <row r="49" customFormat="false" ht="15" hidden="false" customHeight="false" outlineLevel="0" collapsed="false">
      <c r="A49" s="2" t="s">
        <v>4098</v>
      </c>
      <c r="B49" s="11" t="s">
        <v>2329</v>
      </c>
      <c r="C49" s="11" t="s">
        <v>4014</v>
      </c>
      <c r="F49" s="11" t="s">
        <v>258</v>
      </c>
      <c r="H49" s="11" t="s">
        <v>1144</v>
      </c>
      <c r="I49" s="11" t="s">
        <v>1145</v>
      </c>
      <c r="J49" s="11" t="s">
        <v>1144</v>
      </c>
      <c r="K49" s="11" t="s">
        <v>1145</v>
      </c>
      <c r="L49" s="11" t="s">
        <v>766</v>
      </c>
      <c r="M49" s="11" t="n">
        <v>1</v>
      </c>
      <c r="P49" s="11" t="s">
        <v>3123</v>
      </c>
    </row>
    <row r="50" customFormat="false" ht="15" hidden="false" customHeight="false" outlineLevel="0" collapsed="false">
      <c r="A50" s="2" t="s">
        <v>4099</v>
      </c>
      <c r="B50" s="11" t="s">
        <v>2335</v>
      </c>
      <c r="C50" s="11" t="s">
        <v>3998</v>
      </c>
      <c r="F50" s="11" t="s">
        <v>258</v>
      </c>
      <c r="H50" s="11" t="s">
        <v>1144</v>
      </c>
      <c r="I50" s="11" t="s">
        <v>1145</v>
      </c>
      <c r="J50" s="11" t="s">
        <v>1144</v>
      </c>
      <c r="K50" s="11" t="s">
        <v>1145</v>
      </c>
      <c r="L50" s="11" t="s">
        <v>766</v>
      </c>
      <c r="M50" s="11" t="n">
        <v>1</v>
      </c>
      <c r="P50" s="11" t="s">
        <v>3123</v>
      </c>
    </row>
    <row r="51" customFormat="false" ht="15" hidden="false" customHeight="false" outlineLevel="0" collapsed="false">
      <c r="A51" s="2" t="s">
        <v>4100</v>
      </c>
      <c r="B51" s="11" t="s">
        <v>2340</v>
      </c>
      <c r="C51" s="11" t="s">
        <v>3998</v>
      </c>
      <c r="F51" s="11" t="s">
        <v>258</v>
      </c>
      <c r="H51" s="11" t="s">
        <v>1144</v>
      </c>
      <c r="I51" s="11" t="s">
        <v>1145</v>
      </c>
      <c r="J51" s="11" t="s">
        <v>1144</v>
      </c>
      <c r="K51" s="11" t="s">
        <v>1145</v>
      </c>
      <c r="L51" s="11" t="s">
        <v>766</v>
      </c>
      <c r="M51" s="11" t="n">
        <v>1</v>
      </c>
      <c r="P51" s="11" t="s">
        <v>3123</v>
      </c>
    </row>
    <row r="52" customFormat="false" ht="15" hidden="false" customHeight="false" outlineLevel="0" collapsed="false">
      <c r="A52" s="2" t="s">
        <v>4101</v>
      </c>
      <c r="B52" s="11" t="s">
        <v>2345</v>
      </c>
      <c r="C52" s="11" t="s">
        <v>4002</v>
      </c>
      <c r="F52" s="11" t="s">
        <v>258</v>
      </c>
      <c r="H52" s="11" t="s">
        <v>1144</v>
      </c>
      <c r="I52" s="11" t="s">
        <v>1145</v>
      </c>
      <c r="J52" s="11" t="s">
        <v>1144</v>
      </c>
      <c r="K52" s="11" t="s">
        <v>1145</v>
      </c>
      <c r="L52" s="11" t="s">
        <v>766</v>
      </c>
      <c r="M52" s="11" t="n">
        <v>1</v>
      </c>
      <c r="P52" s="11" t="s">
        <v>3123</v>
      </c>
    </row>
    <row r="53" customFormat="false" ht="15" hidden="false" customHeight="false" outlineLevel="0" collapsed="false">
      <c r="A53" s="2" t="s">
        <v>4102</v>
      </c>
      <c r="B53" s="11" t="s">
        <v>2352</v>
      </c>
      <c r="C53" s="11" t="s">
        <v>4002</v>
      </c>
      <c r="F53" s="11" t="s">
        <v>258</v>
      </c>
      <c r="H53" s="11" t="s">
        <v>1144</v>
      </c>
      <c r="I53" s="11" t="s">
        <v>1145</v>
      </c>
      <c r="J53" s="11" t="s">
        <v>1144</v>
      </c>
      <c r="K53" s="11" t="s">
        <v>1145</v>
      </c>
      <c r="L53" s="11" t="s">
        <v>766</v>
      </c>
      <c r="M53" s="11" t="n">
        <v>1</v>
      </c>
      <c r="P53" s="11" t="s">
        <v>3123</v>
      </c>
    </row>
    <row r="54" customFormat="false" ht="15" hidden="false" customHeight="false" outlineLevel="0" collapsed="false">
      <c r="A54" s="2" t="s">
        <v>4103</v>
      </c>
      <c r="B54" s="11" t="s">
        <v>2359</v>
      </c>
      <c r="C54" s="11" t="s">
        <v>4002</v>
      </c>
      <c r="F54" s="11" t="s">
        <v>258</v>
      </c>
      <c r="H54" s="11" t="s">
        <v>1144</v>
      </c>
      <c r="I54" s="11" t="s">
        <v>1145</v>
      </c>
      <c r="J54" s="11" t="s">
        <v>1144</v>
      </c>
      <c r="K54" s="11" t="s">
        <v>1145</v>
      </c>
      <c r="L54" s="11" t="s">
        <v>766</v>
      </c>
      <c r="M54" s="11" t="n">
        <v>1</v>
      </c>
      <c r="P54" s="11" t="s">
        <v>3123</v>
      </c>
    </row>
    <row r="55" customFormat="false" ht="15" hidden="false" customHeight="false" outlineLevel="0" collapsed="false">
      <c r="A55" s="2" t="s">
        <v>4104</v>
      </c>
      <c r="B55" s="11" t="s">
        <v>2366</v>
      </c>
      <c r="C55" s="11" t="s">
        <v>4006</v>
      </c>
      <c r="F55" s="11" t="s">
        <v>258</v>
      </c>
      <c r="H55" s="11" t="s">
        <v>1144</v>
      </c>
      <c r="I55" s="11" t="s">
        <v>1145</v>
      </c>
      <c r="J55" s="11" t="s">
        <v>1144</v>
      </c>
      <c r="K55" s="11" t="s">
        <v>1145</v>
      </c>
      <c r="L55" s="11" t="s">
        <v>766</v>
      </c>
      <c r="M55" s="11" t="n">
        <v>1</v>
      </c>
      <c r="P55" s="11" t="s">
        <v>3123</v>
      </c>
    </row>
    <row r="56" customFormat="false" ht="15" hidden="false" customHeight="false" outlineLevel="0" collapsed="false">
      <c r="A56" s="2" t="s">
        <v>4105</v>
      </c>
      <c r="B56" s="11" t="s">
        <v>2373</v>
      </c>
      <c r="C56" s="11" t="s">
        <v>3990</v>
      </c>
      <c r="F56" s="11" t="s">
        <v>258</v>
      </c>
      <c r="H56" s="11" t="s">
        <v>1144</v>
      </c>
      <c r="I56" s="11" t="s">
        <v>1145</v>
      </c>
      <c r="J56" s="11" t="s">
        <v>1144</v>
      </c>
      <c r="K56" s="11" t="s">
        <v>1145</v>
      </c>
      <c r="L56" s="11" t="s">
        <v>766</v>
      </c>
      <c r="M56" s="11" t="n">
        <v>1</v>
      </c>
      <c r="P56" s="11" t="s">
        <v>3123</v>
      </c>
    </row>
    <row r="57" customFormat="false" ht="15" hidden="false" customHeight="false" outlineLevel="0" collapsed="false">
      <c r="A57" s="2" t="s">
        <v>4106</v>
      </c>
      <c r="B57" s="11" t="s">
        <v>2380</v>
      </c>
      <c r="C57" s="11" t="s">
        <v>3998</v>
      </c>
      <c r="F57" s="11" t="s">
        <v>258</v>
      </c>
      <c r="H57" s="11" t="s">
        <v>1144</v>
      </c>
      <c r="I57" s="11" t="s">
        <v>1145</v>
      </c>
      <c r="J57" s="11" t="s">
        <v>1144</v>
      </c>
      <c r="K57" s="11" t="s">
        <v>1145</v>
      </c>
      <c r="L57" s="11" t="s">
        <v>766</v>
      </c>
      <c r="M57" s="11" t="n">
        <v>1</v>
      </c>
      <c r="P57" s="11" t="s">
        <v>3123</v>
      </c>
    </row>
    <row r="58" customFormat="false" ht="15" hidden="false" customHeight="false" outlineLevel="0" collapsed="false">
      <c r="A58" s="2" t="s">
        <v>4107</v>
      </c>
      <c r="B58" s="11" t="s">
        <v>2387</v>
      </c>
      <c r="C58" s="11" t="s">
        <v>4002</v>
      </c>
      <c r="F58" s="11" t="s">
        <v>258</v>
      </c>
      <c r="H58" s="11" t="s">
        <v>1144</v>
      </c>
      <c r="I58" s="11" t="s">
        <v>1145</v>
      </c>
      <c r="J58" s="11" t="s">
        <v>1144</v>
      </c>
      <c r="K58" s="11" t="s">
        <v>1145</v>
      </c>
      <c r="L58" s="11" t="s">
        <v>766</v>
      </c>
      <c r="M58" s="11" t="n">
        <v>1</v>
      </c>
      <c r="P58" s="11" t="s">
        <v>3123</v>
      </c>
    </row>
    <row r="59" customFormat="false" ht="15" hidden="false" customHeight="false" outlineLevel="0" collapsed="false">
      <c r="A59" s="2" t="s">
        <v>4108</v>
      </c>
      <c r="B59" s="11" t="s">
        <v>2394</v>
      </c>
      <c r="C59" s="11" t="s">
        <v>4018</v>
      </c>
      <c r="F59" s="11" t="s">
        <v>258</v>
      </c>
      <c r="H59" s="11" t="s">
        <v>1144</v>
      </c>
      <c r="I59" s="11" t="s">
        <v>1145</v>
      </c>
      <c r="J59" s="11" t="s">
        <v>1144</v>
      </c>
      <c r="K59" s="11" t="s">
        <v>1145</v>
      </c>
      <c r="L59" s="11" t="s">
        <v>766</v>
      </c>
      <c r="M59" s="11" t="n">
        <v>1</v>
      </c>
      <c r="P59" s="11" t="s">
        <v>3123</v>
      </c>
    </row>
    <row r="60" customFormat="false" ht="15" hidden="false" customHeight="false" outlineLevel="0" collapsed="false">
      <c r="A60" s="2" t="s">
        <v>4109</v>
      </c>
      <c r="B60" s="11" t="s">
        <v>2401</v>
      </c>
      <c r="C60" s="11" t="s">
        <v>4018</v>
      </c>
      <c r="F60" s="11" t="s">
        <v>258</v>
      </c>
      <c r="H60" s="11" t="s">
        <v>1144</v>
      </c>
      <c r="I60" s="11" t="s">
        <v>1145</v>
      </c>
      <c r="J60" s="11" t="s">
        <v>1144</v>
      </c>
      <c r="K60" s="11" t="s">
        <v>1145</v>
      </c>
      <c r="L60" s="11" t="s">
        <v>766</v>
      </c>
      <c r="M60" s="11" t="n">
        <v>1</v>
      </c>
      <c r="P60" s="11" t="s">
        <v>3123</v>
      </c>
    </row>
    <row r="61" customFormat="false" ht="15" hidden="false" customHeight="false" outlineLevel="0" collapsed="false">
      <c r="A61" s="2" t="s">
        <v>4110</v>
      </c>
      <c r="B61" s="11" t="s">
        <v>2408</v>
      </c>
      <c r="C61" s="11" t="s">
        <v>4025</v>
      </c>
      <c r="F61" s="11" t="s">
        <v>258</v>
      </c>
      <c r="H61" s="11" t="s">
        <v>1144</v>
      </c>
      <c r="I61" s="11" t="s">
        <v>1145</v>
      </c>
      <c r="J61" s="11" t="s">
        <v>1144</v>
      </c>
      <c r="K61" s="11" t="s">
        <v>1145</v>
      </c>
      <c r="L61" s="11" t="s">
        <v>766</v>
      </c>
      <c r="M61" s="11" t="n">
        <v>1</v>
      </c>
      <c r="P61" s="11" t="s">
        <v>3123</v>
      </c>
    </row>
    <row r="62" customFormat="false" ht="15" hidden="false" customHeight="false" outlineLevel="0" collapsed="false">
      <c r="A62" s="2" t="s">
        <v>4111</v>
      </c>
      <c r="B62" s="11" t="s">
        <v>2415</v>
      </c>
      <c r="C62" s="11" t="s">
        <v>3990</v>
      </c>
      <c r="F62" s="11" t="s">
        <v>258</v>
      </c>
      <c r="H62" s="11" t="s">
        <v>1144</v>
      </c>
      <c r="I62" s="11" t="s">
        <v>1145</v>
      </c>
      <c r="J62" s="11" t="s">
        <v>1144</v>
      </c>
      <c r="K62" s="11" t="s">
        <v>1145</v>
      </c>
      <c r="L62" s="11" t="s">
        <v>766</v>
      </c>
      <c r="M62" s="11" t="n">
        <v>1</v>
      </c>
      <c r="P62" s="11" t="s">
        <v>3123</v>
      </c>
    </row>
    <row r="63" customFormat="false" ht="15" hidden="false" customHeight="false" outlineLevel="0" collapsed="false">
      <c r="A63" s="2" t="s">
        <v>4112</v>
      </c>
      <c r="B63" s="11" t="s">
        <v>2422</v>
      </c>
      <c r="C63" s="11" t="s">
        <v>3990</v>
      </c>
      <c r="F63" s="11" t="s">
        <v>258</v>
      </c>
      <c r="H63" s="11" t="s">
        <v>1144</v>
      </c>
      <c r="I63" s="11" t="s">
        <v>1145</v>
      </c>
      <c r="J63" s="11" t="s">
        <v>1144</v>
      </c>
      <c r="K63" s="11" t="s">
        <v>1145</v>
      </c>
      <c r="L63" s="11" t="s">
        <v>766</v>
      </c>
      <c r="M63" s="11" t="n">
        <v>1</v>
      </c>
      <c r="P63" s="11" t="s">
        <v>3123</v>
      </c>
    </row>
    <row r="64" customFormat="false" ht="15" hidden="false" customHeight="false" outlineLevel="0" collapsed="false">
      <c r="A64" s="2" t="s">
        <v>4113</v>
      </c>
      <c r="B64" s="11" t="s">
        <v>2429</v>
      </c>
      <c r="C64" s="11" t="s">
        <v>3998</v>
      </c>
      <c r="F64" s="11" t="s">
        <v>258</v>
      </c>
      <c r="H64" s="11" t="s">
        <v>1144</v>
      </c>
      <c r="I64" s="11" t="s">
        <v>1145</v>
      </c>
      <c r="J64" s="11" t="s">
        <v>1144</v>
      </c>
      <c r="K64" s="11" t="s">
        <v>1145</v>
      </c>
      <c r="L64" s="11" t="s">
        <v>766</v>
      </c>
      <c r="M64" s="11" t="n">
        <v>1</v>
      </c>
      <c r="P64" s="11" t="s">
        <v>3123</v>
      </c>
    </row>
    <row r="65" customFormat="false" ht="15" hidden="false" customHeight="false" outlineLevel="0" collapsed="false">
      <c r="A65" s="2" t="s">
        <v>4114</v>
      </c>
      <c r="B65" s="11" t="s">
        <v>2436</v>
      </c>
      <c r="C65" s="11" t="s">
        <v>3998</v>
      </c>
      <c r="F65" s="11" t="s">
        <v>258</v>
      </c>
      <c r="H65" s="11" t="s">
        <v>1144</v>
      </c>
      <c r="I65" s="11" t="s">
        <v>1145</v>
      </c>
      <c r="J65" s="11" t="s">
        <v>1144</v>
      </c>
      <c r="K65" s="11" t="s">
        <v>1145</v>
      </c>
      <c r="L65" s="11" t="s">
        <v>766</v>
      </c>
      <c r="M65" s="11" t="n">
        <v>1</v>
      </c>
      <c r="P65" s="11" t="s">
        <v>3123</v>
      </c>
    </row>
    <row r="66" customFormat="false" ht="15" hidden="false" customHeight="false" outlineLevel="0" collapsed="false">
      <c r="A66" s="2" t="s">
        <v>4115</v>
      </c>
      <c r="B66" s="11" t="s">
        <v>2443</v>
      </c>
      <c r="C66" s="11" t="s">
        <v>4033</v>
      </c>
      <c r="F66" s="11" t="s">
        <v>258</v>
      </c>
      <c r="H66" s="11" t="s">
        <v>1144</v>
      </c>
      <c r="I66" s="11" t="s">
        <v>1145</v>
      </c>
      <c r="J66" s="11" t="s">
        <v>1144</v>
      </c>
      <c r="K66" s="11" t="s">
        <v>1145</v>
      </c>
      <c r="L66" s="11" t="s">
        <v>766</v>
      </c>
      <c r="M66" s="11" t="n">
        <v>1</v>
      </c>
      <c r="P66" s="11" t="s">
        <v>3123</v>
      </c>
    </row>
    <row r="67" customFormat="false" ht="15" hidden="false" customHeight="false" outlineLevel="0" collapsed="false">
      <c r="A67" s="2" t="s">
        <v>4116</v>
      </c>
      <c r="B67" s="11" t="s">
        <v>2450</v>
      </c>
      <c r="C67" s="11" t="s">
        <v>4014</v>
      </c>
      <c r="F67" s="11" t="s">
        <v>258</v>
      </c>
      <c r="H67" s="11" t="s">
        <v>1144</v>
      </c>
      <c r="I67" s="11" t="s">
        <v>1145</v>
      </c>
      <c r="J67" s="11" t="s">
        <v>1144</v>
      </c>
      <c r="K67" s="11" t="s">
        <v>1145</v>
      </c>
      <c r="L67" s="11" t="s">
        <v>766</v>
      </c>
      <c r="M67" s="11" t="n">
        <v>1</v>
      </c>
      <c r="P67" s="11" t="s">
        <v>3123</v>
      </c>
    </row>
    <row r="68" customFormat="false" ht="15" hidden="false" customHeight="false" outlineLevel="0" collapsed="false">
      <c r="A68" s="2" t="s">
        <v>4117</v>
      </c>
      <c r="B68" s="11" t="s">
        <v>2456</v>
      </c>
      <c r="C68" s="11" t="s">
        <v>4014</v>
      </c>
      <c r="F68" s="11" t="s">
        <v>258</v>
      </c>
      <c r="H68" s="11" t="s">
        <v>1144</v>
      </c>
      <c r="I68" s="11" t="s">
        <v>1145</v>
      </c>
      <c r="J68" s="11" t="s">
        <v>1144</v>
      </c>
      <c r="K68" s="11" t="s">
        <v>1145</v>
      </c>
      <c r="L68" s="11" t="s">
        <v>766</v>
      </c>
      <c r="M68" s="11" t="n">
        <v>1</v>
      </c>
      <c r="P68" s="11" t="s">
        <v>3123</v>
      </c>
    </row>
    <row r="69" customFormat="false" ht="15" hidden="false" customHeight="false" outlineLevel="0" collapsed="false">
      <c r="A69" s="2" t="s">
        <v>4118</v>
      </c>
      <c r="B69" s="11" t="s">
        <v>2462</v>
      </c>
      <c r="C69" s="11" t="s">
        <v>4002</v>
      </c>
      <c r="F69" s="11" t="s">
        <v>258</v>
      </c>
      <c r="H69" s="11" t="s">
        <v>1144</v>
      </c>
      <c r="I69" s="11" t="s">
        <v>1145</v>
      </c>
      <c r="J69" s="11" t="s">
        <v>1144</v>
      </c>
      <c r="K69" s="11" t="s">
        <v>1145</v>
      </c>
      <c r="L69" s="11" t="s">
        <v>766</v>
      </c>
      <c r="M69" s="11" t="n">
        <v>1</v>
      </c>
      <c r="P69" s="11" t="s">
        <v>3123</v>
      </c>
    </row>
    <row r="70" customFormat="false" ht="15" hidden="false" customHeight="false" outlineLevel="0" collapsed="false">
      <c r="A70" s="2" t="s">
        <v>4119</v>
      </c>
      <c r="B70" s="11" t="s">
        <v>2467</v>
      </c>
      <c r="C70" s="11" t="s">
        <v>4029</v>
      </c>
      <c r="F70" s="11" t="s">
        <v>258</v>
      </c>
      <c r="H70" s="11" t="s">
        <v>1144</v>
      </c>
      <c r="I70" s="11" t="s">
        <v>1145</v>
      </c>
      <c r="J70" s="11" t="s">
        <v>1144</v>
      </c>
      <c r="K70" s="11" t="s">
        <v>1145</v>
      </c>
      <c r="L70" s="11" t="s">
        <v>766</v>
      </c>
      <c r="M70" s="11" t="n">
        <v>1</v>
      </c>
      <c r="P70" s="11" t="s">
        <v>3123</v>
      </c>
    </row>
    <row r="71" customFormat="false" ht="15" hidden="false" customHeight="false" outlineLevel="0" collapsed="false">
      <c r="A71" s="2" t="s">
        <v>4120</v>
      </c>
      <c r="B71" s="11" t="s">
        <v>2473</v>
      </c>
      <c r="C71" s="11" t="s">
        <v>4002</v>
      </c>
      <c r="F71" s="11" t="s">
        <v>258</v>
      </c>
      <c r="H71" s="11" t="s">
        <v>1144</v>
      </c>
      <c r="I71" s="11" t="s">
        <v>1145</v>
      </c>
      <c r="J71" s="11" t="s">
        <v>1144</v>
      </c>
      <c r="K71" s="11" t="s">
        <v>1145</v>
      </c>
      <c r="L71" s="11" t="s">
        <v>766</v>
      </c>
      <c r="M71" s="11" t="n">
        <v>1</v>
      </c>
      <c r="P71" s="11" t="s">
        <v>3123</v>
      </c>
    </row>
    <row r="72" customFormat="false" ht="15" hidden="false" customHeight="false" outlineLevel="0" collapsed="false">
      <c r="A72" s="2" t="s">
        <v>4121</v>
      </c>
      <c r="B72" s="11" t="s">
        <v>2479</v>
      </c>
      <c r="C72" s="11" t="s">
        <v>4002</v>
      </c>
      <c r="F72" s="11" t="s">
        <v>258</v>
      </c>
      <c r="H72" s="11" t="s">
        <v>1144</v>
      </c>
      <c r="I72" s="11" t="s">
        <v>1145</v>
      </c>
      <c r="J72" s="11" t="s">
        <v>1144</v>
      </c>
      <c r="K72" s="11" t="s">
        <v>1145</v>
      </c>
      <c r="L72" s="11" t="s">
        <v>766</v>
      </c>
      <c r="M72" s="11" t="n">
        <v>1</v>
      </c>
      <c r="P72" s="11" t="s">
        <v>3123</v>
      </c>
    </row>
    <row r="73" customFormat="false" ht="15" hidden="false" customHeight="false" outlineLevel="0" collapsed="false">
      <c r="A73" s="2" t="s">
        <v>4122</v>
      </c>
      <c r="B73" s="11" t="s">
        <v>2485</v>
      </c>
      <c r="C73" s="11" t="s">
        <v>3998</v>
      </c>
      <c r="F73" s="11" t="s">
        <v>258</v>
      </c>
      <c r="H73" s="11" t="s">
        <v>1144</v>
      </c>
      <c r="I73" s="11" t="s">
        <v>1145</v>
      </c>
      <c r="J73" s="11" t="s">
        <v>1144</v>
      </c>
      <c r="K73" s="11" t="s">
        <v>1145</v>
      </c>
      <c r="L73" s="11" t="s">
        <v>766</v>
      </c>
      <c r="M73" s="11" t="n">
        <v>1</v>
      </c>
      <c r="P73" s="11" t="s">
        <v>3123</v>
      </c>
    </row>
    <row r="74" customFormat="false" ht="15" hidden="false" customHeight="false" outlineLevel="0" collapsed="false">
      <c r="A74" s="2" t="s">
        <v>4123</v>
      </c>
      <c r="B74" s="11" t="s">
        <v>2491</v>
      </c>
      <c r="C74" s="11" t="s">
        <v>4037</v>
      </c>
      <c r="F74" s="11" t="s">
        <v>258</v>
      </c>
      <c r="H74" s="11" t="s">
        <v>1144</v>
      </c>
      <c r="I74" s="11" t="s">
        <v>1145</v>
      </c>
      <c r="J74" s="11" t="s">
        <v>1144</v>
      </c>
      <c r="K74" s="11" t="s">
        <v>1145</v>
      </c>
      <c r="L74" s="11" t="s">
        <v>766</v>
      </c>
      <c r="M74" s="11" t="n">
        <v>1</v>
      </c>
      <c r="P74" s="11" t="s">
        <v>3123</v>
      </c>
    </row>
    <row r="75" customFormat="false" ht="15" hidden="false" customHeight="false" outlineLevel="0" collapsed="false">
      <c r="A75" s="2" t="s">
        <v>4124</v>
      </c>
      <c r="B75" s="11" t="s">
        <v>2497</v>
      </c>
      <c r="C75" s="11" t="s">
        <v>4014</v>
      </c>
      <c r="F75" s="11" t="s">
        <v>258</v>
      </c>
      <c r="H75" s="11" t="s">
        <v>1144</v>
      </c>
      <c r="I75" s="11" t="s">
        <v>1145</v>
      </c>
      <c r="J75" s="11" t="s">
        <v>1144</v>
      </c>
      <c r="K75" s="11" t="s">
        <v>1145</v>
      </c>
      <c r="L75" s="11" t="s">
        <v>766</v>
      </c>
      <c r="M75" s="11" t="n">
        <v>1</v>
      </c>
      <c r="P75" s="11" t="s">
        <v>3123</v>
      </c>
    </row>
    <row r="76" customFormat="false" ht="15" hidden="false" customHeight="false" outlineLevel="0" collapsed="false">
      <c r="A76" s="2" t="s">
        <v>4125</v>
      </c>
      <c r="B76" s="11" t="s">
        <v>2503</v>
      </c>
      <c r="C76" s="11" t="s">
        <v>3994</v>
      </c>
      <c r="F76" s="11" t="s">
        <v>258</v>
      </c>
      <c r="H76" s="11" t="s">
        <v>1144</v>
      </c>
      <c r="I76" s="11" t="s">
        <v>1145</v>
      </c>
      <c r="J76" s="11" t="s">
        <v>1144</v>
      </c>
      <c r="K76" s="11" t="s">
        <v>1145</v>
      </c>
      <c r="L76" s="11" t="s">
        <v>766</v>
      </c>
      <c r="M76" s="11" t="n">
        <v>1</v>
      </c>
      <c r="P76" s="11" t="s">
        <v>3123</v>
      </c>
    </row>
    <row r="77" customFormat="false" ht="15" hidden="false" customHeight="false" outlineLevel="0" collapsed="false">
      <c r="A77" s="2" t="s">
        <v>4126</v>
      </c>
      <c r="B77" s="11" t="s">
        <v>2508</v>
      </c>
      <c r="C77" s="11" t="s">
        <v>4018</v>
      </c>
      <c r="F77" s="11" t="s">
        <v>258</v>
      </c>
      <c r="H77" s="11" t="s">
        <v>1144</v>
      </c>
      <c r="I77" s="11" t="s">
        <v>1145</v>
      </c>
      <c r="J77" s="11" t="s">
        <v>1144</v>
      </c>
      <c r="K77" s="11" t="s">
        <v>1145</v>
      </c>
      <c r="L77" s="11" t="s">
        <v>766</v>
      </c>
      <c r="M77" s="11" t="n">
        <v>1</v>
      </c>
      <c r="P77" s="11" t="s">
        <v>3123</v>
      </c>
    </row>
    <row r="78" customFormat="false" ht="15" hidden="false" customHeight="false" outlineLevel="0" collapsed="false">
      <c r="A78" s="2" t="s">
        <v>4127</v>
      </c>
      <c r="B78" s="11" t="s">
        <v>2514</v>
      </c>
      <c r="C78" s="11" t="s">
        <v>4002</v>
      </c>
      <c r="F78" s="11" t="s">
        <v>258</v>
      </c>
      <c r="H78" s="11" t="s">
        <v>1144</v>
      </c>
      <c r="I78" s="11" t="s">
        <v>1145</v>
      </c>
      <c r="J78" s="11" t="s">
        <v>1144</v>
      </c>
      <c r="K78" s="11" t="s">
        <v>1145</v>
      </c>
      <c r="L78" s="11" t="s">
        <v>766</v>
      </c>
      <c r="M78" s="11" t="n">
        <v>1</v>
      </c>
      <c r="P78" s="11" t="s">
        <v>3123</v>
      </c>
    </row>
  </sheetData>
  <autoFilter ref="A1:P78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78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78" type="list">
      <formula1>financiele_route!$B$2:$B$2000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78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7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585</v>
      </c>
      <c r="B1" s="13" t="s">
        <v>315</v>
      </c>
      <c r="C1" s="13" t="s">
        <v>264</v>
      </c>
      <c r="D1" s="13" t="s">
        <v>586</v>
      </c>
      <c r="E1" s="14" t="s">
        <v>319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4128</v>
      </c>
      <c r="B2" s="11" t="s">
        <v>4129</v>
      </c>
      <c r="C2" s="11" t="s">
        <v>4130</v>
      </c>
      <c r="D2" s="11" t="s">
        <v>4131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  <c r="N2" s="11" t="s">
        <v>4132</v>
      </c>
    </row>
    <row r="3" customFormat="false" ht="15" hidden="false" customHeight="false" outlineLevel="0" collapsed="false">
      <c r="A3" s="2" t="s">
        <v>4133</v>
      </c>
      <c r="B3" s="11" t="s">
        <v>4134</v>
      </c>
      <c r="C3" s="11" t="s">
        <v>4135</v>
      </c>
      <c r="D3" s="11" t="s">
        <v>4131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  <c r="N3" s="11" t="s">
        <v>4132</v>
      </c>
    </row>
    <row r="4" customFormat="false" ht="15" hidden="false" customHeight="false" outlineLevel="0" collapsed="false">
      <c r="A4" s="2" t="s">
        <v>4136</v>
      </c>
      <c r="B4" s="11" t="s">
        <v>4137</v>
      </c>
      <c r="C4" s="11" t="s">
        <v>4138</v>
      </c>
      <c r="D4" s="11" t="s">
        <v>4131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  <c r="N4" s="11" t="s">
        <v>4132</v>
      </c>
    </row>
    <row r="5" customFormat="false" ht="15" hidden="false" customHeight="false" outlineLevel="0" collapsed="false">
      <c r="A5" s="2" t="s">
        <v>4139</v>
      </c>
      <c r="B5" s="11" t="s">
        <v>4140</v>
      </c>
      <c r="C5" s="11" t="s">
        <v>4141</v>
      </c>
      <c r="D5" s="11" t="s">
        <v>4131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  <c r="N5" s="11" t="s">
        <v>4132</v>
      </c>
    </row>
    <row r="6" customFormat="false" ht="15" hidden="false" customHeight="false" outlineLevel="0" collapsed="false">
      <c r="A6" s="2" t="s">
        <v>4142</v>
      </c>
      <c r="B6" s="11" t="s">
        <v>4143</v>
      </c>
      <c r="C6" s="11" t="s">
        <v>4144</v>
      </c>
      <c r="D6" s="11" t="s">
        <v>4131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  <c r="N6" s="11" t="s">
        <v>4132</v>
      </c>
    </row>
    <row r="7" customFormat="false" ht="15" hidden="false" customHeight="false" outlineLevel="0" collapsed="false">
      <c r="A7" s="2" t="s">
        <v>4145</v>
      </c>
      <c r="B7" s="11" t="s">
        <v>4146</v>
      </c>
      <c r="C7" s="11" t="s">
        <v>4147</v>
      </c>
      <c r="D7" s="11" t="s">
        <v>4148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  <c r="N7" s="11" t="s">
        <v>4132</v>
      </c>
    </row>
    <row r="8" customFormat="false" ht="15" hidden="false" customHeight="false" outlineLevel="0" collapsed="false">
      <c r="A8" s="2" t="s">
        <v>4149</v>
      </c>
      <c r="B8" s="11" t="s">
        <v>4150</v>
      </c>
      <c r="C8" s="11" t="s">
        <v>4151</v>
      </c>
      <c r="D8" s="11" t="s">
        <v>4152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  <c r="N8" s="11" t="s">
        <v>4132</v>
      </c>
    </row>
    <row r="9" customFormat="false" ht="15" hidden="false" customHeight="false" outlineLevel="0" collapsed="false">
      <c r="A9" s="2" t="s">
        <v>4153</v>
      </c>
      <c r="B9" s="11" t="s">
        <v>4154</v>
      </c>
      <c r="C9" s="11" t="s">
        <v>4155</v>
      </c>
      <c r="D9" s="11" t="s">
        <v>4152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  <c r="N9" s="11" t="s">
        <v>4132</v>
      </c>
    </row>
    <row r="10" customFormat="false" ht="15" hidden="false" customHeight="false" outlineLevel="0" collapsed="false">
      <c r="A10" s="2" t="s">
        <v>4156</v>
      </c>
      <c r="B10" s="11" t="s">
        <v>4157</v>
      </c>
      <c r="C10" s="11" t="s">
        <v>4158</v>
      </c>
      <c r="D10" s="11" t="s">
        <v>4152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  <c r="N10" s="11" t="s">
        <v>4132</v>
      </c>
    </row>
    <row r="11" customFormat="false" ht="15" hidden="false" customHeight="false" outlineLevel="0" collapsed="false">
      <c r="A11" s="2" t="s">
        <v>4159</v>
      </c>
      <c r="B11" s="11" t="s">
        <v>4160</v>
      </c>
      <c r="C11" s="11" t="s">
        <v>4161</v>
      </c>
      <c r="D11" s="11" t="s">
        <v>4152</v>
      </c>
      <c r="F11" s="11" t="s">
        <v>985</v>
      </c>
      <c r="G11" s="11" t="s">
        <v>986</v>
      </c>
      <c r="H11" s="11" t="s">
        <v>985</v>
      </c>
      <c r="I11" s="11" t="s">
        <v>986</v>
      </c>
      <c r="J11" s="11" t="s">
        <v>766</v>
      </c>
      <c r="K11" s="11" t="n">
        <v>1</v>
      </c>
      <c r="N11" s="11" t="s">
        <v>4132</v>
      </c>
    </row>
    <row r="12" customFormat="false" ht="15" hidden="false" customHeight="false" outlineLevel="0" collapsed="false">
      <c r="A12" s="2" t="s">
        <v>4162</v>
      </c>
      <c r="B12" s="11" t="s">
        <v>4163</v>
      </c>
      <c r="C12" s="11" t="s">
        <v>4164</v>
      </c>
      <c r="D12" s="11" t="s">
        <v>4165</v>
      </c>
      <c r="F12" s="11" t="s">
        <v>985</v>
      </c>
      <c r="G12" s="11" t="s">
        <v>986</v>
      </c>
      <c r="H12" s="11" t="s">
        <v>985</v>
      </c>
      <c r="I12" s="11" t="s">
        <v>986</v>
      </c>
      <c r="J12" s="11" t="s">
        <v>766</v>
      </c>
      <c r="K12" s="11" t="n">
        <v>1</v>
      </c>
      <c r="N12" s="11" t="s">
        <v>4132</v>
      </c>
    </row>
    <row r="13" customFormat="false" ht="15" hidden="false" customHeight="false" outlineLevel="0" collapsed="false">
      <c r="A13" s="2" t="s">
        <v>4166</v>
      </c>
      <c r="B13" s="11" t="s">
        <v>4167</v>
      </c>
      <c r="C13" s="11" t="s">
        <v>4168</v>
      </c>
      <c r="D13" s="11" t="s">
        <v>4169</v>
      </c>
      <c r="F13" s="11" t="s">
        <v>985</v>
      </c>
      <c r="G13" s="11" t="s">
        <v>986</v>
      </c>
      <c r="H13" s="11" t="s">
        <v>985</v>
      </c>
      <c r="I13" s="11" t="s">
        <v>986</v>
      </c>
      <c r="J13" s="11" t="s">
        <v>766</v>
      </c>
      <c r="K13" s="11" t="n">
        <v>1</v>
      </c>
      <c r="N13" s="11" t="s">
        <v>4132</v>
      </c>
    </row>
    <row r="14" customFormat="false" ht="15" hidden="false" customHeight="false" outlineLevel="0" collapsed="false">
      <c r="A14" s="2" t="s">
        <v>4170</v>
      </c>
      <c r="B14" s="11" t="s">
        <v>4171</v>
      </c>
      <c r="C14" s="11" t="s">
        <v>4172</v>
      </c>
      <c r="D14" s="11" t="s">
        <v>4173</v>
      </c>
      <c r="F14" s="11" t="s">
        <v>985</v>
      </c>
      <c r="G14" s="11" t="s">
        <v>986</v>
      </c>
      <c r="H14" s="11" t="s">
        <v>985</v>
      </c>
      <c r="I14" s="11" t="s">
        <v>986</v>
      </c>
      <c r="J14" s="11" t="s">
        <v>766</v>
      </c>
      <c r="K14" s="11" t="n">
        <v>1</v>
      </c>
      <c r="N14" s="11" t="s">
        <v>4132</v>
      </c>
    </row>
    <row r="15" customFormat="false" ht="15" hidden="false" customHeight="false" outlineLevel="0" collapsed="false">
      <c r="A15" s="2" t="s">
        <v>4174</v>
      </c>
      <c r="B15" s="11" t="s">
        <v>4175</v>
      </c>
      <c r="C15" s="11" t="s">
        <v>4176</v>
      </c>
      <c r="D15" s="11" t="s">
        <v>4177</v>
      </c>
      <c r="F15" s="11" t="s">
        <v>985</v>
      </c>
      <c r="G15" s="11" t="s">
        <v>986</v>
      </c>
      <c r="H15" s="11" t="s">
        <v>985</v>
      </c>
      <c r="I15" s="11" t="s">
        <v>986</v>
      </c>
      <c r="J15" s="11" t="s">
        <v>766</v>
      </c>
      <c r="K15" s="11" t="n">
        <v>1</v>
      </c>
      <c r="N15" s="11" t="s">
        <v>4132</v>
      </c>
    </row>
  </sheetData>
  <autoFilter ref="A1:N15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U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9" min="8" style="0" width="17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6" min="12" style="0" width="14"/>
    <col collapsed="false" customWidth="true" hidden="false" outlineLevel="0" max="17" min="17" style="0" width="40"/>
    <col collapsed="false" customWidth="true" hidden="false" outlineLevel="0" max="18" min="18" style="0" width="17"/>
    <col collapsed="false" customWidth="true" hidden="false" outlineLevel="0" max="20" min="19" style="0" width="14"/>
    <col collapsed="false" customWidth="true" hidden="false" outlineLevel="0" max="21" min="21" style="0" width="40"/>
  </cols>
  <sheetData>
    <row r="1" customFormat="false" ht="15" hidden="false" customHeight="false" outlineLevel="0" collapsed="false">
      <c r="A1" s="13" t="s">
        <v>587</v>
      </c>
      <c r="B1" s="13" t="s">
        <v>469</v>
      </c>
      <c r="C1" s="13" t="s">
        <v>585</v>
      </c>
      <c r="D1" s="14" t="s">
        <v>589</v>
      </c>
      <c r="E1" s="14" t="s">
        <v>590</v>
      </c>
      <c r="F1" s="14" t="s">
        <v>591</v>
      </c>
      <c r="G1" s="14" t="s">
        <v>593</v>
      </c>
      <c r="H1" s="14" t="s">
        <v>594</v>
      </c>
      <c r="I1" s="14" t="s">
        <v>596</v>
      </c>
      <c r="J1" s="14" t="s">
        <v>597</v>
      </c>
      <c r="K1" s="14" t="s">
        <v>599</v>
      </c>
      <c r="L1" s="14" t="s">
        <v>537</v>
      </c>
      <c r="M1" s="15" t="s">
        <v>292</v>
      </c>
      <c r="N1" s="15" t="s">
        <v>295</v>
      </c>
      <c r="O1" s="15" t="s">
        <v>298</v>
      </c>
      <c r="P1" s="15" t="s">
        <v>300</v>
      </c>
      <c r="Q1" s="15" t="s">
        <v>302</v>
      </c>
      <c r="R1" s="15" t="s">
        <v>305</v>
      </c>
      <c r="S1" s="15" t="s">
        <v>307</v>
      </c>
      <c r="T1" s="15" t="s">
        <v>310</v>
      </c>
      <c r="U1" s="15" t="s">
        <v>312</v>
      </c>
    </row>
    <row r="2" customFormat="false" ht="15" hidden="false" customHeight="false" outlineLevel="0" collapsed="false">
      <c r="A2" s="2" t="s">
        <v>4178</v>
      </c>
      <c r="B2" s="11" t="s">
        <v>2008</v>
      </c>
      <c r="C2" s="11" t="s">
        <v>4129</v>
      </c>
      <c r="D2" s="11" t="s">
        <v>4179</v>
      </c>
      <c r="E2" s="11" t="s">
        <v>776</v>
      </c>
      <c r="K2" s="11" t="s">
        <v>4180</v>
      </c>
      <c r="M2" s="11" t="s">
        <v>1144</v>
      </c>
      <c r="N2" s="11" t="s">
        <v>1145</v>
      </c>
      <c r="O2" s="11" t="s">
        <v>1144</v>
      </c>
      <c r="P2" s="11" t="s">
        <v>1145</v>
      </c>
      <c r="Q2" s="11" t="s">
        <v>766</v>
      </c>
      <c r="R2" s="11" t="n">
        <v>1</v>
      </c>
      <c r="U2" s="11" t="s">
        <v>3123</v>
      </c>
    </row>
    <row r="3" customFormat="false" ht="15" hidden="false" customHeight="false" outlineLevel="0" collapsed="false">
      <c r="A3" s="2" t="s">
        <v>4181</v>
      </c>
      <c r="B3" s="11" t="s">
        <v>2023</v>
      </c>
      <c r="C3" s="11" t="s">
        <v>4129</v>
      </c>
      <c r="D3" s="11" t="s">
        <v>4179</v>
      </c>
      <c r="E3" s="11" t="s">
        <v>776</v>
      </c>
      <c r="K3" s="11" t="s">
        <v>4182</v>
      </c>
      <c r="M3" s="11" t="s">
        <v>1144</v>
      </c>
      <c r="N3" s="11" t="s">
        <v>1145</v>
      </c>
      <c r="O3" s="11" t="s">
        <v>1144</v>
      </c>
      <c r="P3" s="11" t="s">
        <v>1145</v>
      </c>
      <c r="Q3" s="11" t="s">
        <v>766</v>
      </c>
      <c r="R3" s="11" t="n">
        <v>1</v>
      </c>
      <c r="U3" s="11" t="s">
        <v>3123</v>
      </c>
    </row>
    <row r="4" customFormat="false" ht="15" hidden="false" customHeight="false" outlineLevel="0" collapsed="false">
      <c r="A4" s="2" t="s">
        <v>4183</v>
      </c>
      <c r="B4" s="11" t="s">
        <v>2030</v>
      </c>
      <c r="C4" s="11" t="s">
        <v>4134</v>
      </c>
      <c r="D4" s="11" t="s">
        <v>4179</v>
      </c>
      <c r="E4" s="11" t="s">
        <v>776</v>
      </c>
      <c r="K4" s="11" t="s">
        <v>4184</v>
      </c>
      <c r="M4" s="11" t="s">
        <v>1144</v>
      </c>
      <c r="N4" s="11" t="s">
        <v>1145</v>
      </c>
      <c r="O4" s="11" t="s">
        <v>1144</v>
      </c>
      <c r="P4" s="11" t="s">
        <v>1145</v>
      </c>
      <c r="Q4" s="11" t="s">
        <v>766</v>
      </c>
      <c r="R4" s="11" t="n">
        <v>1</v>
      </c>
      <c r="U4" s="11" t="s">
        <v>3123</v>
      </c>
    </row>
    <row r="5" customFormat="false" ht="15" hidden="false" customHeight="false" outlineLevel="0" collapsed="false">
      <c r="A5" s="2" t="s">
        <v>4185</v>
      </c>
      <c r="B5" s="11" t="s">
        <v>2036</v>
      </c>
      <c r="C5" s="11" t="s">
        <v>4129</v>
      </c>
      <c r="D5" s="11" t="s">
        <v>4179</v>
      </c>
      <c r="E5" s="11" t="s">
        <v>776</v>
      </c>
      <c r="K5" s="11" t="s">
        <v>4186</v>
      </c>
      <c r="M5" s="11" t="s">
        <v>1144</v>
      </c>
      <c r="N5" s="11" t="s">
        <v>1145</v>
      </c>
      <c r="O5" s="11" t="s">
        <v>1144</v>
      </c>
      <c r="P5" s="11" t="s">
        <v>1145</v>
      </c>
      <c r="Q5" s="11" t="s">
        <v>766</v>
      </c>
      <c r="R5" s="11" t="n">
        <v>1</v>
      </c>
      <c r="U5" s="11" t="s">
        <v>3123</v>
      </c>
    </row>
    <row r="6" customFormat="false" ht="15" hidden="false" customHeight="false" outlineLevel="0" collapsed="false">
      <c r="A6" s="2" t="s">
        <v>4187</v>
      </c>
      <c r="B6" s="11" t="s">
        <v>2045</v>
      </c>
      <c r="C6" s="11" t="s">
        <v>4129</v>
      </c>
      <c r="D6" s="11" t="s">
        <v>4179</v>
      </c>
      <c r="E6" s="11" t="s">
        <v>776</v>
      </c>
      <c r="M6" s="11" t="s">
        <v>1144</v>
      </c>
      <c r="N6" s="11" t="s">
        <v>1145</v>
      </c>
      <c r="O6" s="11" t="s">
        <v>1144</v>
      </c>
      <c r="P6" s="11" t="s">
        <v>1145</v>
      </c>
      <c r="Q6" s="11" t="s">
        <v>766</v>
      </c>
      <c r="R6" s="11" t="n">
        <v>1</v>
      </c>
      <c r="U6" s="11" t="s">
        <v>3123</v>
      </c>
    </row>
    <row r="7" customFormat="false" ht="15" hidden="false" customHeight="false" outlineLevel="0" collapsed="false">
      <c r="A7" s="2" t="s">
        <v>4188</v>
      </c>
      <c r="B7" s="11" t="s">
        <v>2051</v>
      </c>
      <c r="C7" s="11" t="s">
        <v>4134</v>
      </c>
      <c r="D7" s="11" t="s">
        <v>4179</v>
      </c>
      <c r="E7" s="11" t="s">
        <v>776</v>
      </c>
      <c r="M7" s="11" t="s">
        <v>1144</v>
      </c>
      <c r="N7" s="11" t="s">
        <v>1145</v>
      </c>
      <c r="O7" s="11" t="s">
        <v>1144</v>
      </c>
      <c r="P7" s="11" t="s">
        <v>1145</v>
      </c>
      <c r="Q7" s="11" t="s">
        <v>766</v>
      </c>
      <c r="R7" s="11" t="n">
        <v>1</v>
      </c>
      <c r="U7" s="11" t="s">
        <v>3123</v>
      </c>
    </row>
    <row r="8" customFormat="false" ht="15" hidden="false" customHeight="false" outlineLevel="0" collapsed="false">
      <c r="A8" s="2" t="s">
        <v>4189</v>
      </c>
      <c r="B8" s="11" t="s">
        <v>2060</v>
      </c>
      <c r="C8" s="11" t="s">
        <v>4129</v>
      </c>
      <c r="D8" s="11" t="s">
        <v>4179</v>
      </c>
      <c r="E8" s="11" t="s">
        <v>776</v>
      </c>
      <c r="M8" s="11" t="s">
        <v>1144</v>
      </c>
      <c r="N8" s="11" t="s">
        <v>1145</v>
      </c>
      <c r="O8" s="11" t="s">
        <v>1144</v>
      </c>
      <c r="P8" s="11" t="s">
        <v>1145</v>
      </c>
      <c r="Q8" s="11" t="s">
        <v>766</v>
      </c>
      <c r="R8" s="11" t="n">
        <v>1</v>
      </c>
      <c r="U8" s="11" t="s">
        <v>3123</v>
      </c>
    </row>
    <row r="9" customFormat="false" ht="15" hidden="false" customHeight="false" outlineLevel="0" collapsed="false">
      <c r="A9" s="2" t="s">
        <v>4190</v>
      </c>
      <c r="B9" s="11" t="s">
        <v>2065</v>
      </c>
      <c r="C9" s="11" t="s">
        <v>4150</v>
      </c>
      <c r="D9" s="11" t="s">
        <v>4191</v>
      </c>
      <c r="E9" s="11" t="s">
        <v>776</v>
      </c>
      <c r="K9" s="11" t="s">
        <v>4192</v>
      </c>
      <c r="M9" s="11" t="s">
        <v>1144</v>
      </c>
      <c r="N9" s="11" t="s">
        <v>1145</v>
      </c>
      <c r="O9" s="11" t="s">
        <v>1144</v>
      </c>
      <c r="P9" s="11" t="s">
        <v>1145</v>
      </c>
      <c r="Q9" s="11" t="s">
        <v>766</v>
      </c>
      <c r="R9" s="11" t="n">
        <v>1</v>
      </c>
      <c r="U9" s="11" t="s">
        <v>3123</v>
      </c>
    </row>
    <row r="10" customFormat="false" ht="15" hidden="false" customHeight="false" outlineLevel="0" collapsed="false">
      <c r="A10" s="2" t="s">
        <v>4193</v>
      </c>
      <c r="B10" s="11" t="s">
        <v>2075</v>
      </c>
      <c r="C10" s="11" t="s">
        <v>4137</v>
      </c>
      <c r="D10" s="11" t="s">
        <v>4194</v>
      </c>
      <c r="E10" s="11" t="s">
        <v>776</v>
      </c>
      <c r="K10" s="11" t="s">
        <v>4195</v>
      </c>
      <c r="M10" s="11" t="s">
        <v>1144</v>
      </c>
      <c r="N10" s="11" t="s">
        <v>1145</v>
      </c>
      <c r="O10" s="11" t="s">
        <v>1144</v>
      </c>
      <c r="P10" s="11" t="s">
        <v>1145</v>
      </c>
      <c r="Q10" s="11" t="s">
        <v>766</v>
      </c>
      <c r="R10" s="11" t="n">
        <v>1</v>
      </c>
      <c r="U10" s="11" t="s">
        <v>3123</v>
      </c>
    </row>
    <row r="11" customFormat="false" ht="15" hidden="false" customHeight="false" outlineLevel="0" collapsed="false">
      <c r="A11" s="2" t="s">
        <v>4196</v>
      </c>
      <c r="B11" s="11" t="s">
        <v>2084</v>
      </c>
      <c r="C11" s="11" t="s">
        <v>4137</v>
      </c>
      <c r="D11" s="11" t="s">
        <v>4194</v>
      </c>
      <c r="E11" s="11" t="s">
        <v>776</v>
      </c>
      <c r="M11" s="11" t="s">
        <v>1144</v>
      </c>
      <c r="N11" s="11" t="s">
        <v>1145</v>
      </c>
      <c r="O11" s="11" t="s">
        <v>1144</v>
      </c>
      <c r="P11" s="11" t="s">
        <v>1145</v>
      </c>
      <c r="Q11" s="11" t="s">
        <v>766</v>
      </c>
      <c r="R11" s="11" t="n">
        <v>1</v>
      </c>
      <c r="U11" s="11" t="s">
        <v>3123</v>
      </c>
    </row>
    <row r="12" customFormat="false" ht="15" hidden="false" customHeight="false" outlineLevel="0" collapsed="false">
      <c r="A12" s="2" t="s">
        <v>4197</v>
      </c>
      <c r="B12" s="11" t="s">
        <v>2089</v>
      </c>
      <c r="C12" s="11" t="s">
        <v>4150</v>
      </c>
      <c r="D12" s="11" t="s">
        <v>4191</v>
      </c>
      <c r="E12" s="11" t="s">
        <v>776</v>
      </c>
      <c r="M12" s="11" t="s">
        <v>1144</v>
      </c>
      <c r="N12" s="11" t="s">
        <v>1145</v>
      </c>
      <c r="O12" s="11" t="s">
        <v>1144</v>
      </c>
      <c r="P12" s="11" t="s">
        <v>1145</v>
      </c>
      <c r="Q12" s="11" t="s">
        <v>766</v>
      </c>
      <c r="R12" s="11" t="n">
        <v>1</v>
      </c>
      <c r="U12" s="11" t="s">
        <v>3123</v>
      </c>
    </row>
    <row r="13" customFormat="false" ht="15" hidden="false" customHeight="false" outlineLevel="0" collapsed="false">
      <c r="A13" s="2" t="s">
        <v>4198</v>
      </c>
      <c r="B13" s="11" t="s">
        <v>2099</v>
      </c>
      <c r="C13" s="11" t="s">
        <v>4137</v>
      </c>
      <c r="D13" s="11" t="s">
        <v>4194</v>
      </c>
      <c r="E13" s="11" t="s">
        <v>776</v>
      </c>
      <c r="M13" s="11" t="s">
        <v>1144</v>
      </c>
      <c r="N13" s="11" t="s">
        <v>1145</v>
      </c>
      <c r="O13" s="11" t="s">
        <v>1144</v>
      </c>
      <c r="P13" s="11" t="s">
        <v>1145</v>
      </c>
      <c r="Q13" s="11" t="s">
        <v>766</v>
      </c>
      <c r="R13" s="11" t="n">
        <v>1</v>
      </c>
      <c r="U13" s="11" t="s">
        <v>3123</v>
      </c>
    </row>
    <row r="14" customFormat="false" ht="15" hidden="false" customHeight="false" outlineLevel="0" collapsed="false">
      <c r="A14" s="2" t="s">
        <v>4199</v>
      </c>
      <c r="B14" s="11" t="s">
        <v>2107</v>
      </c>
      <c r="C14" s="11" t="s">
        <v>4137</v>
      </c>
      <c r="D14" s="11" t="s">
        <v>4194</v>
      </c>
      <c r="E14" s="11" t="s">
        <v>776</v>
      </c>
      <c r="M14" s="11" t="s">
        <v>1144</v>
      </c>
      <c r="N14" s="11" t="s">
        <v>1145</v>
      </c>
      <c r="O14" s="11" t="s">
        <v>1144</v>
      </c>
      <c r="P14" s="11" t="s">
        <v>1145</v>
      </c>
      <c r="Q14" s="11" t="s">
        <v>766</v>
      </c>
      <c r="R14" s="11" t="n">
        <v>1</v>
      </c>
      <c r="U14" s="11" t="s">
        <v>3123</v>
      </c>
    </row>
    <row r="15" customFormat="false" ht="15" hidden="false" customHeight="false" outlineLevel="0" collapsed="false">
      <c r="A15" s="2" t="s">
        <v>4200</v>
      </c>
      <c r="B15" s="11" t="s">
        <v>2117</v>
      </c>
      <c r="C15" s="11" t="s">
        <v>4137</v>
      </c>
      <c r="D15" s="11" t="s">
        <v>4194</v>
      </c>
      <c r="E15" s="11" t="s">
        <v>776</v>
      </c>
      <c r="M15" s="11" t="s">
        <v>1144</v>
      </c>
      <c r="N15" s="11" t="s">
        <v>1145</v>
      </c>
      <c r="O15" s="11" t="s">
        <v>1144</v>
      </c>
      <c r="P15" s="11" t="s">
        <v>1145</v>
      </c>
      <c r="Q15" s="11" t="s">
        <v>766</v>
      </c>
      <c r="R15" s="11" t="n">
        <v>1</v>
      </c>
      <c r="U15" s="11" t="s">
        <v>3123</v>
      </c>
    </row>
    <row r="16" customFormat="false" ht="15" hidden="false" customHeight="false" outlineLevel="0" collapsed="false">
      <c r="A16" s="2" t="s">
        <v>4201</v>
      </c>
      <c r="B16" s="11" t="s">
        <v>2122</v>
      </c>
      <c r="C16" s="11" t="s">
        <v>4137</v>
      </c>
      <c r="D16" s="11" t="s">
        <v>4194</v>
      </c>
      <c r="E16" s="11" t="s">
        <v>776</v>
      </c>
      <c r="M16" s="11" t="s">
        <v>1144</v>
      </c>
      <c r="N16" s="11" t="s">
        <v>1145</v>
      </c>
      <c r="O16" s="11" t="s">
        <v>1144</v>
      </c>
      <c r="P16" s="11" t="s">
        <v>1145</v>
      </c>
      <c r="Q16" s="11" t="s">
        <v>766</v>
      </c>
      <c r="R16" s="11" t="n">
        <v>1</v>
      </c>
      <c r="U16" s="11" t="s">
        <v>3123</v>
      </c>
    </row>
    <row r="17" customFormat="false" ht="15" hidden="false" customHeight="false" outlineLevel="0" collapsed="false">
      <c r="A17" s="2" t="s">
        <v>4202</v>
      </c>
      <c r="B17" s="11" t="s">
        <v>2127</v>
      </c>
      <c r="C17" s="11" t="s">
        <v>4129</v>
      </c>
      <c r="D17" s="11" t="s">
        <v>4179</v>
      </c>
      <c r="E17" s="11" t="s">
        <v>776</v>
      </c>
      <c r="M17" s="11" t="s">
        <v>1144</v>
      </c>
      <c r="N17" s="11" t="s">
        <v>1145</v>
      </c>
      <c r="O17" s="11" t="s">
        <v>1144</v>
      </c>
      <c r="P17" s="11" t="s">
        <v>1145</v>
      </c>
      <c r="Q17" s="11" t="s">
        <v>766</v>
      </c>
      <c r="R17" s="11" t="n">
        <v>1</v>
      </c>
      <c r="U17" s="11" t="s">
        <v>3123</v>
      </c>
    </row>
    <row r="18" customFormat="false" ht="15" hidden="false" customHeight="false" outlineLevel="0" collapsed="false">
      <c r="A18" s="2" t="s">
        <v>4203</v>
      </c>
      <c r="B18" s="11" t="s">
        <v>2133</v>
      </c>
      <c r="C18" s="11" t="s">
        <v>4137</v>
      </c>
      <c r="D18" s="11" t="s">
        <v>4194</v>
      </c>
      <c r="E18" s="11" t="s">
        <v>776</v>
      </c>
      <c r="M18" s="11" t="s">
        <v>1144</v>
      </c>
      <c r="N18" s="11" t="s">
        <v>1145</v>
      </c>
      <c r="O18" s="11" t="s">
        <v>1144</v>
      </c>
      <c r="P18" s="11" t="s">
        <v>1145</v>
      </c>
      <c r="Q18" s="11" t="s">
        <v>766</v>
      </c>
      <c r="R18" s="11" t="n">
        <v>1</v>
      </c>
      <c r="U18" s="11" t="s">
        <v>3123</v>
      </c>
    </row>
    <row r="19" customFormat="false" ht="15" hidden="false" customHeight="false" outlineLevel="0" collapsed="false">
      <c r="A19" s="2" t="s">
        <v>4204</v>
      </c>
      <c r="B19" s="11" t="s">
        <v>2141</v>
      </c>
      <c r="C19" s="11" t="s">
        <v>4134</v>
      </c>
      <c r="D19" s="11" t="s">
        <v>4179</v>
      </c>
      <c r="E19" s="11" t="s">
        <v>776</v>
      </c>
      <c r="M19" s="11" t="s">
        <v>1144</v>
      </c>
      <c r="N19" s="11" t="s">
        <v>1145</v>
      </c>
      <c r="O19" s="11" t="s">
        <v>1144</v>
      </c>
      <c r="P19" s="11" t="s">
        <v>1145</v>
      </c>
      <c r="Q19" s="11" t="s">
        <v>766</v>
      </c>
      <c r="R19" s="11" t="n">
        <v>1</v>
      </c>
      <c r="U19" s="11" t="s">
        <v>3123</v>
      </c>
    </row>
    <row r="20" customFormat="false" ht="15" hidden="false" customHeight="false" outlineLevel="0" collapsed="false">
      <c r="A20" s="2" t="s">
        <v>4205</v>
      </c>
      <c r="B20" s="11" t="s">
        <v>2147</v>
      </c>
      <c r="C20" s="11" t="s">
        <v>4134</v>
      </c>
      <c r="D20" s="11" t="s">
        <v>4179</v>
      </c>
      <c r="E20" s="11" t="s">
        <v>776</v>
      </c>
      <c r="M20" s="11" t="s">
        <v>1144</v>
      </c>
      <c r="N20" s="11" t="s">
        <v>1145</v>
      </c>
      <c r="O20" s="11" t="s">
        <v>1144</v>
      </c>
      <c r="P20" s="11" t="s">
        <v>1145</v>
      </c>
      <c r="Q20" s="11" t="s">
        <v>766</v>
      </c>
      <c r="R20" s="11" t="n">
        <v>1</v>
      </c>
      <c r="U20" s="11" t="s">
        <v>3123</v>
      </c>
    </row>
    <row r="21" customFormat="false" ht="15" hidden="false" customHeight="false" outlineLevel="0" collapsed="false">
      <c r="A21" s="2" t="s">
        <v>4206</v>
      </c>
      <c r="B21" s="11" t="s">
        <v>2152</v>
      </c>
      <c r="C21" s="11" t="s">
        <v>4137</v>
      </c>
      <c r="D21" s="11" t="s">
        <v>4194</v>
      </c>
      <c r="E21" s="11" t="s">
        <v>776</v>
      </c>
      <c r="M21" s="11" t="s">
        <v>1144</v>
      </c>
      <c r="N21" s="11" t="s">
        <v>1145</v>
      </c>
      <c r="O21" s="11" t="s">
        <v>1144</v>
      </c>
      <c r="P21" s="11" t="s">
        <v>1145</v>
      </c>
      <c r="Q21" s="11" t="s">
        <v>766</v>
      </c>
      <c r="R21" s="11" t="n">
        <v>1</v>
      </c>
      <c r="U21" s="11" t="s">
        <v>3123</v>
      </c>
    </row>
    <row r="22" customFormat="false" ht="15" hidden="false" customHeight="false" outlineLevel="0" collapsed="false">
      <c r="A22" s="2" t="s">
        <v>4207</v>
      </c>
      <c r="B22" s="11" t="s">
        <v>2158</v>
      </c>
      <c r="C22" s="11" t="s">
        <v>4140</v>
      </c>
      <c r="D22" s="11" t="s">
        <v>4194</v>
      </c>
      <c r="E22" s="11" t="s">
        <v>776</v>
      </c>
      <c r="M22" s="11" t="s">
        <v>1144</v>
      </c>
      <c r="N22" s="11" t="s">
        <v>1145</v>
      </c>
      <c r="O22" s="11" t="s">
        <v>1144</v>
      </c>
      <c r="P22" s="11" t="s">
        <v>1145</v>
      </c>
      <c r="Q22" s="11" t="s">
        <v>766</v>
      </c>
      <c r="R22" s="11" t="n">
        <v>1</v>
      </c>
      <c r="U22" s="11" t="s">
        <v>3123</v>
      </c>
    </row>
    <row r="23" customFormat="false" ht="15" hidden="false" customHeight="false" outlineLevel="0" collapsed="false">
      <c r="A23" s="2" t="s">
        <v>4208</v>
      </c>
      <c r="B23" s="11" t="s">
        <v>2166</v>
      </c>
      <c r="C23" s="11" t="s">
        <v>4140</v>
      </c>
      <c r="D23" s="11" t="s">
        <v>4194</v>
      </c>
      <c r="E23" s="11" t="s">
        <v>776</v>
      </c>
      <c r="M23" s="11" t="s">
        <v>1144</v>
      </c>
      <c r="N23" s="11" t="s">
        <v>1145</v>
      </c>
      <c r="O23" s="11" t="s">
        <v>1144</v>
      </c>
      <c r="P23" s="11" t="s">
        <v>1145</v>
      </c>
      <c r="Q23" s="11" t="s">
        <v>766</v>
      </c>
      <c r="R23" s="11" t="n">
        <v>1</v>
      </c>
      <c r="U23" s="11" t="s">
        <v>3123</v>
      </c>
    </row>
    <row r="24" customFormat="false" ht="15" hidden="false" customHeight="false" outlineLevel="0" collapsed="false">
      <c r="A24" s="2" t="s">
        <v>4209</v>
      </c>
      <c r="B24" s="11" t="s">
        <v>2171</v>
      </c>
      <c r="C24" s="11" t="s">
        <v>4154</v>
      </c>
      <c r="D24" s="11" t="s">
        <v>4191</v>
      </c>
      <c r="E24" s="11" t="s">
        <v>776</v>
      </c>
      <c r="K24" s="11" t="s">
        <v>4210</v>
      </c>
      <c r="M24" s="11" t="s">
        <v>1144</v>
      </c>
      <c r="N24" s="11" t="s">
        <v>1145</v>
      </c>
      <c r="O24" s="11" t="s">
        <v>1144</v>
      </c>
      <c r="P24" s="11" t="s">
        <v>1145</v>
      </c>
      <c r="Q24" s="11" t="s">
        <v>766</v>
      </c>
      <c r="R24" s="11" t="n">
        <v>1</v>
      </c>
      <c r="U24" s="11" t="s">
        <v>3123</v>
      </c>
    </row>
    <row r="25" customFormat="false" ht="15" hidden="false" customHeight="false" outlineLevel="0" collapsed="false">
      <c r="A25" s="2" t="s">
        <v>4211</v>
      </c>
      <c r="B25" s="11" t="s">
        <v>1841</v>
      </c>
      <c r="C25" s="11" t="s">
        <v>4154</v>
      </c>
      <c r="D25" s="11" t="s">
        <v>4191</v>
      </c>
      <c r="E25" s="11" t="s">
        <v>776</v>
      </c>
      <c r="M25" s="11" t="s">
        <v>1144</v>
      </c>
      <c r="N25" s="11" t="s">
        <v>1145</v>
      </c>
      <c r="O25" s="11" t="s">
        <v>1144</v>
      </c>
      <c r="P25" s="11" t="s">
        <v>1145</v>
      </c>
      <c r="Q25" s="11" t="s">
        <v>766</v>
      </c>
      <c r="R25" s="11" t="n">
        <v>1</v>
      </c>
      <c r="U25" s="11" t="s">
        <v>3123</v>
      </c>
    </row>
    <row r="26" customFormat="false" ht="15" hidden="false" customHeight="false" outlineLevel="0" collapsed="false">
      <c r="A26" s="2" t="s">
        <v>4212</v>
      </c>
      <c r="B26" s="11" t="s">
        <v>1832</v>
      </c>
      <c r="C26" s="11" t="s">
        <v>4150</v>
      </c>
      <c r="D26" s="11" t="s">
        <v>4191</v>
      </c>
      <c r="E26" s="11" t="s">
        <v>776</v>
      </c>
      <c r="M26" s="11" t="s">
        <v>1144</v>
      </c>
      <c r="N26" s="11" t="s">
        <v>1145</v>
      </c>
      <c r="O26" s="11" t="s">
        <v>1144</v>
      </c>
      <c r="P26" s="11" t="s">
        <v>1145</v>
      </c>
      <c r="Q26" s="11" t="s">
        <v>766</v>
      </c>
      <c r="R26" s="11" t="n">
        <v>1</v>
      </c>
      <c r="U26" s="11" t="s">
        <v>3123</v>
      </c>
    </row>
    <row r="27" customFormat="false" ht="15" hidden="false" customHeight="false" outlineLevel="0" collapsed="false">
      <c r="A27" s="2" t="s">
        <v>4213</v>
      </c>
      <c r="B27" s="11" t="s">
        <v>2193</v>
      </c>
      <c r="C27" s="11" t="s">
        <v>4150</v>
      </c>
      <c r="D27" s="11" t="s">
        <v>4191</v>
      </c>
      <c r="E27" s="11" t="s">
        <v>776</v>
      </c>
      <c r="M27" s="11" t="s">
        <v>1144</v>
      </c>
      <c r="N27" s="11" t="s">
        <v>1145</v>
      </c>
      <c r="O27" s="11" t="s">
        <v>1144</v>
      </c>
      <c r="P27" s="11" t="s">
        <v>1145</v>
      </c>
      <c r="Q27" s="11" t="s">
        <v>766</v>
      </c>
      <c r="R27" s="11" t="n">
        <v>1</v>
      </c>
      <c r="U27" s="11" t="s">
        <v>3123</v>
      </c>
    </row>
    <row r="28" customFormat="false" ht="15" hidden="false" customHeight="false" outlineLevel="0" collapsed="false">
      <c r="A28" s="2" t="s">
        <v>4214</v>
      </c>
      <c r="B28" s="11" t="s">
        <v>2201</v>
      </c>
      <c r="C28" s="11" t="s">
        <v>4150</v>
      </c>
      <c r="D28" s="11" t="s">
        <v>4191</v>
      </c>
      <c r="E28" s="11" t="s">
        <v>776</v>
      </c>
      <c r="M28" s="11" t="s">
        <v>1144</v>
      </c>
      <c r="N28" s="11" t="s">
        <v>1145</v>
      </c>
      <c r="O28" s="11" t="s">
        <v>1144</v>
      </c>
      <c r="P28" s="11" t="s">
        <v>1145</v>
      </c>
      <c r="Q28" s="11" t="s">
        <v>766</v>
      </c>
      <c r="R28" s="11" t="n">
        <v>1</v>
      </c>
      <c r="U28" s="11" t="s">
        <v>3123</v>
      </c>
    </row>
    <row r="29" customFormat="false" ht="15" hidden="false" customHeight="false" outlineLevel="0" collapsed="false">
      <c r="A29" s="2" t="s">
        <v>4215</v>
      </c>
      <c r="B29" s="11" t="s">
        <v>2207</v>
      </c>
      <c r="C29" s="11" t="s">
        <v>4134</v>
      </c>
      <c r="D29" s="11" t="s">
        <v>4179</v>
      </c>
      <c r="E29" s="11" t="s">
        <v>776</v>
      </c>
      <c r="K29" s="11" t="s">
        <v>4216</v>
      </c>
      <c r="M29" s="11" t="s">
        <v>1144</v>
      </c>
      <c r="N29" s="11" t="s">
        <v>1145</v>
      </c>
      <c r="O29" s="11" t="s">
        <v>1144</v>
      </c>
      <c r="P29" s="11" t="s">
        <v>1145</v>
      </c>
      <c r="Q29" s="11" t="s">
        <v>766</v>
      </c>
      <c r="R29" s="11" t="n">
        <v>1</v>
      </c>
      <c r="U29" s="11" t="s">
        <v>3123</v>
      </c>
    </row>
    <row r="30" customFormat="false" ht="15" hidden="false" customHeight="false" outlineLevel="0" collapsed="false">
      <c r="A30" s="2" t="s">
        <v>4217</v>
      </c>
      <c r="B30" s="11" t="s">
        <v>1882</v>
      </c>
      <c r="C30" s="11" t="s">
        <v>4150</v>
      </c>
      <c r="D30" s="11" t="s">
        <v>4191</v>
      </c>
      <c r="E30" s="11" t="s">
        <v>776</v>
      </c>
      <c r="M30" s="11" t="s">
        <v>1144</v>
      </c>
      <c r="N30" s="11" t="s">
        <v>1145</v>
      </c>
      <c r="O30" s="11" t="s">
        <v>1144</v>
      </c>
      <c r="P30" s="11" t="s">
        <v>1145</v>
      </c>
      <c r="Q30" s="11" t="s">
        <v>766</v>
      </c>
      <c r="R30" s="11" t="n">
        <v>1</v>
      </c>
      <c r="U30" s="11" t="s">
        <v>3123</v>
      </c>
    </row>
    <row r="31" customFormat="false" ht="15" hidden="false" customHeight="false" outlineLevel="0" collapsed="false">
      <c r="A31" s="2" t="s">
        <v>4218</v>
      </c>
      <c r="B31" s="11" t="s">
        <v>2221</v>
      </c>
      <c r="C31" s="11" t="s">
        <v>4150</v>
      </c>
      <c r="D31" s="11" t="s">
        <v>4191</v>
      </c>
      <c r="E31" s="11" t="s">
        <v>776</v>
      </c>
      <c r="M31" s="11" t="s">
        <v>1144</v>
      </c>
      <c r="N31" s="11" t="s">
        <v>1145</v>
      </c>
      <c r="O31" s="11" t="s">
        <v>1144</v>
      </c>
      <c r="P31" s="11" t="s">
        <v>1145</v>
      </c>
      <c r="Q31" s="11" t="s">
        <v>766</v>
      </c>
      <c r="R31" s="11" t="n">
        <v>1</v>
      </c>
      <c r="U31" s="11" t="s">
        <v>3123</v>
      </c>
    </row>
    <row r="32" customFormat="false" ht="15" hidden="false" customHeight="false" outlineLevel="0" collapsed="false">
      <c r="A32" s="2" t="s">
        <v>4219</v>
      </c>
      <c r="B32" s="11" t="s">
        <v>2230</v>
      </c>
      <c r="C32" s="11" t="s">
        <v>4137</v>
      </c>
      <c r="D32" s="11" t="s">
        <v>4194</v>
      </c>
      <c r="E32" s="11" t="s">
        <v>776</v>
      </c>
      <c r="K32" s="11" t="s">
        <v>4220</v>
      </c>
      <c r="M32" s="11" t="s">
        <v>1144</v>
      </c>
      <c r="N32" s="11" t="s">
        <v>1145</v>
      </c>
      <c r="O32" s="11" t="s">
        <v>1144</v>
      </c>
      <c r="P32" s="11" t="s">
        <v>1145</v>
      </c>
      <c r="Q32" s="11" t="s">
        <v>766</v>
      </c>
      <c r="R32" s="11" t="n">
        <v>1</v>
      </c>
      <c r="U32" s="11" t="s">
        <v>3123</v>
      </c>
    </row>
    <row r="33" customFormat="false" ht="15" hidden="false" customHeight="false" outlineLevel="0" collapsed="false">
      <c r="A33" s="2" t="s">
        <v>4221</v>
      </c>
      <c r="B33" s="11" t="s">
        <v>2236</v>
      </c>
      <c r="C33" s="11" t="s">
        <v>4137</v>
      </c>
      <c r="D33" s="11" t="s">
        <v>4194</v>
      </c>
      <c r="E33" s="11" t="s">
        <v>776</v>
      </c>
      <c r="K33" s="11" t="s">
        <v>4222</v>
      </c>
      <c r="M33" s="11" t="s">
        <v>1144</v>
      </c>
      <c r="N33" s="11" t="s">
        <v>1145</v>
      </c>
      <c r="O33" s="11" t="s">
        <v>1144</v>
      </c>
      <c r="P33" s="11" t="s">
        <v>1145</v>
      </c>
      <c r="Q33" s="11" t="s">
        <v>766</v>
      </c>
      <c r="R33" s="11" t="n">
        <v>1</v>
      </c>
      <c r="U33" s="11" t="s">
        <v>3123</v>
      </c>
    </row>
    <row r="34" customFormat="false" ht="15" hidden="false" customHeight="false" outlineLevel="0" collapsed="false">
      <c r="A34" s="2" t="s">
        <v>4223</v>
      </c>
      <c r="B34" s="11" t="s">
        <v>2242</v>
      </c>
      <c r="C34" s="11" t="s">
        <v>4137</v>
      </c>
      <c r="D34" s="11" t="s">
        <v>4194</v>
      </c>
      <c r="E34" s="11" t="s">
        <v>776</v>
      </c>
      <c r="M34" s="11" t="s">
        <v>1144</v>
      </c>
      <c r="N34" s="11" t="s">
        <v>1145</v>
      </c>
      <c r="O34" s="11" t="s">
        <v>1144</v>
      </c>
      <c r="P34" s="11" t="s">
        <v>1145</v>
      </c>
      <c r="Q34" s="11" t="s">
        <v>766</v>
      </c>
      <c r="R34" s="11" t="n">
        <v>1</v>
      </c>
      <c r="U34" s="11" t="s">
        <v>3123</v>
      </c>
    </row>
    <row r="35" customFormat="false" ht="15" hidden="false" customHeight="false" outlineLevel="0" collapsed="false">
      <c r="A35" s="2" t="s">
        <v>4224</v>
      </c>
      <c r="B35" s="11" t="s">
        <v>2248</v>
      </c>
      <c r="C35" s="11" t="s">
        <v>4129</v>
      </c>
      <c r="D35" s="11" t="s">
        <v>4179</v>
      </c>
      <c r="E35" s="11" t="s">
        <v>776</v>
      </c>
      <c r="K35" s="11" t="s">
        <v>4225</v>
      </c>
      <c r="M35" s="11" t="s">
        <v>1144</v>
      </c>
      <c r="N35" s="11" t="s">
        <v>1145</v>
      </c>
      <c r="O35" s="11" t="s">
        <v>1144</v>
      </c>
      <c r="P35" s="11" t="s">
        <v>1145</v>
      </c>
      <c r="Q35" s="11" t="s">
        <v>766</v>
      </c>
      <c r="R35" s="11" t="n">
        <v>1</v>
      </c>
      <c r="U35" s="11" t="s">
        <v>3123</v>
      </c>
    </row>
    <row r="36" customFormat="false" ht="15" hidden="false" customHeight="false" outlineLevel="0" collapsed="false">
      <c r="A36" s="2" t="s">
        <v>4226</v>
      </c>
      <c r="B36" s="11" t="s">
        <v>2254</v>
      </c>
      <c r="C36" s="11" t="s">
        <v>4129</v>
      </c>
      <c r="D36" s="11" t="s">
        <v>4179</v>
      </c>
      <c r="E36" s="11" t="s">
        <v>776</v>
      </c>
      <c r="M36" s="11" t="s">
        <v>1144</v>
      </c>
      <c r="N36" s="11" t="s">
        <v>1145</v>
      </c>
      <c r="O36" s="11" t="s">
        <v>1144</v>
      </c>
      <c r="P36" s="11" t="s">
        <v>1145</v>
      </c>
      <c r="Q36" s="11" t="s">
        <v>766</v>
      </c>
      <c r="R36" s="11" t="n">
        <v>1</v>
      </c>
      <c r="U36" s="11" t="s">
        <v>3123</v>
      </c>
    </row>
    <row r="37" customFormat="false" ht="15" hidden="false" customHeight="false" outlineLevel="0" collapsed="false">
      <c r="A37" s="2" t="s">
        <v>4227</v>
      </c>
      <c r="B37" s="11" t="s">
        <v>2260</v>
      </c>
      <c r="C37" s="11" t="s">
        <v>4137</v>
      </c>
      <c r="D37" s="11" t="s">
        <v>4194</v>
      </c>
      <c r="E37" s="11" t="s">
        <v>776</v>
      </c>
      <c r="M37" s="11" t="s">
        <v>1144</v>
      </c>
      <c r="N37" s="11" t="s">
        <v>1145</v>
      </c>
      <c r="O37" s="11" t="s">
        <v>1144</v>
      </c>
      <c r="P37" s="11" t="s">
        <v>1145</v>
      </c>
      <c r="Q37" s="11" t="s">
        <v>766</v>
      </c>
      <c r="R37" s="11" t="n">
        <v>1</v>
      </c>
      <c r="U37" s="11" t="s">
        <v>3123</v>
      </c>
    </row>
    <row r="38" customFormat="false" ht="15" hidden="false" customHeight="false" outlineLevel="0" collapsed="false">
      <c r="A38" s="2" t="s">
        <v>4228</v>
      </c>
      <c r="B38" s="11" t="s">
        <v>2265</v>
      </c>
      <c r="C38" s="11" t="s">
        <v>4134</v>
      </c>
      <c r="D38" s="11" t="s">
        <v>4179</v>
      </c>
      <c r="E38" s="11" t="s">
        <v>776</v>
      </c>
      <c r="M38" s="11" t="s">
        <v>1144</v>
      </c>
      <c r="N38" s="11" t="s">
        <v>1145</v>
      </c>
      <c r="O38" s="11" t="s">
        <v>1144</v>
      </c>
      <c r="P38" s="11" t="s">
        <v>1145</v>
      </c>
      <c r="Q38" s="11" t="s">
        <v>766</v>
      </c>
      <c r="R38" s="11" t="n">
        <v>1</v>
      </c>
      <c r="U38" s="11" t="s">
        <v>3123</v>
      </c>
    </row>
    <row r="39" customFormat="false" ht="15" hidden="false" customHeight="false" outlineLevel="0" collapsed="false">
      <c r="A39" s="2" t="s">
        <v>4229</v>
      </c>
      <c r="B39" s="11" t="s">
        <v>2271</v>
      </c>
      <c r="C39" s="11" t="s">
        <v>4150</v>
      </c>
      <c r="D39" s="11" t="s">
        <v>4191</v>
      </c>
      <c r="E39" s="11" t="s">
        <v>776</v>
      </c>
      <c r="M39" s="11" t="s">
        <v>1144</v>
      </c>
      <c r="N39" s="11" t="s">
        <v>1145</v>
      </c>
      <c r="O39" s="11" t="s">
        <v>1144</v>
      </c>
      <c r="P39" s="11" t="s">
        <v>1145</v>
      </c>
      <c r="Q39" s="11" t="s">
        <v>766</v>
      </c>
      <c r="R39" s="11" t="n">
        <v>1</v>
      </c>
      <c r="U39" s="11" t="s">
        <v>3123</v>
      </c>
    </row>
    <row r="40" customFormat="false" ht="15" hidden="false" customHeight="false" outlineLevel="0" collapsed="false">
      <c r="A40" s="2" t="s">
        <v>4230</v>
      </c>
      <c r="B40" s="11" t="s">
        <v>2277</v>
      </c>
      <c r="C40" s="11" t="s">
        <v>4150</v>
      </c>
      <c r="D40" s="11" t="s">
        <v>4191</v>
      </c>
      <c r="E40" s="11" t="s">
        <v>776</v>
      </c>
      <c r="M40" s="11" t="s">
        <v>1144</v>
      </c>
      <c r="N40" s="11" t="s">
        <v>1145</v>
      </c>
      <c r="O40" s="11" t="s">
        <v>1144</v>
      </c>
      <c r="P40" s="11" t="s">
        <v>1145</v>
      </c>
      <c r="Q40" s="11" t="s">
        <v>766</v>
      </c>
      <c r="R40" s="11" t="n">
        <v>1</v>
      </c>
      <c r="U40" s="11" t="s">
        <v>3123</v>
      </c>
    </row>
    <row r="41" customFormat="false" ht="15" hidden="false" customHeight="false" outlineLevel="0" collapsed="false">
      <c r="A41" s="2" t="s">
        <v>4231</v>
      </c>
      <c r="B41" s="11" t="s">
        <v>1845</v>
      </c>
      <c r="C41" s="11" t="s">
        <v>4150</v>
      </c>
      <c r="D41" s="11" t="s">
        <v>4191</v>
      </c>
      <c r="E41" s="11" t="s">
        <v>776</v>
      </c>
      <c r="M41" s="11" t="s">
        <v>1144</v>
      </c>
      <c r="N41" s="11" t="s">
        <v>1145</v>
      </c>
      <c r="O41" s="11" t="s">
        <v>1144</v>
      </c>
      <c r="P41" s="11" t="s">
        <v>1145</v>
      </c>
      <c r="Q41" s="11" t="s">
        <v>766</v>
      </c>
      <c r="R41" s="11" t="n">
        <v>1</v>
      </c>
      <c r="U41" s="11" t="s">
        <v>3123</v>
      </c>
    </row>
    <row r="42" customFormat="false" ht="15" hidden="false" customHeight="false" outlineLevel="0" collapsed="false">
      <c r="A42" s="2" t="s">
        <v>4232</v>
      </c>
      <c r="B42" s="11" t="s">
        <v>2287</v>
      </c>
      <c r="C42" s="11" t="s">
        <v>4150</v>
      </c>
      <c r="D42" s="11" t="s">
        <v>4191</v>
      </c>
      <c r="E42" s="11" t="s">
        <v>776</v>
      </c>
      <c r="M42" s="11" t="s">
        <v>1144</v>
      </c>
      <c r="N42" s="11" t="s">
        <v>1145</v>
      </c>
      <c r="O42" s="11" t="s">
        <v>1144</v>
      </c>
      <c r="P42" s="11" t="s">
        <v>1145</v>
      </c>
      <c r="Q42" s="11" t="s">
        <v>766</v>
      </c>
      <c r="R42" s="11" t="n">
        <v>1</v>
      </c>
      <c r="U42" s="11" t="s">
        <v>3123</v>
      </c>
    </row>
    <row r="43" customFormat="false" ht="15" hidden="false" customHeight="false" outlineLevel="0" collapsed="false">
      <c r="A43" s="2" t="s">
        <v>4233</v>
      </c>
      <c r="B43" s="11" t="s">
        <v>2294</v>
      </c>
      <c r="C43" s="11" t="s">
        <v>4154</v>
      </c>
      <c r="D43" s="11" t="s">
        <v>4191</v>
      </c>
      <c r="E43" s="11" t="s">
        <v>776</v>
      </c>
      <c r="M43" s="11" t="s">
        <v>1144</v>
      </c>
      <c r="N43" s="11" t="s">
        <v>1145</v>
      </c>
      <c r="O43" s="11" t="s">
        <v>1144</v>
      </c>
      <c r="P43" s="11" t="s">
        <v>1145</v>
      </c>
      <c r="Q43" s="11" t="s">
        <v>766</v>
      </c>
      <c r="R43" s="11" t="n">
        <v>1</v>
      </c>
      <c r="U43" s="11" t="s">
        <v>3123</v>
      </c>
    </row>
    <row r="44" customFormat="false" ht="15" hidden="false" customHeight="false" outlineLevel="0" collapsed="false">
      <c r="A44" s="2" t="s">
        <v>4234</v>
      </c>
      <c r="B44" s="11" t="s">
        <v>2299</v>
      </c>
      <c r="C44" s="11" t="s">
        <v>4150</v>
      </c>
      <c r="D44" s="11" t="s">
        <v>4191</v>
      </c>
      <c r="E44" s="11" t="s">
        <v>776</v>
      </c>
      <c r="M44" s="11" t="s">
        <v>1144</v>
      </c>
      <c r="N44" s="11" t="s">
        <v>1145</v>
      </c>
      <c r="O44" s="11" t="s">
        <v>1144</v>
      </c>
      <c r="P44" s="11" t="s">
        <v>1145</v>
      </c>
      <c r="Q44" s="11" t="s">
        <v>766</v>
      </c>
      <c r="R44" s="11" t="n">
        <v>1</v>
      </c>
      <c r="U44" s="11" t="s">
        <v>3123</v>
      </c>
    </row>
    <row r="45" customFormat="false" ht="15" hidden="false" customHeight="false" outlineLevel="0" collapsed="false">
      <c r="A45" s="2" t="s">
        <v>4235</v>
      </c>
      <c r="B45" s="11" t="s">
        <v>2305</v>
      </c>
      <c r="C45" s="11" t="s">
        <v>4140</v>
      </c>
      <c r="D45" s="11" t="s">
        <v>4194</v>
      </c>
      <c r="E45" s="11" t="s">
        <v>776</v>
      </c>
      <c r="M45" s="11" t="s">
        <v>1144</v>
      </c>
      <c r="N45" s="11" t="s">
        <v>1145</v>
      </c>
      <c r="O45" s="11" t="s">
        <v>1144</v>
      </c>
      <c r="P45" s="11" t="s">
        <v>1145</v>
      </c>
      <c r="Q45" s="11" t="s">
        <v>766</v>
      </c>
      <c r="R45" s="11" t="n">
        <v>1</v>
      </c>
      <c r="U45" s="11" t="s">
        <v>3123</v>
      </c>
    </row>
    <row r="46" customFormat="false" ht="15" hidden="false" customHeight="false" outlineLevel="0" collapsed="false">
      <c r="A46" s="2" t="s">
        <v>4236</v>
      </c>
      <c r="B46" s="11" t="s">
        <v>2311</v>
      </c>
      <c r="C46" s="11" t="s">
        <v>4134</v>
      </c>
      <c r="D46" s="11" t="s">
        <v>4179</v>
      </c>
      <c r="E46" s="11" t="s">
        <v>776</v>
      </c>
      <c r="M46" s="11" t="s">
        <v>1144</v>
      </c>
      <c r="N46" s="11" t="s">
        <v>1145</v>
      </c>
      <c r="O46" s="11" t="s">
        <v>1144</v>
      </c>
      <c r="P46" s="11" t="s">
        <v>1145</v>
      </c>
      <c r="Q46" s="11" t="s">
        <v>766</v>
      </c>
      <c r="R46" s="11" t="n">
        <v>1</v>
      </c>
      <c r="U46" s="11" t="s">
        <v>3123</v>
      </c>
    </row>
    <row r="47" customFormat="false" ht="15" hidden="false" customHeight="false" outlineLevel="0" collapsed="false">
      <c r="A47" s="2" t="s">
        <v>4237</v>
      </c>
      <c r="B47" s="11" t="s">
        <v>2317</v>
      </c>
      <c r="C47" s="11" t="s">
        <v>4134</v>
      </c>
      <c r="D47" s="11" t="s">
        <v>4179</v>
      </c>
      <c r="E47" s="11" t="s">
        <v>776</v>
      </c>
      <c r="M47" s="11" t="s">
        <v>1144</v>
      </c>
      <c r="N47" s="11" t="s">
        <v>1145</v>
      </c>
      <c r="O47" s="11" t="s">
        <v>1144</v>
      </c>
      <c r="P47" s="11" t="s">
        <v>1145</v>
      </c>
      <c r="Q47" s="11" t="s">
        <v>766</v>
      </c>
      <c r="R47" s="11" t="n">
        <v>1</v>
      </c>
      <c r="U47" s="11" t="s">
        <v>3123</v>
      </c>
    </row>
    <row r="48" customFormat="false" ht="15" hidden="false" customHeight="false" outlineLevel="0" collapsed="false">
      <c r="A48" s="2" t="s">
        <v>4238</v>
      </c>
      <c r="B48" s="11" t="s">
        <v>2322</v>
      </c>
      <c r="C48" s="11" t="s">
        <v>4129</v>
      </c>
      <c r="D48" s="11" t="s">
        <v>4179</v>
      </c>
      <c r="E48" s="11" t="s">
        <v>776</v>
      </c>
      <c r="M48" s="11" t="s">
        <v>1144</v>
      </c>
      <c r="N48" s="11" t="s">
        <v>1145</v>
      </c>
      <c r="O48" s="11" t="s">
        <v>1144</v>
      </c>
      <c r="P48" s="11" t="s">
        <v>1145</v>
      </c>
      <c r="Q48" s="11" t="s">
        <v>766</v>
      </c>
      <c r="R48" s="11" t="n">
        <v>1</v>
      </c>
      <c r="U48" s="11" t="s">
        <v>3123</v>
      </c>
    </row>
    <row r="49" customFormat="false" ht="15" hidden="false" customHeight="false" outlineLevel="0" collapsed="false">
      <c r="A49" s="2" t="s">
        <v>4239</v>
      </c>
      <c r="B49" s="11" t="s">
        <v>2329</v>
      </c>
      <c r="C49" s="11" t="s">
        <v>4137</v>
      </c>
      <c r="D49" s="11" t="s">
        <v>4194</v>
      </c>
      <c r="E49" s="11" t="s">
        <v>776</v>
      </c>
      <c r="M49" s="11" t="s">
        <v>1144</v>
      </c>
      <c r="N49" s="11" t="s">
        <v>1145</v>
      </c>
      <c r="O49" s="11" t="s">
        <v>1144</v>
      </c>
      <c r="P49" s="11" t="s">
        <v>1145</v>
      </c>
      <c r="Q49" s="11" t="s">
        <v>766</v>
      </c>
      <c r="R49" s="11" t="n">
        <v>1</v>
      </c>
      <c r="U49" s="11" t="s">
        <v>3123</v>
      </c>
    </row>
    <row r="50" customFormat="false" ht="15" hidden="false" customHeight="false" outlineLevel="0" collapsed="false">
      <c r="A50" s="2" t="s">
        <v>4240</v>
      </c>
      <c r="B50" s="11" t="s">
        <v>2335</v>
      </c>
      <c r="C50" s="11" t="s">
        <v>4150</v>
      </c>
      <c r="D50" s="11" t="s">
        <v>4191</v>
      </c>
      <c r="E50" s="11" t="s">
        <v>776</v>
      </c>
      <c r="M50" s="11" t="s">
        <v>1144</v>
      </c>
      <c r="N50" s="11" t="s">
        <v>1145</v>
      </c>
      <c r="O50" s="11" t="s">
        <v>1144</v>
      </c>
      <c r="P50" s="11" t="s">
        <v>1145</v>
      </c>
      <c r="Q50" s="11" t="s">
        <v>766</v>
      </c>
      <c r="R50" s="11" t="n">
        <v>1</v>
      </c>
      <c r="U50" s="11" t="s">
        <v>3123</v>
      </c>
    </row>
    <row r="51" customFormat="false" ht="15" hidden="false" customHeight="false" outlineLevel="0" collapsed="false">
      <c r="A51" s="2" t="s">
        <v>4241</v>
      </c>
      <c r="B51" s="11" t="s">
        <v>2340</v>
      </c>
      <c r="C51" s="11" t="s">
        <v>4150</v>
      </c>
      <c r="D51" s="11" t="s">
        <v>4191</v>
      </c>
      <c r="E51" s="11" t="s">
        <v>776</v>
      </c>
      <c r="M51" s="11" t="s">
        <v>1144</v>
      </c>
      <c r="N51" s="11" t="s">
        <v>1145</v>
      </c>
      <c r="O51" s="11" t="s">
        <v>1144</v>
      </c>
      <c r="P51" s="11" t="s">
        <v>1145</v>
      </c>
      <c r="Q51" s="11" t="s">
        <v>766</v>
      </c>
      <c r="R51" s="11" t="n">
        <v>1</v>
      </c>
      <c r="U51" s="11" t="s">
        <v>3123</v>
      </c>
    </row>
    <row r="52" customFormat="false" ht="15" hidden="false" customHeight="false" outlineLevel="0" collapsed="false">
      <c r="A52" s="2" t="s">
        <v>4242</v>
      </c>
      <c r="B52" s="11" t="s">
        <v>2345</v>
      </c>
      <c r="C52" s="11" t="s">
        <v>4134</v>
      </c>
      <c r="D52" s="11" t="s">
        <v>4179</v>
      </c>
      <c r="E52" s="11" t="s">
        <v>776</v>
      </c>
      <c r="K52" s="11" t="s">
        <v>4243</v>
      </c>
      <c r="M52" s="11" t="s">
        <v>1144</v>
      </c>
      <c r="N52" s="11" t="s">
        <v>1145</v>
      </c>
      <c r="O52" s="11" t="s">
        <v>1144</v>
      </c>
      <c r="P52" s="11" t="s">
        <v>1145</v>
      </c>
      <c r="Q52" s="11" t="s">
        <v>766</v>
      </c>
      <c r="R52" s="11" t="n">
        <v>1</v>
      </c>
      <c r="U52" s="11" t="s">
        <v>3123</v>
      </c>
    </row>
    <row r="53" customFormat="false" ht="15" hidden="false" customHeight="false" outlineLevel="0" collapsed="false">
      <c r="A53" s="2" t="s">
        <v>4244</v>
      </c>
      <c r="B53" s="11" t="s">
        <v>2352</v>
      </c>
      <c r="C53" s="11" t="s">
        <v>4137</v>
      </c>
      <c r="D53" s="11" t="s">
        <v>4194</v>
      </c>
      <c r="E53" s="11" t="s">
        <v>776</v>
      </c>
      <c r="K53" s="11" t="s">
        <v>4245</v>
      </c>
      <c r="M53" s="11" t="s">
        <v>1144</v>
      </c>
      <c r="N53" s="11" t="s">
        <v>1145</v>
      </c>
      <c r="O53" s="11" t="s">
        <v>1144</v>
      </c>
      <c r="P53" s="11" t="s">
        <v>1145</v>
      </c>
      <c r="Q53" s="11" t="s">
        <v>766</v>
      </c>
      <c r="R53" s="11" t="n">
        <v>1</v>
      </c>
      <c r="U53" s="11" t="s">
        <v>3123</v>
      </c>
    </row>
    <row r="54" customFormat="false" ht="15" hidden="false" customHeight="false" outlineLevel="0" collapsed="false">
      <c r="A54" s="2" t="s">
        <v>4246</v>
      </c>
      <c r="B54" s="11" t="s">
        <v>2359</v>
      </c>
      <c r="C54" s="11" t="s">
        <v>4137</v>
      </c>
      <c r="D54" s="11" t="s">
        <v>4194</v>
      </c>
      <c r="E54" s="11" t="s">
        <v>776</v>
      </c>
      <c r="K54" s="11" t="s">
        <v>4247</v>
      </c>
      <c r="M54" s="11" t="s">
        <v>1144</v>
      </c>
      <c r="N54" s="11" t="s">
        <v>1145</v>
      </c>
      <c r="O54" s="11" t="s">
        <v>1144</v>
      </c>
      <c r="P54" s="11" t="s">
        <v>1145</v>
      </c>
      <c r="Q54" s="11" t="s">
        <v>766</v>
      </c>
      <c r="R54" s="11" t="n">
        <v>1</v>
      </c>
      <c r="U54" s="11" t="s">
        <v>3123</v>
      </c>
    </row>
    <row r="55" customFormat="false" ht="15" hidden="false" customHeight="false" outlineLevel="0" collapsed="false">
      <c r="A55" s="2" t="s">
        <v>4248</v>
      </c>
      <c r="B55" s="11" t="s">
        <v>2366</v>
      </c>
      <c r="C55" s="11" t="s">
        <v>4134</v>
      </c>
      <c r="D55" s="11" t="s">
        <v>4179</v>
      </c>
      <c r="E55" s="11" t="s">
        <v>776</v>
      </c>
      <c r="M55" s="11" t="s">
        <v>1144</v>
      </c>
      <c r="N55" s="11" t="s">
        <v>1145</v>
      </c>
      <c r="O55" s="11" t="s">
        <v>1144</v>
      </c>
      <c r="P55" s="11" t="s">
        <v>1145</v>
      </c>
      <c r="Q55" s="11" t="s">
        <v>766</v>
      </c>
      <c r="R55" s="11" t="n">
        <v>1</v>
      </c>
      <c r="U55" s="11" t="s">
        <v>3123</v>
      </c>
    </row>
    <row r="56" customFormat="false" ht="15" hidden="false" customHeight="false" outlineLevel="0" collapsed="false">
      <c r="A56" s="2" t="s">
        <v>4249</v>
      </c>
      <c r="B56" s="11" t="s">
        <v>2373</v>
      </c>
      <c r="C56" s="11" t="s">
        <v>4150</v>
      </c>
      <c r="D56" s="11" t="s">
        <v>4191</v>
      </c>
      <c r="E56" s="11" t="s">
        <v>776</v>
      </c>
      <c r="M56" s="11" t="s">
        <v>1144</v>
      </c>
      <c r="N56" s="11" t="s">
        <v>1145</v>
      </c>
      <c r="O56" s="11" t="s">
        <v>1144</v>
      </c>
      <c r="P56" s="11" t="s">
        <v>1145</v>
      </c>
      <c r="Q56" s="11" t="s">
        <v>766</v>
      </c>
      <c r="R56" s="11" t="n">
        <v>1</v>
      </c>
      <c r="U56" s="11" t="s">
        <v>3123</v>
      </c>
    </row>
    <row r="57" customFormat="false" ht="15" hidden="false" customHeight="false" outlineLevel="0" collapsed="false">
      <c r="A57" s="2" t="s">
        <v>4250</v>
      </c>
      <c r="B57" s="11" t="s">
        <v>2380</v>
      </c>
      <c r="C57" s="11" t="s">
        <v>4129</v>
      </c>
      <c r="D57" s="11" t="s">
        <v>4179</v>
      </c>
      <c r="E57" s="11" t="s">
        <v>776</v>
      </c>
      <c r="K57" s="11" t="s">
        <v>4251</v>
      </c>
      <c r="M57" s="11" t="s">
        <v>1144</v>
      </c>
      <c r="N57" s="11" t="s">
        <v>1145</v>
      </c>
      <c r="O57" s="11" t="s">
        <v>1144</v>
      </c>
      <c r="P57" s="11" t="s">
        <v>1145</v>
      </c>
      <c r="Q57" s="11" t="s">
        <v>766</v>
      </c>
      <c r="R57" s="11" t="n">
        <v>1</v>
      </c>
      <c r="U57" s="11" t="s">
        <v>3123</v>
      </c>
    </row>
    <row r="58" customFormat="false" ht="15" hidden="false" customHeight="false" outlineLevel="0" collapsed="false">
      <c r="A58" s="2" t="s">
        <v>4252</v>
      </c>
      <c r="B58" s="11" t="s">
        <v>2387</v>
      </c>
      <c r="C58" s="11" t="s">
        <v>4137</v>
      </c>
      <c r="D58" s="11" t="s">
        <v>4194</v>
      </c>
      <c r="E58" s="11" t="s">
        <v>776</v>
      </c>
      <c r="M58" s="11" t="s">
        <v>1144</v>
      </c>
      <c r="N58" s="11" t="s">
        <v>1145</v>
      </c>
      <c r="O58" s="11" t="s">
        <v>1144</v>
      </c>
      <c r="P58" s="11" t="s">
        <v>1145</v>
      </c>
      <c r="Q58" s="11" t="s">
        <v>766</v>
      </c>
      <c r="R58" s="11" t="n">
        <v>1</v>
      </c>
      <c r="U58" s="11" t="s">
        <v>3123</v>
      </c>
    </row>
    <row r="59" customFormat="false" ht="15" hidden="false" customHeight="false" outlineLevel="0" collapsed="false">
      <c r="A59" s="2" t="s">
        <v>4253</v>
      </c>
      <c r="B59" s="11" t="s">
        <v>2394</v>
      </c>
      <c r="C59" s="11" t="s">
        <v>4140</v>
      </c>
      <c r="D59" s="11" t="s">
        <v>4194</v>
      </c>
      <c r="E59" s="11" t="s">
        <v>776</v>
      </c>
      <c r="M59" s="11" t="s">
        <v>1144</v>
      </c>
      <c r="N59" s="11" t="s">
        <v>1145</v>
      </c>
      <c r="O59" s="11" t="s">
        <v>1144</v>
      </c>
      <c r="P59" s="11" t="s">
        <v>1145</v>
      </c>
      <c r="Q59" s="11" t="s">
        <v>766</v>
      </c>
      <c r="R59" s="11" t="n">
        <v>1</v>
      </c>
      <c r="U59" s="11" t="s">
        <v>3123</v>
      </c>
    </row>
    <row r="60" customFormat="false" ht="15" hidden="false" customHeight="false" outlineLevel="0" collapsed="false">
      <c r="A60" s="2" t="s">
        <v>4254</v>
      </c>
      <c r="B60" s="11" t="s">
        <v>2401</v>
      </c>
      <c r="C60" s="11" t="s">
        <v>4140</v>
      </c>
      <c r="D60" s="11" t="s">
        <v>4194</v>
      </c>
      <c r="E60" s="11" t="s">
        <v>776</v>
      </c>
      <c r="M60" s="11" t="s">
        <v>1144</v>
      </c>
      <c r="N60" s="11" t="s">
        <v>1145</v>
      </c>
      <c r="O60" s="11" t="s">
        <v>1144</v>
      </c>
      <c r="P60" s="11" t="s">
        <v>1145</v>
      </c>
      <c r="Q60" s="11" t="s">
        <v>766</v>
      </c>
      <c r="R60" s="11" t="n">
        <v>1</v>
      </c>
      <c r="U60" s="11" t="s">
        <v>3123</v>
      </c>
    </row>
    <row r="61" customFormat="false" ht="15" hidden="false" customHeight="false" outlineLevel="0" collapsed="false">
      <c r="A61" s="2" t="s">
        <v>4255</v>
      </c>
      <c r="B61" s="11" t="s">
        <v>2408</v>
      </c>
      <c r="C61" s="11" t="s">
        <v>4129</v>
      </c>
      <c r="D61" s="11" t="s">
        <v>4179</v>
      </c>
      <c r="E61" s="11" t="s">
        <v>776</v>
      </c>
      <c r="M61" s="11" t="s">
        <v>1144</v>
      </c>
      <c r="N61" s="11" t="s">
        <v>1145</v>
      </c>
      <c r="O61" s="11" t="s">
        <v>1144</v>
      </c>
      <c r="P61" s="11" t="s">
        <v>1145</v>
      </c>
      <c r="Q61" s="11" t="s">
        <v>766</v>
      </c>
      <c r="R61" s="11" t="n">
        <v>1</v>
      </c>
      <c r="U61" s="11" t="s">
        <v>3123</v>
      </c>
    </row>
    <row r="62" customFormat="false" ht="15" hidden="false" customHeight="false" outlineLevel="0" collapsed="false">
      <c r="A62" s="2" t="s">
        <v>4256</v>
      </c>
      <c r="B62" s="11" t="s">
        <v>2415</v>
      </c>
      <c r="C62" s="11" t="s">
        <v>4150</v>
      </c>
      <c r="D62" s="11" t="s">
        <v>4191</v>
      </c>
      <c r="E62" s="11" t="s">
        <v>776</v>
      </c>
      <c r="M62" s="11" t="s">
        <v>1144</v>
      </c>
      <c r="N62" s="11" t="s">
        <v>1145</v>
      </c>
      <c r="O62" s="11" t="s">
        <v>1144</v>
      </c>
      <c r="P62" s="11" t="s">
        <v>1145</v>
      </c>
      <c r="Q62" s="11" t="s">
        <v>766</v>
      </c>
      <c r="R62" s="11" t="n">
        <v>1</v>
      </c>
      <c r="U62" s="11" t="s">
        <v>3123</v>
      </c>
    </row>
    <row r="63" customFormat="false" ht="15" hidden="false" customHeight="false" outlineLevel="0" collapsed="false">
      <c r="A63" s="2" t="s">
        <v>4257</v>
      </c>
      <c r="B63" s="11" t="s">
        <v>2422</v>
      </c>
      <c r="C63" s="11" t="s">
        <v>4150</v>
      </c>
      <c r="D63" s="11" t="s">
        <v>4191</v>
      </c>
      <c r="E63" s="11" t="s">
        <v>776</v>
      </c>
      <c r="M63" s="11" t="s">
        <v>1144</v>
      </c>
      <c r="N63" s="11" t="s">
        <v>1145</v>
      </c>
      <c r="O63" s="11" t="s">
        <v>1144</v>
      </c>
      <c r="P63" s="11" t="s">
        <v>1145</v>
      </c>
      <c r="Q63" s="11" t="s">
        <v>766</v>
      </c>
      <c r="R63" s="11" t="n">
        <v>1</v>
      </c>
      <c r="U63" s="11" t="s">
        <v>3123</v>
      </c>
    </row>
    <row r="64" customFormat="false" ht="15" hidden="false" customHeight="false" outlineLevel="0" collapsed="false">
      <c r="A64" s="2" t="s">
        <v>4258</v>
      </c>
      <c r="B64" s="11" t="s">
        <v>2429</v>
      </c>
      <c r="C64" s="11" t="s">
        <v>4150</v>
      </c>
      <c r="D64" s="11" t="s">
        <v>4191</v>
      </c>
      <c r="E64" s="11" t="s">
        <v>776</v>
      </c>
      <c r="M64" s="11" t="s">
        <v>1144</v>
      </c>
      <c r="N64" s="11" t="s">
        <v>1145</v>
      </c>
      <c r="O64" s="11" t="s">
        <v>1144</v>
      </c>
      <c r="P64" s="11" t="s">
        <v>1145</v>
      </c>
      <c r="Q64" s="11" t="s">
        <v>766</v>
      </c>
      <c r="R64" s="11" t="n">
        <v>1</v>
      </c>
      <c r="U64" s="11" t="s">
        <v>3123</v>
      </c>
    </row>
    <row r="65" customFormat="false" ht="15" hidden="false" customHeight="false" outlineLevel="0" collapsed="false">
      <c r="A65" s="2" t="s">
        <v>4259</v>
      </c>
      <c r="B65" s="11" t="s">
        <v>2436</v>
      </c>
      <c r="C65" s="11" t="s">
        <v>4150</v>
      </c>
      <c r="D65" s="11" t="s">
        <v>4191</v>
      </c>
      <c r="E65" s="11" t="s">
        <v>776</v>
      </c>
      <c r="M65" s="11" t="s">
        <v>1144</v>
      </c>
      <c r="N65" s="11" t="s">
        <v>1145</v>
      </c>
      <c r="O65" s="11" t="s">
        <v>1144</v>
      </c>
      <c r="P65" s="11" t="s">
        <v>1145</v>
      </c>
      <c r="Q65" s="11" t="s">
        <v>766</v>
      </c>
      <c r="R65" s="11" t="n">
        <v>1</v>
      </c>
      <c r="U65" s="11" t="s">
        <v>3123</v>
      </c>
    </row>
    <row r="66" customFormat="false" ht="15" hidden="false" customHeight="false" outlineLevel="0" collapsed="false">
      <c r="A66" s="2" t="s">
        <v>4260</v>
      </c>
      <c r="B66" s="11" t="s">
        <v>2443</v>
      </c>
      <c r="C66" s="11" t="s">
        <v>4134</v>
      </c>
      <c r="D66" s="11" t="s">
        <v>4179</v>
      </c>
      <c r="E66" s="11" t="s">
        <v>776</v>
      </c>
      <c r="M66" s="11" t="s">
        <v>1144</v>
      </c>
      <c r="N66" s="11" t="s">
        <v>1145</v>
      </c>
      <c r="O66" s="11" t="s">
        <v>1144</v>
      </c>
      <c r="P66" s="11" t="s">
        <v>1145</v>
      </c>
      <c r="Q66" s="11" t="s">
        <v>766</v>
      </c>
      <c r="R66" s="11" t="n">
        <v>1</v>
      </c>
      <c r="U66" s="11" t="s">
        <v>3123</v>
      </c>
    </row>
    <row r="67" customFormat="false" ht="15" hidden="false" customHeight="false" outlineLevel="0" collapsed="false">
      <c r="A67" s="2" t="s">
        <v>4261</v>
      </c>
      <c r="B67" s="11" t="s">
        <v>2450</v>
      </c>
      <c r="C67" s="11" t="s">
        <v>4134</v>
      </c>
      <c r="D67" s="11" t="s">
        <v>4179</v>
      </c>
      <c r="E67" s="11" t="s">
        <v>776</v>
      </c>
      <c r="K67" s="11" t="s">
        <v>4262</v>
      </c>
      <c r="M67" s="11" t="s">
        <v>1144</v>
      </c>
      <c r="N67" s="11" t="s">
        <v>1145</v>
      </c>
      <c r="O67" s="11" t="s">
        <v>1144</v>
      </c>
      <c r="P67" s="11" t="s">
        <v>1145</v>
      </c>
      <c r="Q67" s="11" t="s">
        <v>766</v>
      </c>
      <c r="R67" s="11" t="n">
        <v>1</v>
      </c>
      <c r="U67" s="11" t="s">
        <v>3123</v>
      </c>
    </row>
    <row r="68" customFormat="false" ht="15" hidden="false" customHeight="false" outlineLevel="0" collapsed="false">
      <c r="A68" s="2" t="s">
        <v>4263</v>
      </c>
      <c r="B68" s="11" t="s">
        <v>2456</v>
      </c>
      <c r="C68" s="11" t="s">
        <v>4129</v>
      </c>
      <c r="D68" s="11" t="s">
        <v>4179</v>
      </c>
      <c r="E68" s="11" t="s">
        <v>776</v>
      </c>
      <c r="M68" s="11" t="s">
        <v>1144</v>
      </c>
      <c r="N68" s="11" t="s">
        <v>1145</v>
      </c>
      <c r="O68" s="11" t="s">
        <v>1144</v>
      </c>
      <c r="P68" s="11" t="s">
        <v>1145</v>
      </c>
      <c r="Q68" s="11" t="s">
        <v>766</v>
      </c>
      <c r="R68" s="11" t="n">
        <v>1</v>
      </c>
      <c r="U68" s="11" t="s">
        <v>3123</v>
      </c>
    </row>
    <row r="69" customFormat="false" ht="15" hidden="false" customHeight="false" outlineLevel="0" collapsed="false">
      <c r="A69" s="2" t="s">
        <v>4264</v>
      </c>
      <c r="B69" s="11" t="s">
        <v>2462</v>
      </c>
      <c r="C69" s="11" t="s">
        <v>4137</v>
      </c>
      <c r="D69" s="11" t="s">
        <v>4194</v>
      </c>
      <c r="E69" s="11" t="s">
        <v>776</v>
      </c>
      <c r="M69" s="11" t="s">
        <v>1144</v>
      </c>
      <c r="N69" s="11" t="s">
        <v>1145</v>
      </c>
      <c r="O69" s="11" t="s">
        <v>1144</v>
      </c>
      <c r="P69" s="11" t="s">
        <v>1145</v>
      </c>
      <c r="Q69" s="11" t="s">
        <v>766</v>
      </c>
      <c r="R69" s="11" t="n">
        <v>1</v>
      </c>
      <c r="U69" s="11" t="s">
        <v>3123</v>
      </c>
    </row>
    <row r="70" customFormat="false" ht="15" hidden="false" customHeight="false" outlineLevel="0" collapsed="false">
      <c r="A70" s="2" t="s">
        <v>4265</v>
      </c>
      <c r="B70" s="11" t="s">
        <v>2467</v>
      </c>
      <c r="C70" s="11" t="s">
        <v>4137</v>
      </c>
      <c r="D70" s="11" t="s">
        <v>4194</v>
      </c>
      <c r="E70" s="11" t="s">
        <v>776</v>
      </c>
      <c r="K70" s="11" t="s">
        <v>4266</v>
      </c>
      <c r="M70" s="11" t="s">
        <v>1144</v>
      </c>
      <c r="N70" s="11" t="s">
        <v>1145</v>
      </c>
      <c r="O70" s="11" t="s">
        <v>1144</v>
      </c>
      <c r="P70" s="11" t="s">
        <v>1145</v>
      </c>
      <c r="Q70" s="11" t="s">
        <v>766</v>
      </c>
      <c r="R70" s="11" t="n">
        <v>1</v>
      </c>
      <c r="U70" s="11" t="s">
        <v>3123</v>
      </c>
    </row>
    <row r="71" customFormat="false" ht="15" hidden="false" customHeight="false" outlineLevel="0" collapsed="false">
      <c r="A71" s="2" t="s">
        <v>4267</v>
      </c>
      <c r="B71" s="11" t="s">
        <v>2473</v>
      </c>
      <c r="C71" s="11" t="s">
        <v>4137</v>
      </c>
      <c r="D71" s="11" t="s">
        <v>4194</v>
      </c>
      <c r="E71" s="11" t="s">
        <v>776</v>
      </c>
      <c r="K71" s="11" t="s">
        <v>4268</v>
      </c>
      <c r="M71" s="11" t="s">
        <v>1144</v>
      </c>
      <c r="N71" s="11" t="s">
        <v>1145</v>
      </c>
      <c r="O71" s="11" t="s">
        <v>1144</v>
      </c>
      <c r="P71" s="11" t="s">
        <v>1145</v>
      </c>
      <c r="Q71" s="11" t="s">
        <v>766</v>
      </c>
      <c r="R71" s="11" t="n">
        <v>1</v>
      </c>
      <c r="U71" s="11" t="s">
        <v>3123</v>
      </c>
    </row>
    <row r="72" customFormat="false" ht="15" hidden="false" customHeight="false" outlineLevel="0" collapsed="false">
      <c r="A72" s="2" t="s">
        <v>4269</v>
      </c>
      <c r="B72" s="11" t="s">
        <v>2479</v>
      </c>
      <c r="C72" s="11" t="s">
        <v>4137</v>
      </c>
      <c r="D72" s="11" t="s">
        <v>4194</v>
      </c>
      <c r="E72" s="11" t="s">
        <v>776</v>
      </c>
      <c r="M72" s="11" t="s">
        <v>1144</v>
      </c>
      <c r="N72" s="11" t="s">
        <v>1145</v>
      </c>
      <c r="O72" s="11" t="s">
        <v>1144</v>
      </c>
      <c r="P72" s="11" t="s">
        <v>1145</v>
      </c>
      <c r="Q72" s="11" t="s">
        <v>766</v>
      </c>
      <c r="R72" s="11" t="n">
        <v>1</v>
      </c>
      <c r="U72" s="11" t="s">
        <v>3123</v>
      </c>
    </row>
    <row r="73" customFormat="false" ht="15" hidden="false" customHeight="false" outlineLevel="0" collapsed="false">
      <c r="A73" s="2" t="s">
        <v>4270</v>
      </c>
      <c r="B73" s="11" t="s">
        <v>2485</v>
      </c>
      <c r="C73" s="11" t="s">
        <v>4129</v>
      </c>
      <c r="D73" s="11" t="s">
        <v>4179</v>
      </c>
      <c r="E73" s="11" t="s">
        <v>776</v>
      </c>
      <c r="K73" s="11" t="s">
        <v>4271</v>
      </c>
      <c r="M73" s="11" t="s">
        <v>1144</v>
      </c>
      <c r="N73" s="11" t="s">
        <v>1145</v>
      </c>
      <c r="O73" s="11" t="s">
        <v>1144</v>
      </c>
      <c r="P73" s="11" t="s">
        <v>1145</v>
      </c>
      <c r="Q73" s="11" t="s">
        <v>766</v>
      </c>
      <c r="R73" s="11" t="n">
        <v>1</v>
      </c>
      <c r="U73" s="11" t="s">
        <v>3123</v>
      </c>
    </row>
    <row r="74" customFormat="false" ht="15" hidden="false" customHeight="false" outlineLevel="0" collapsed="false">
      <c r="A74" s="2" t="s">
        <v>4272</v>
      </c>
      <c r="B74" s="11" t="s">
        <v>2491</v>
      </c>
      <c r="C74" s="11" t="s">
        <v>4150</v>
      </c>
      <c r="D74" s="11" t="s">
        <v>4191</v>
      </c>
      <c r="E74" s="11" t="s">
        <v>776</v>
      </c>
      <c r="K74" s="11" t="s">
        <v>4273</v>
      </c>
      <c r="M74" s="11" t="s">
        <v>1144</v>
      </c>
      <c r="N74" s="11" t="s">
        <v>1145</v>
      </c>
      <c r="O74" s="11" t="s">
        <v>1144</v>
      </c>
      <c r="P74" s="11" t="s">
        <v>1145</v>
      </c>
      <c r="Q74" s="11" t="s">
        <v>766</v>
      </c>
      <c r="R74" s="11" t="n">
        <v>1</v>
      </c>
      <c r="U74" s="11" t="s">
        <v>3123</v>
      </c>
    </row>
    <row r="75" customFormat="false" ht="15" hidden="false" customHeight="false" outlineLevel="0" collapsed="false">
      <c r="A75" s="2" t="s">
        <v>4274</v>
      </c>
      <c r="B75" s="11" t="s">
        <v>2497</v>
      </c>
      <c r="C75" s="11" t="s">
        <v>4134</v>
      </c>
      <c r="D75" s="11" t="s">
        <v>4179</v>
      </c>
      <c r="E75" s="11" t="s">
        <v>776</v>
      </c>
      <c r="M75" s="11" t="s">
        <v>1144</v>
      </c>
      <c r="N75" s="11" t="s">
        <v>1145</v>
      </c>
      <c r="O75" s="11" t="s">
        <v>1144</v>
      </c>
      <c r="P75" s="11" t="s">
        <v>1145</v>
      </c>
      <c r="Q75" s="11" t="s">
        <v>766</v>
      </c>
      <c r="R75" s="11" t="n">
        <v>1</v>
      </c>
      <c r="U75" s="11" t="s">
        <v>3123</v>
      </c>
    </row>
    <row r="76" customFormat="false" ht="15" hidden="false" customHeight="false" outlineLevel="0" collapsed="false">
      <c r="A76" s="2" t="s">
        <v>4275</v>
      </c>
      <c r="B76" s="11" t="s">
        <v>2503</v>
      </c>
      <c r="C76" s="11" t="s">
        <v>4137</v>
      </c>
      <c r="D76" s="11" t="s">
        <v>4194</v>
      </c>
      <c r="E76" s="11" t="s">
        <v>776</v>
      </c>
      <c r="M76" s="11" t="s">
        <v>1144</v>
      </c>
      <c r="N76" s="11" t="s">
        <v>1145</v>
      </c>
      <c r="O76" s="11" t="s">
        <v>1144</v>
      </c>
      <c r="P76" s="11" t="s">
        <v>1145</v>
      </c>
      <c r="Q76" s="11" t="s">
        <v>766</v>
      </c>
      <c r="R76" s="11" t="n">
        <v>1</v>
      </c>
      <c r="U76" s="11" t="s">
        <v>3123</v>
      </c>
    </row>
    <row r="77" customFormat="false" ht="15" hidden="false" customHeight="false" outlineLevel="0" collapsed="false">
      <c r="A77" s="2" t="s">
        <v>4276</v>
      </c>
      <c r="B77" s="11" t="s">
        <v>2508</v>
      </c>
      <c r="C77" s="11" t="s">
        <v>4140</v>
      </c>
      <c r="D77" s="11" t="s">
        <v>4194</v>
      </c>
      <c r="E77" s="11" t="s">
        <v>776</v>
      </c>
      <c r="M77" s="11" t="s">
        <v>1144</v>
      </c>
      <c r="N77" s="11" t="s">
        <v>1145</v>
      </c>
      <c r="O77" s="11" t="s">
        <v>1144</v>
      </c>
      <c r="P77" s="11" t="s">
        <v>1145</v>
      </c>
      <c r="Q77" s="11" t="s">
        <v>766</v>
      </c>
      <c r="R77" s="11" t="n">
        <v>1</v>
      </c>
      <c r="U77" s="11" t="s">
        <v>3123</v>
      </c>
    </row>
    <row r="78" customFormat="false" ht="15" hidden="false" customHeight="false" outlineLevel="0" collapsed="false">
      <c r="A78" s="2" t="s">
        <v>4277</v>
      </c>
      <c r="B78" s="11" t="s">
        <v>2514</v>
      </c>
      <c r="C78" s="11" t="s">
        <v>4137</v>
      </c>
      <c r="D78" s="11" t="s">
        <v>4194</v>
      </c>
      <c r="E78" s="11" t="s">
        <v>776</v>
      </c>
      <c r="M78" s="11" t="s">
        <v>1144</v>
      </c>
      <c r="N78" s="11" t="s">
        <v>1145</v>
      </c>
      <c r="O78" s="11" t="s">
        <v>1144</v>
      </c>
      <c r="P78" s="11" t="s">
        <v>1145</v>
      </c>
      <c r="Q78" s="11" t="s">
        <v>766</v>
      </c>
      <c r="R78" s="11" t="n">
        <v>1</v>
      </c>
      <c r="U78" s="11" t="s">
        <v>3123</v>
      </c>
    </row>
  </sheetData>
  <autoFilter ref="A1:U78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78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78" type="list">
      <formula1>effecttype!$B$2:$B$2000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78" type="list">
      <formula1>bron!$B$2:$B$2000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7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600</v>
      </c>
      <c r="B1" s="13" t="s">
        <v>315</v>
      </c>
      <c r="C1" s="13" t="s">
        <v>264</v>
      </c>
      <c r="D1" s="13" t="s">
        <v>601</v>
      </c>
      <c r="E1" s="14" t="s">
        <v>319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4278</v>
      </c>
      <c r="B2" s="11" t="s">
        <v>4279</v>
      </c>
      <c r="C2" s="11" t="s">
        <v>39</v>
      </c>
      <c r="D2" s="11" t="s">
        <v>4280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  <c r="N2" s="11" t="s">
        <v>4281</v>
      </c>
    </row>
    <row r="3" customFormat="false" ht="15" hidden="false" customHeight="false" outlineLevel="0" collapsed="false">
      <c r="A3" s="2" t="s">
        <v>4282</v>
      </c>
      <c r="B3" s="11" t="s">
        <v>4283</v>
      </c>
      <c r="C3" s="11" t="s">
        <v>4284</v>
      </c>
      <c r="D3" s="11" t="s">
        <v>4285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  <c r="N3" s="11" t="s">
        <v>4281</v>
      </c>
    </row>
    <row r="4" customFormat="false" ht="15" hidden="false" customHeight="false" outlineLevel="0" collapsed="false">
      <c r="A4" s="2" t="s">
        <v>4286</v>
      </c>
      <c r="B4" s="11" t="s">
        <v>4287</v>
      </c>
      <c r="C4" s="11" t="s">
        <v>40</v>
      </c>
      <c r="D4" s="11" t="s">
        <v>4280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  <c r="N4" s="11" t="s">
        <v>4281</v>
      </c>
    </row>
    <row r="5" customFormat="false" ht="15" hidden="false" customHeight="false" outlineLevel="0" collapsed="false">
      <c r="A5" s="2" t="s">
        <v>4288</v>
      </c>
      <c r="B5" s="11" t="s">
        <v>4289</v>
      </c>
      <c r="C5" s="11" t="s">
        <v>4290</v>
      </c>
      <c r="D5" s="11" t="s">
        <v>4285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  <c r="N5" s="11" t="s">
        <v>4281</v>
      </c>
    </row>
    <row r="6" customFormat="false" ht="15" hidden="false" customHeight="false" outlineLevel="0" collapsed="false">
      <c r="A6" s="2" t="s">
        <v>4291</v>
      </c>
      <c r="B6" s="11" t="s">
        <v>4292</v>
      </c>
      <c r="C6" s="11" t="s">
        <v>4293</v>
      </c>
      <c r="D6" s="11" t="s">
        <v>4285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  <c r="N6" s="11" t="s">
        <v>4281</v>
      </c>
    </row>
    <row r="7" customFormat="false" ht="15" hidden="false" customHeight="false" outlineLevel="0" collapsed="false">
      <c r="A7" s="2" t="s">
        <v>4294</v>
      </c>
      <c r="B7" s="11" t="s">
        <v>4295</v>
      </c>
      <c r="C7" s="11" t="s">
        <v>4296</v>
      </c>
      <c r="D7" s="11" t="s">
        <v>4285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  <c r="N7" s="11" t="s">
        <v>4281</v>
      </c>
    </row>
    <row r="8" customFormat="false" ht="15" hidden="false" customHeight="false" outlineLevel="0" collapsed="false">
      <c r="A8" s="2" t="s">
        <v>4297</v>
      </c>
      <c r="B8" s="11" t="s">
        <v>4298</v>
      </c>
      <c r="C8" s="11" t="s">
        <v>4299</v>
      </c>
      <c r="D8" s="11" t="s">
        <v>4300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  <c r="N8" s="11" t="s">
        <v>4281</v>
      </c>
    </row>
    <row r="9" customFormat="false" ht="15" hidden="false" customHeight="false" outlineLevel="0" collapsed="false">
      <c r="A9" s="2" t="s">
        <v>4301</v>
      </c>
      <c r="B9" s="11" t="s">
        <v>4302</v>
      </c>
      <c r="C9" s="11" t="s">
        <v>4303</v>
      </c>
      <c r="D9" s="11" t="s">
        <v>4300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  <c r="N9" s="11" t="s">
        <v>4281</v>
      </c>
    </row>
    <row r="10" customFormat="false" ht="15" hidden="false" customHeight="false" outlineLevel="0" collapsed="false">
      <c r="A10" s="2" t="s">
        <v>4304</v>
      </c>
      <c r="B10" s="11" t="s">
        <v>4305</v>
      </c>
      <c r="C10" s="11" t="s">
        <v>4306</v>
      </c>
      <c r="D10" s="11" t="s">
        <v>4300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  <c r="N10" s="11" t="s">
        <v>4281</v>
      </c>
    </row>
    <row r="11" customFormat="false" ht="15" hidden="false" customHeight="false" outlineLevel="0" collapsed="false">
      <c r="A11" s="2" t="s">
        <v>4307</v>
      </c>
      <c r="B11" s="11" t="s">
        <v>4308</v>
      </c>
      <c r="C11" s="11" t="s">
        <v>4309</v>
      </c>
      <c r="D11" s="11" t="s">
        <v>4285</v>
      </c>
      <c r="F11" s="11" t="s">
        <v>985</v>
      </c>
      <c r="G11" s="11" t="s">
        <v>986</v>
      </c>
      <c r="H11" s="11" t="s">
        <v>985</v>
      </c>
      <c r="I11" s="11" t="s">
        <v>986</v>
      </c>
      <c r="J11" s="11" t="s">
        <v>766</v>
      </c>
      <c r="K11" s="11" t="n">
        <v>1</v>
      </c>
      <c r="N11" s="11" t="s">
        <v>4281</v>
      </c>
    </row>
    <row r="12" customFormat="false" ht="15" hidden="false" customHeight="false" outlineLevel="0" collapsed="false">
      <c r="A12" s="2" t="s">
        <v>4310</v>
      </c>
      <c r="B12" s="11" t="s">
        <v>4311</v>
      </c>
      <c r="C12" s="11" t="s">
        <v>4312</v>
      </c>
      <c r="D12" s="11" t="s">
        <v>289</v>
      </c>
      <c r="F12" s="11" t="s">
        <v>985</v>
      </c>
      <c r="G12" s="11" t="s">
        <v>986</v>
      </c>
      <c r="H12" s="11" t="s">
        <v>985</v>
      </c>
      <c r="I12" s="11" t="s">
        <v>986</v>
      </c>
      <c r="J12" s="11" t="s">
        <v>766</v>
      </c>
      <c r="K12" s="11" t="n">
        <v>1</v>
      </c>
      <c r="N12" s="11" t="s">
        <v>4281</v>
      </c>
    </row>
    <row r="13" customFormat="false" ht="15" hidden="false" customHeight="false" outlineLevel="0" collapsed="false">
      <c r="A13" s="2" t="s">
        <v>4313</v>
      </c>
      <c r="B13" s="11" t="s">
        <v>4314</v>
      </c>
      <c r="C13" s="11" t="s">
        <v>4315</v>
      </c>
      <c r="D13" s="11" t="s">
        <v>4285</v>
      </c>
      <c r="F13" s="11" t="s">
        <v>985</v>
      </c>
      <c r="G13" s="11" t="s">
        <v>986</v>
      </c>
      <c r="H13" s="11" t="s">
        <v>985</v>
      </c>
      <c r="I13" s="11" t="s">
        <v>986</v>
      </c>
      <c r="J13" s="11" t="s">
        <v>766</v>
      </c>
      <c r="K13" s="11" t="n">
        <v>1</v>
      </c>
      <c r="N13" s="11" t="s">
        <v>4281</v>
      </c>
    </row>
    <row r="14" customFormat="false" ht="15" hidden="false" customHeight="false" outlineLevel="0" collapsed="false">
      <c r="A14" s="2" t="s">
        <v>4316</v>
      </c>
      <c r="B14" s="11" t="s">
        <v>4317</v>
      </c>
      <c r="C14" s="11" t="s">
        <v>4318</v>
      </c>
      <c r="D14" s="11" t="s">
        <v>4319</v>
      </c>
      <c r="F14" s="11" t="s">
        <v>985</v>
      </c>
      <c r="G14" s="11" t="s">
        <v>986</v>
      </c>
      <c r="H14" s="11" t="s">
        <v>985</v>
      </c>
      <c r="I14" s="11" t="s">
        <v>986</v>
      </c>
      <c r="J14" s="11" t="s">
        <v>766</v>
      </c>
      <c r="K14" s="11" t="n">
        <v>1</v>
      </c>
      <c r="N14" s="11" t="s">
        <v>4281</v>
      </c>
    </row>
    <row r="15" customFormat="false" ht="15" hidden="false" customHeight="false" outlineLevel="0" collapsed="false">
      <c r="A15" s="2" t="s">
        <v>4320</v>
      </c>
      <c r="B15" s="11" t="s">
        <v>4321</v>
      </c>
      <c r="C15" s="11" t="s">
        <v>4322</v>
      </c>
      <c r="D15" s="11" t="s">
        <v>289</v>
      </c>
      <c r="F15" s="11" t="s">
        <v>985</v>
      </c>
      <c r="G15" s="11" t="s">
        <v>986</v>
      </c>
      <c r="H15" s="11" t="s">
        <v>985</v>
      </c>
      <c r="I15" s="11" t="s">
        <v>986</v>
      </c>
      <c r="J15" s="11" t="s">
        <v>766</v>
      </c>
      <c r="K15" s="11" t="n">
        <v>1</v>
      </c>
      <c r="N15" s="11" t="s">
        <v>4281</v>
      </c>
    </row>
    <row r="16" customFormat="false" ht="15" hidden="false" customHeight="false" outlineLevel="0" collapsed="false">
      <c r="A16" s="2" t="s">
        <v>4323</v>
      </c>
      <c r="B16" s="11" t="s">
        <v>4324</v>
      </c>
      <c r="C16" s="11" t="s">
        <v>4325</v>
      </c>
      <c r="D16" s="11" t="s">
        <v>289</v>
      </c>
      <c r="F16" s="11" t="s">
        <v>985</v>
      </c>
      <c r="G16" s="11" t="s">
        <v>986</v>
      </c>
      <c r="H16" s="11" t="s">
        <v>985</v>
      </c>
      <c r="I16" s="11" t="s">
        <v>986</v>
      </c>
      <c r="J16" s="11" t="s">
        <v>766</v>
      </c>
      <c r="K16" s="11" t="n">
        <v>1</v>
      </c>
      <c r="N16" s="11" t="s">
        <v>4281</v>
      </c>
    </row>
    <row r="17" customFormat="false" ht="15" hidden="false" customHeight="false" outlineLevel="0" collapsed="false">
      <c r="A17" s="2" t="s">
        <v>4326</v>
      </c>
      <c r="B17" s="11" t="s">
        <v>4327</v>
      </c>
      <c r="C17" s="11" t="s">
        <v>4328</v>
      </c>
      <c r="D17" s="11" t="s">
        <v>289</v>
      </c>
      <c r="F17" s="11" t="s">
        <v>985</v>
      </c>
      <c r="G17" s="11" t="s">
        <v>986</v>
      </c>
      <c r="H17" s="11" t="s">
        <v>985</v>
      </c>
      <c r="I17" s="11" t="s">
        <v>986</v>
      </c>
      <c r="J17" s="11" t="s">
        <v>766</v>
      </c>
      <c r="K17" s="11" t="n">
        <v>1</v>
      </c>
      <c r="N17" s="11" t="s">
        <v>4281</v>
      </c>
    </row>
    <row r="18" customFormat="false" ht="15" hidden="false" customHeight="false" outlineLevel="0" collapsed="false">
      <c r="A18" s="2" t="s">
        <v>4329</v>
      </c>
      <c r="B18" s="11" t="s">
        <v>4330</v>
      </c>
      <c r="C18" s="11" t="s">
        <v>4331</v>
      </c>
      <c r="D18" s="11" t="s">
        <v>4285</v>
      </c>
      <c r="F18" s="11" t="s">
        <v>985</v>
      </c>
      <c r="G18" s="11" t="s">
        <v>986</v>
      </c>
      <c r="H18" s="11" t="s">
        <v>985</v>
      </c>
      <c r="I18" s="11" t="s">
        <v>986</v>
      </c>
      <c r="J18" s="11" t="s">
        <v>766</v>
      </c>
      <c r="K18" s="11" t="n">
        <v>1</v>
      </c>
      <c r="N18" s="11" t="s">
        <v>4281</v>
      </c>
    </row>
    <row r="19" customFormat="false" ht="15" hidden="false" customHeight="false" outlineLevel="0" collapsed="false">
      <c r="A19" s="2" t="s">
        <v>4332</v>
      </c>
      <c r="B19" s="11" t="s">
        <v>4333</v>
      </c>
      <c r="C19" s="11" t="s">
        <v>4334</v>
      </c>
      <c r="D19" s="11" t="s">
        <v>289</v>
      </c>
      <c r="F19" s="11" t="s">
        <v>985</v>
      </c>
      <c r="G19" s="11" t="s">
        <v>986</v>
      </c>
      <c r="H19" s="11" t="s">
        <v>985</v>
      </c>
      <c r="I19" s="11" t="s">
        <v>986</v>
      </c>
      <c r="J19" s="11" t="s">
        <v>766</v>
      </c>
      <c r="K19" s="11" t="n">
        <v>1</v>
      </c>
      <c r="N19" s="11" t="s">
        <v>4281</v>
      </c>
    </row>
    <row r="20" customFormat="false" ht="15" hidden="false" customHeight="false" outlineLevel="0" collapsed="false">
      <c r="A20" s="2" t="s">
        <v>4335</v>
      </c>
      <c r="B20" s="11" t="s">
        <v>4336</v>
      </c>
      <c r="C20" s="11" t="s">
        <v>4337</v>
      </c>
      <c r="D20" s="11" t="s">
        <v>4285</v>
      </c>
      <c r="F20" s="11" t="s">
        <v>985</v>
      </c>
      <c r="G20" s="11" t="s">
        <v>986</v>
      </c>
      <c r="H20" s="11" t="s">
        <v>985</v>
      </c>
      <c r="I20" s="11" t="s">
        <v>986</v>
      </c>
      <c r="J20" s="11" t="s">
        <v>766</v>
      </c>
      <c r="K20" s="11" t="n">
        <v>1</v>
      </c>
      <c r="N20" s="11" t="s">
        <v>4281</v>
      </c>
    </row>
  </sheetData>
  <autoFilter ref="A1:N20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20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V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7" min="6" style="0" width="15"/>
    <col collapsed="false" customWidth="true" hidden="false" outlineLevel="0" max="8" min="8" style="0" width="17"/>
    <col collapsed="false" customWidth="true" hidden="false" outlineLevel="0" max="9" min="9" style="0" width="40"/>
    <col collapsed="false" customWidth="true" hidden="false" outlineLevel="0" max="10" min="10" style="0" width="17"/>
    <col collapsed="false" customWidth="true" hidden="false" outlineLevel="0" max="11" min="11" style="0" width="22"/>
    <col collapsed="false" customWidth="true" hidden="false" outlineLevel="0" max="12" min="12" style="0" width="40"/>
    <col collapsed="false" customWidth="true" hidden="false" outlineLevel="0" max="17" min="13" style="0" width="14"/>
    <col collapsed="false" customWidth="true" hidden="false" outlineLevel="0" max="18" min="18" style="0" width="40"/>
    <col collapsed="false" customWidth="true" hidden="false" outlineLevel="0" max="19" min="19" style="0" width="17"/>
    <col collapsed="false" customWidth="true" hidden="false" outlineLevel="0" max="21" min="20" style="0" width="14"/>
    <col collapsed="false" customWidth="true" hidden="false" outlineLevel="0" max="22" min="22" style="0" width="40"/>
  </cols>
  <sheetData>
    <row r="1" customFormat="false" ht="15" hidden="false" customHeight="false" outlineLevel="0" collapsed="false">
      <c r="A1" s="13" t="s">
        <v>602</v>
      </c>
      <c r="B1" s="13" t="s">
        <v>469</v>
      </c>
      <c r="C1" s="13" t="s">
        <v>600</v>
      </c>
      <c r="D1" s="13" t="s">
        <v>604</v>
      </c>
      <c r="E1" s="14" t="s">
        <v>606</v>
      </c>
      <c r="F1" s="14" t="s">
        <v>607</v>
      </c>
      <c r="G1" s="14" t="s">
        <v>609</v>
      </c>
      <c r="H1" s="14" t="s">
        <v>610</v>
      </c>
      <c r="I1" s="14" t="s">
        <v>611</v>
      </c>
      <c r="J1" s="13" t="s">
        <v>612</v>
      </c>
      <c r="K1" s="13" t="s">
        <v>613</v>
      </c>
      <c r="L1" s="14" t="s">
        <v>410</v>
      </c>
      <c r="M1" s="14" t="s">
        <v>537</v>
      </c>
      <c r="N1" s="15" t="s">
        <v>292</v>
      </c>
      <c r="O1" s="15" t="s">
        <v>295</v>
      </c>
      <c r="P1" s="15" t="s">
        <v>298</v>
      </c>
      <c r="Q1" s="15" t="s">
        <v>300</v>
      </c>
      <c r="R1" s="15" t="s">
        <v>302</v>
      </c>
      <c r="S1" s="15" t="s">
        <v>305</v>
      </c>
      <c r="T1" s="15" t="s">
        <v>307</v>
      </c>
      <c r="U1" s="15" t="s">
        <v>310</v>
      </c>
      <c r="V1" s="15" t="s">
        <v>312</v>
      </c>
    </row>
    <row r="2" customFormat="false" ht="15" hidden="false" customHeight="false" outlineLevel="0" collapsed="false">
      <c r="A2" s="2" t="s">
        <v>4338</v>
      </c>
      <c r="B2" s="11" t="s">
        <v>2008</v>
      </c>
      <c r="C2" s="11" t="s">
        <v>4298</v>
      </c>
      <c r="D2" s="11" t="s">
        <v>883</v>
      </c>
      <c r="E2" s="11" t="s">
        <v>4339</v>
      </c>
      <c r="J2" s="11" t="s">
        <v>272</v>
      </c>
      <c r="K2" s="11" t="s">
        <v>272</v>
      </c>
      <c r="N2" s="11" t="s">
        <v>985</v>
      </c>
      <c r="O2" s="11" t="s">
        <v>2020</v>
      </c>
      <c r="P2" s="11" t="s">
        <v>985</v>
      </c>
      <c r="Q2" s="11" t="s">
        <v>2020</v>
      </c>
      <c r="R2" s="11" t="s">
        <v>766</v>
      </c>
      <c r="S2" s="11" t="n">
        <v>1</v>
      </c>
      <c r="V2" s="11" t="s">
        <v>4340</v>
      </c>
    </row>
    <row r="3" customFormat="false" ht="15" hidden="false" customHeight="false" outlineLevel="0" collapsed="false">
      <c r="A3" s="2" t="s">
        <v>4341</v>
      </c>
      <c r="B3" s="11" t="s">
        <v>2230</v>
      </c>
      <c r="C3" s="11" t="s">
        <v>4298</v>
      </c>
      <c r="D3" s="11" t="s">
        <v>883</v>
      </c>
      <c r="E3" s="11" t="s">
        <v>4342</v>
      </c>
      <c r="J3" s="11" t="s">
        <v>272</v>
      </c>
      <c r="K3" s="11" t="s">
        <v>272</v>
      </c>
      <c r="N3" s="11" t="s">
        <v>985</v>
      </c>
      <c r="O3" s="11" t="s">
        <v>2020</v>
      </c>
      <c r="P3" s="11" t="s">
        <v>985</v>
      </c>
      <c r="Q3" s="11" t="s">
        <v>2020</v>
      </c>
      <c r="R3" s="11" t="s">
        <v>766</v>
      </c>
      <c r="S3" s="11" t="n">
        <v>1</v>
      </c>
      <c r="V3" s="11" t="s">
        <v>4340</v>
      </c>
    </row>
    <row r="4" customFormat="false" ht="15" hidden="false" customHeight="false" outlineLevel="0" collapsed="false">
      <c r="A4" s="2" t="s">
        <v>4343</v>
      </c>
      <c r="B4" s="11" t="s">
        <v>2236</v>
      </c>
      <c r="C4" s="11" t="s">
        <v>4298</v>
      </c>
      <c r="D4" s="11" t="s">
        <v>883</v>
      </c>
      <c r="E4" s="11" t="s">
        <v>4342</v>
      </c>
      <c r="J4" s="11" t="s">
        <v>272</v>
      </c>
      <c r="K4" s="11" t="s">
        <v>272</v>
      </c>
      <c r="N4" s="11" t="s">
        <v>985</v>
      </c>
      <c r="O4" s="11" t="s">
        <v>2020</v>
      </c>
      <c r="P4" s="11" t="s">
        <v>985</v>
      </c>
      <c r="Q4" s="11" t="s">
        <v>2020</v>
      </c>
      <c r="R4" s="11" t="s">
        <v>766</v>
      </c>
      <c r="S4" s="11" t="n">
        <v>1</v>
      </c>
      <c r="V4" s="11" t="s">
        <v>4340</v>
      </c>
    </row>
    <row r="5" customFormat="false" ht="15" hidden="false" customHeight="false" outlineLevel="0" collapsed="false">
      <c r="A5" s="2" t="s">
        <v>4344</v>
      </c>
      <c r="B5" s="11" t="s">
        <v>2248</v>
      </c>
      <c r="C5" s="11" t="s">
        <v>4298</v>
      </c>
      <c r="D5" s="11" t="s">
        <v>883</v>
      </c>
      <c r="E5" s="11" t="s">
        <v>4345</v>
      </c>
      <c r="J5" s="11" t="s">
        <v>272</v>
      </c>
      <c r="K5" s="11" t="s">
        <v>272</v>
      </c>
      <c r="N5" s="11" t="s">
        <v>985</v>
      </c>
      <c r="O5" s="11" t="s">
        <v>2020</v>
      </c>
      <c r="P5" s="11" t="s">
        <v>985</v>
      </c>
      <c r="Q5" s="11" t="s">
        <v>2020</v>
      </c>
      <c r="R5" s="11" t="s">
        <v>766</v>
      </c>
      <c r="S5" s="11" t="n">
        <v>1</v>
      </c>
      <c r="V5" s="11" t="s">
        <v>4340</v>
      </c>
    </row>
    <row r="6" customFormat="false" ht="15" hidden="false" customHeight="false" outlineLevel="0" collapsed="false">
      <c r="A6" s="2" t="s">
        <v>4346</v>
      </c>
      <c r="B6" s="11" t="s">
        <v>2345</v>
      </c>
      <c r="C6" s="11" t="s">
        <v>4298</v>
      </c>
      <c r="D6" s="11" t="s">
        <v>883</v>
      </c>
      <c r="E6" s="11" t="s">
        <v>4342</v>
      </c>
      <c r="J6" s="11" t="s">
        <v>272</v>
      </c>
      <c r="K6" s="11" t="s">
        <v>272</v>
      </c>
      <c r="N6" s="11" t="s">
        <v>985</v>
      </c>
      <c r="O6" s="11" t="s">
        <v>2020</v>
      </c>
      <c r="P6" s="11" t="s">
        <v>985</v>
      </c>
      <c r="Q6" s="11" t="s">
        <v>2020</v>
      </c>
      <c r="R6" s="11" t="s">
        <v>766</v>
      </c>
      <c r="S6" s="11" t="n">
        <v>1</v>
      </c>
      <c r="V6" s="11" t="s">
        <v>4340</v>
      </c>
    </row>
    <row r="7" customFormat="false" ht="15" hidden="false" customHeight="false" outlineLevel="0" collapsed="false">
      <c r="A7" s="2" t="s">
        <v>4347</v>
      </c>
      <c r="B7" s="11" t="s">
        <v>2359</v>
      </c>
      <c r="C7" s="11" t="s">
        <v>4298</v>
      </c>
      <c r="D7" s="11" t="s">
        <v>883</v>
      </c>
      <c r="E7" s="11" t="s">
        <v>4342</v>
      </c>
      <c r="J7" s="11" t="s">
        <v>272</v>
      </c>
      <c r="K7" s="11" t="s">
        <v>272</v>
      </c>
      <c r="N7" s="11" t="s">
        <v>985</v>
      </c>
      <c r="O7" s="11" t="s">
        <v>2020</v>
      </c>
      <c r="P7" s="11" t="s">
        <v>985</v>
      </c>
      <c r="Q7" s="11" t="s">
        <v>2020</v>
      </c>
      <c r="R7" s="11" t="s">
        <v>766</v>
      </c>
      <c r="S7" s="11" t="n">
        <v>1</v>
      </c>
      <c r="V7" s="11" t="s">
        <v>4340</v>
      </c>
    </row>
    <row r="8" customFormat="false" ht="15" hidden="false" customHeight="false" outlineLevel="0" collapsed="false">
      <c r="A8" s="2" t="s">
        <v>4348</v>
      </c>
      <c r="B8" s="11" t="s">
        <v>2450</v>
      </c>
      <c r="C8" s="11" t="s">
        <v>4298</v>
      </c>
      <c r="D8" s="11" t="s">
        <v>883</v>
      </c>
      <c r="E8" s="11" t="s">
        <v>4342</v>
      </c>
      <c r="J8" s="11" t="s">
        <v>272</v>
      </c>
      <c r="K8" s="11" t="s">
        <v>272</v>
      </c>
      <c r="N8" s="11" t="s">
        <v>985</v>
      </c>
      <c r="O8" s="11" t="s">
        <v>2020</v>
      </c>
      <c r="P8" s="11" t="s">
        <v>985</v>
      </c>
      <c r="Q8" s="11" t="s">
        <v>2020</v>
      </c>
      <c r="R8" s="11" t="s">
        <v>766</v>
      </c>
      <c r="S8" s="11" t="n">
        <v>1</v>
      </c>
      <c r="V8" s="11" t="s">
        <v>4340</v>
      </c>
    </row>
    <row r="9" customFormat="false" ht="15" hidden="false" customHeight="false" outlineLevel="0" collapsed="false">
      <c r="A9" s="2" t="s">
        <v>4349</v>
      </c>
      <c r="B9" s="11" t="s">
        <v>2467</v>
      </c>
      <c r="C9" s="11" t="s">
        <v>4298</v>
      </c>
      <c r="D9" s="11" t="s">
        <v>883</v>
      </c>
      <c r="E9" s="11" t="s">
        <v>4350</v>
      </c>
      <c r="J9" s="11" t="s">
        <v>272</v>
      </c>
      <c r="K9" s="11" t="s">
        <v>272</v>
      </c>
      <c r="N9" s="11" t="s">
        <v>985</v>
      </c>
      <c r="O9" s="11" t="s">
        <v>2020</v>
      </c>
      <c r="P9" s="11" t="s">
        <v>985</v>
      </c>
      <c r="Q9" s="11" t="s">
        <v>2020</v>
      </c>
      <c r="R9" s="11" t="s">
        <v>766</v>
      </c>
      <c r="S9" s="11" t="n">
        <v>1</v>
      </c>
      <c r="V9" s="11" t="s">
        <v>4340</v>
      </c>
    </row>
    <row r="10" customFormat="false" ht="15" hidden="false" customHeight="false" outlineLevel="0" collapsed="false">
      <c r="A10" s="2" t="s">
        <v>4351</v>
      </c>
      <c r="B10" s="11" t="s">
        <v>2473</v>
      </c>
      <c r="C10" s="11" t="s">
        <v>4298</v>
      </c>
      <c r="D10" s="11" t="s">
        <v>883</v>
      </c>
      <c r="E10" s="11" t="s">
        <v>4342</v>
      </c>
      <c r="J10" s="11" t="s">
        <v>272</v>
      </c>
      <c r="K10" s="11" t="s">
        <v>272</v>
      </c>
      <c r="N10" s="11" t="s">
        <v>985</v>
      </c>
      <c r="O10" s="11" t="s">
        <v>2020</v>
      </c>
      <c r="P10" s="11" t="s">
        <v>985</v>
      </c>
      <c r="Q10" s="11" t="s">
        <v>2020</v>
      </c>
      <c r="R10" s="11" t="s">
        <v>766</v>
      </c>
      <c r="S10" s="11" t="n">
        <v>1</v>
      </c>
      <c r="V10" s="11" t="s">
        <v>4340</v>
      </c>
    </row>
    <row r="11" customFormat="false" ht="15" hidden="false" customHeight="false" outlineLevel="0" collapsed="false">
      <c r="A11" s="2" t="s">
        <v>4352</v>
      </c>
      <c r="B11" s="11" t="s">
        <v>2485</v>
      </c>
      <c r="C11" s="11" t="s">
        <v>4298</v>
      </c>
      <c r="D11" s="11" t="s">
        <v>883</v>
      </c>
      <c r="E11" s="11" t="s">
        <v>4342</v>
      </c>
      <c r="J11" s="11" t="s">
        <v>272</v>
      </c>
      <c r="K11" s="11" t="s">
        <v>272</v>
      </c>
      <c r="N11" s="11" t="s">
        <v>985</v>
      </c>
      <c r="O11" s="11" t="s">
        <v>2020</v>
      </c>
      <c r="P11" s="11" t="s">
        <v>985</v>
      </c>
      <c r="Q11" s="11" t="s">
        <v>2020</v>
      </c>
      <c r="R11" s="11" t="s">
        <v>766</v>
      </c>
      <c r="S11" s="11" t="n">
        <v>1</v>
      </c>
      <c r="V11" s="11" t="s">
        <v>4340</v>
      </c>
    </row>
    <row r="12" customFormat="false" ht="15" hidden="false" customHeight="false" outlineLevel="0" collapsed="false">
      <c r="A12" s="2" t="s">
        <v>4353</v>
      </c>
      <c r="B12" s="11" t="s">
        <v>2491</v>
      </c>
      <c r="C12" s="11" t="s">
        <v>4298</v>
      </c>
      <c r="D12" s="11" t="s">
        <v>883</v>
      </c>
      <c r="E12" s="11" t="s">
        <v>4345</v>
      </c>
      <c r="J12" s="11" t="s">
        <v>272</v>
      </c>
      <c r="K12" s="11" t="s">
        <v>272</v>
      </c>
      <c r="N12" s="11" t="s">
        <v>985</v>
      </c>
      <c r="O12" s="11" t="s">
        <v>2020</v>
      </c>
      <c r="P12" s="11" t="s">
        <v>985</v>
      </c>
      <c r="Q12" s="11" t="s">
        <v>2020</v>
      </c>
      <c r="R12" s="11" t="s">
        <v>766</v>
      </c>
      <c r="S12" s="11" t="n">
        <v>1</v>
      </c>
      <c r="V12" s="11" t="s">
        <v>4340</v>
      </c>
    </row>
    <row r="13" customFormat="false" ht="15" hidden="false" customHeight="false" outlineLevel="0" collapsed="false">
      <c r="A13" s="2" t="s">
        <v>4354</v>
      </c>
      <c r="B13" s="11" t="s">
        <v>2036</v>
      </c>
      <c r="C13" s="11" t="s">
        <v>4279</v>
      </c>
      <c r="D13" s="11" t="s">
        <v>891</v>
      </c>
      <c r="E13" s="11" t="s">
        <v>848</v>
      </c>
      <c r="J13" s="11" t="s">
        <v>258</v>
      </c>
      <c r="K13" s="11" t="s">
        <v>258</v>
      </c>
      <c r="L13" s="11" t="s">
        <v>4355</v>
      </c>
      <c r="N13" s="11" t="s">
        <v>1144</v>
      </c>
      <c r="O13" s="11" t="s">
        <v>1145</v>
      </c>
      <c r="P13" s="11" t="s">
        <v>1144</v>
      </c>
      <c r="Q13" s="11" t="s">
        <v>1145</v>
      </c>
      <c r="R13" s="11" t="s">
        <v>766</v>
      </c>
      <c r="S13" s="11" t="n">
        <v>1</v>
      </c>
      <c r="V13" s="11" t="s">
        <v>27</v>
      </c>
    </row>
    <row r="14" customFormat="false" ht="15" hidden="false" customHeight="false" outlineLevel="0" collapsed="false">
      <c r="A14" s="2" t="s">
        <v>4356</v>
      </c>
      <c r="B14" s="11" t="s">
        <v>2230</v>
      </c>
      <c r="C14" s="11" t="s">
        <v>4279</v>
      </c>
      <c r="D14" s="11" t="s">
        <v>891</v>
      </c>
      <c r="E14" s="11" t="s">
        <v>848</v>
      </c>
      <c r="J14" s="11" t="s">
        <v>258</v>
      </c>
      <c r="K14" s="11" t="s">
        <v>258</v>
      </c>
      <c r="L14" s="11" t="s">
        <v>4355</v>
      </c>
      <c r="N14" s="11" t="s">
        <v>1144</v>
      </c>
      <c r="O14" s="11" t="s">
        <v>1145</v>
      </c>
      <c r="P14" s="11" t="s">
        <v>1144</v>
      </c>
      <c r="Q14" s="11" t="s">
        <v>1145</v>
      </c>
      <c r="R14" s="11" t="s">
        <v>766</v>
      </c>
      <c r="S14" s="11" t="n">
        <v>1</v>
      </c>
      <c r="V14" s="11" t="s">
        <v>27</v>
      </c>
    </row>
    <row r="15" customFormat="false" ht="15" hidden="false" customHeight="false" outlineLevel="0" collapsed="false">
      <c r="A15" s="2" t="s">
        <v>4357</v>
      </c>
      <c r="B15" s="11" t="s">
        <v>2008</v>
      </c>
      <c r="C15" s="11" t="s">
        <v>4279</v>
      </c>
      <c r="D15" s="11" t="s">
        <v>883</v>
      </c>
      <c r="E15" s="11" t="s">
        <v>4358</v>
      </c>
      <c r="J15" s="11" t="s">
        <v>272</v>
      </c>
      <c r="K15" s="11" t="s">
        <v>258</v>
      </c>
      <c r="L15" s="11" t="s">
        <v>27</v>
      </c>
      <c r="N15" s="11" t="s">
        <v>1144</v>
      </c>
      <c r="O15" s="11" t="s">
        <v>1145</v>
      </c>
      <c r="P15" s="11" t="s">
        <v>1144</v>
      </c>
      <c r="Q15" s="11" t="s">
        <v>1145</v>
      </c>
      <c r="R15" s="11" t="s">
        <v>766</v>
      </c>
      <c r="S15" s="11" t="n">
        <v>1</v>
      </c>
      <c r="V15" s="11" t="s">
        <v>27</v>
      </c>
    </row>
    <row r="16" customFormat="false" ht="15" hidden="false" customHeight="false" outlineLevel="0" collapsed="false">
      <c r="A16" s="2" t="s">
        <v>4359</v>
      </c>
      <c r="B16" s="11" t="s">
        <v>2008</v>
      </c>
      <c r="C16" s="11" t="s">
        <v>4302</v>
      </c>
      <c r="D16" s="11" t="s">
        <v>847</v>
      </c>
      <c r="F16" s="11" t="n">
        <v>10000</v>
      </c>
      <c r="I16" s="11" t="s">
        <v>4360</v>
      </c>
      <c r="J16" s="11" t="s">
        <v>272</v>
      </c>
      <c r="K16" s="11" t="s">
        <v>258</v>
      </c>
      <c r="L16" s="11" t="s">
        <v>27</v>
      </c>
      <c r="N16" s="11" t="s">
        <v>1144</v>
      </c>
      <c r="O16" s="11" t="s">
        <v>1145</v>
      </c>
      <c r="P16" s="11" t="s">
        <v>1144</v>
      </c>
      <c r="Q16" s="11" t="s">
        <v>1145</v>
      </c>
      <c r="R16" s="11" t="s">
        <v>766</v>
      </c>
      <c r="S16" s="11" t="n">
        <v>1</v>
      </c>
      <c r="V16" s="11" t="s">
        <v>27</v>
      </c>
    </row>
    <row r="17" customFormat="false" ht="15" hidden="false" customHeight="false" outlineLevel="0" collapsed="false">
      <c r="A17" s="2" t="s">
        <v>4361</v>
      </c>
      <c r="B17" s="11" t="s">
        <v>2023</v>
      </c>
      <c r="C17" s="11" t="s">
        <v>4279</v>
      </c>
      <c r="D17" s="11" t="s">
        <v>883</v>
      </c>
      <c r="E17" s="11" t="s">
        <v>4358</v>
      </c>
      <c r="J17" s="11" t="s">
        <v>272</v>
      </c>
      <c r="K17" s="11" t="s">
        <v>258</v>
      </c>
      <c r="L17" s="11" t="s">
        <v>27</v>
      </c>
      <c r="N17" s="11" t="s">
        <v>1144</v>
      </c>
      <c r="O17" s="11" t="s">
        <v>1145</v>
      </c>
      <c r="P17" s="11" t="s">
        <v>1144</v>
      </c>
      <c r="Q17" s="11" t="s">
        <v>1145</v>
      </c>
      <c r="R17" s="11" t="s">
        <v>766</v>
      </c>
      <c r="S17" s="11" t="n">
        <v>1</v>
      </c>
      <c r="V17" s="11" t="s">
        <v>27</v>
      </c>
    </row>
    <row r="18" customFormat="false" ht="15" hidden="false" customHeight="false" outlineLevel="0" collapsed="false">
      <c r="A18" s="2" t="s">
        <v>4362</v>
      </c>
      <c r="B18" s="11" t="s">
        <v>2023</v>
      </c>
      <c r="C18" s="11" t="s">
        <v>4302</v>
      </c>
      <c r="D18" s="11" t="s">
        <v>847</v>
      </c>
      <c r="F18" s="11" t="n">
        <v>25000</v>
      </c>
      <c r="I18" s="11" t="s">
        <v>4360</v>
      </c>
      <c r="J18" s="11" t="s">
        <v>272</v>
      </c>
      <c r="K18" s="11" t="s">
        <v>258</v>
      </c>
      <c r="L18" s="11" t="s">
        <v>27</v>
      </c>
      <c r="N18" s="11" t="s">
        <v>1144</v>
      </c>
      <c r="O18" s="11" t="s">
        <v>1145</v>
      </c>
      <c r="P18" s="11" t="s">
        <v>1144</v>
      </c>
      <c r="Q18" s="11" t="s">
        <v>1145</v>
      </c>
      <c r="R18" s="11" t="s">
        <v>766</v>
      </c>
      <c r="S18" s="11" t="n">
        <v>1</v>
      </c>
      <c r="V18" s="11" t="s">
        <v>27</v>
      </c>
    </row>
    <row r="19" customFormat="false" ht="15" hidden="false" customHeight="false" outlineLevel="0" collapsed="false">
      <c r="A19" s="2" t="s">
        <v>4363</v>
      </c>
      <c r="B19" s="11" t="s">
        <v>2030</v>
      </c>
      <c r="C19" s="11" t="s">
        <v>4279</v>
      </c>
      <c r="D19" s="11" t="s">
        <v>883</v>
      </c>
      <c r="E19" s="11" t="s">
        <v>4358</v>
      </c>
      <c r="J19" s="11" t="s">
        <v>272</v>
      </c>
      <c r="K19" s="11" t="s">
        <v>258</v>
      </c>
      <c r="L19" s="11" t="s">
        <v>27</v>
      </c>
      <c r="N19" s="11" t="s">
        <v>1144</v>
      </c>
      <c r="O19" s="11" t="s">
        <v>1145</v>
      </c>
      <c r="P19" s="11" t="s">
        <v>1144</v>
      </c>
      <c r="Q19" s="11" t="s">
        <v>1145</v>
      </c>
      <c r="R19" s="11" t="s">
        <v>766</v>
      </c>
      <c r="S19" s="11" t="n">
        <v>1</v>
      </c>
      <c r="V19" s="11" t="s">
        <v>27</v>
      </c>
    </row>
    <row r="20" customFormat="false" ht="15" hidden="false" customHeight="false" outlineLevel="0" collapsed="false">
      <c r="A20" s="2" t="s">
        <v>4364</v>
      </c>
      <c r="B20" s="11" t="s">
        <v>2030</v>
      </c>
      <c r="C20" s="11" t="s">
        <v>4302</v>
      </c>
      <c r="D20" s="11" t="s">
        <v>847</v>
      </c>
      <c r="F20" s="11" t="n">
        <v>50000</v>
      </c>
      <c r="I20" s="11" t="s">
        <v>4360</v>
      </c>
      <c r="J20" s="11" t="s">
        <v>272</v>
      </c>
      <c r="K20" s="11" t="s">
        <v>258</v>
      </c>
      <c r="L20" s="11" t="s">
        <v>27</v>
      </c>
      <c r="N20" s="11" t="s">
        <v>1144</v>
      </c>
      <c r="O20" s="11" t="s">
        <v>1145</v>
      </c>
      <c r="P20" s="11" t="s">
        <v>1144</v>
      </c>
      <c r="Q20" s="11" t="s">
        <v>1145</v>
      </c>
      <c r="R20" s="11" t="s">
        <v>766</v>
      </c>
      <c r="S20" s="11" t="n">
        <v>1</v>
      </c>
      <c r="V20" s="11" t="s">
        <v>27</v>
      </c>
    </row>
    <row r="21" customFormat="false" ht="15" hidden="false" customHeight="false" outlineLevel="0" collapsed="false">
      <c r="A21" s="2" t="s">
        <v>4365</v>
      </c>
      <c r="B21" s="11" t="s">
        <v>2030</v>
      </c>
      <c r="C21" s="11" t="s">
        <v>4327</v>
      </c>
      <c r="D21" s="11" t="s">
        <v>897</v>
      </c>
      <c r="H21" s="11" t="s">
        <v>258</v>
      </c>
      <c r="J21" s="11" t="s">
        <v>272</v>
      </c>
      <c r="K21" s="11" t="s">
        <v>272</v>
      </c>
      <c r="L21" s="11" t="s">
        <v>27</v>
      </c>
      <c r="N21" s="11" t="s">
        <v>1144</v>
      </c>
      <c r="O21" s="11" t="s">
        <v>1145</v>
      </c>
      <c r="P21" s="11" t="s">
        <v>1144</v>
      </c>
      <c r="Q21" s="11" t="s">
        <v>1145</v>
      </c>
      <c r="R21" s="11" t="s">
        <v>766</v>
      </c>
      <c r="S21" s="11" t="n">
        <v>1</v>
      </c>
      <c r="V21" s="11" t="s">
        <v>27</v>
      </c>
    </row>
    <row r="22" customFormat="false" ht="15" hidden="false" customHeight="false" outlineLevel="0" collapsed="false">
      <c r="A22" s="2" t="s">
        <v>4366</v>
      </c>
      <c r="B22" s="11" t="s">
        <v>2045</v>
      </c>
      <c r="C22" s="11" t="s">
        <v>4279</v>
      </c>
      <c r="D22" s="11" t="s">
        <v>883</v>
      </c>
      <c r="E22" s="11" t="s">
        <v>1517</v>
      </c>
      <c r="J22" s="11" t="s">
        <v>272</v>
      </c>
      <c r="K22" s="11" t="s">
        <v>258</v>
      </c>
      <c r="L22" s="11" t="s">
        <v>27</v>
      </c>
      <c r="N22" s="11" t="s">
        <v>1144</v>
      </c>
      <c r="O22" s="11" t="s">
        <v>1145</v>
      </c>
      <c r="P22" s="11" t="s">
        <v>1144</v>
      </c>
      <c r="Q22" s="11" t="s">
        <v>1145</v>
      </c>
      <c r="R22" s="11" t="s">
        <v>766</v>
      </c>
      <c r="S22" s="11" t="n">
        <v>1</v>
      </c>
      <c r="V22" s="11" t="s">
        <v>27</v>
      </c>
    </row>
    <row r="23" customFormat="false" ht="15" hidden="false" customHeight="false" outlineLevel="0" collapsed="false">
      <c r="A23" s="2" t="s">
        <v>4367</v>
      </c>
      <c r="B23" s="11" t="s">
        <v>2045</v>
      </c>
      <c r="C23" s="11" t="s">
        <v>4302</v>
      </c>
      <c r="D23" s="11" t="s">
        <v>847</v>
      </c>
      <c r="F23" s="11" t="n">
        <v>100000</v>
      </c>
      <c r="I23" s="11" t="s">
        <v>4360</v>
      </c>
      <c r="J23" s="11" t="s">
        <v>272</v>
      </c>
      <c r="K23" s="11" t="s">
        <v>258</v>
      </c>
      <c r="L23" s="11" t="s">
        <v>27</v>
      </c>
      <c r="N23" s="11" t="s">
        <v>1144</v>
      </c>
      <c r="O23" s="11" t="s">
        <v>1145</v>
      </c>
      <c r="P23" s="11" t="s">
        <v>1144</v>
      </c>
      <c r="Q23" s="11" t="s">
        <v>1145</v>
      </c>
      <c r="R23" s="11" t="s">
        <v>766</v>
      </c>
      <c r="S23" s="11" t="n">
        <v>1</v>
      </c>
      <c r="V23" s="11" t="s">
        <v>27</v>
      </c>
    </row>
    <row r="24" customFormat="false" ht="15" hidden="false" customHeight="false" outlineLevel="0" collapsed="false">
      <c r="A24" s="2" t="s">
        <v>4368</v>
      </c>
      <c r="B24" s="11" t="s">
        <v>2051</v>
      </c>
      <c r="C24" s="11" t="s">
        <v>4279</v>
      </c>
      <c r="D24" s="11" t="s">
        <v>883</v>
      </c>
      <c r="E24" s="11" t="s">
        <v>848</v>
      </c>
      <c r="J24" s="11" t="s">
        <v>272</v>
      </c>
      <c r="K24" s="11" t="s">
        <v>258</v>
      </c>
      <c r="L24" s="11" t="s">
        <v>27</v>
      </c>
      <c r="N24" s="11" t="s">
        <v>1144</v>
      </c>
      <c r="O24" s="11" t="s">
        <v>1145</v>
      </c>
      <c r="P24" s="11" t="s">
        <v>1144</v>
      </c>
      <c r="Q24" s="11" t="s">
        <v>1145</v>
      </c>
      <c r="R24" s="11" t="s">
        <v>766</v>
      </c>
      <c r="S24" s="11" t="n">
        <v>1</v>
      </c>
      <c r="V24" s="11" t="s">
        <v>27</v>
      </c>
    </row>
    <row r="25" customFormat="false" ht="15" hidden="false" customHeight="false" outlineLevel="0" collapsed="false">
      <c r="A25" s="2" t="s">
        <v>4369</v>
      </c>
      <c r="B25" s="11" t="s">
        <v>2051</v>
      </c>
      <c r="C25" s="11" t="s">
        <v>4302</v>
      </c>
      <c r="D25" s="11" t="s">
        <v>847</v>
      </c>
      <c r="F25" s="11" t="n">
        <v>10000</v>
      </c>
      <c r="I25" s="11" t="s">
        <v>4360</v>
      </c>
      <c r="J25" s="11" t="s">
        <v>272</v>
      </c>
      <c r="K25" s="11" t="s">
        <v>258</v>
      </c>
      <c r="L25" s="11" t="s">
        <v>27</v>
      </c>
      <c r="N25" s="11" t="s">
        <v>1144</v>
      </c>
      <c r="O25" s="11" t="s">
        <v>1145</v>
      </c>
      <c r="P25" s="11" t="s">
        <v>1144</v>
      </c>
      <c r="Q25" s="11" t="s">
        <v>1145</v>
      </c>
      <c r="R25" s="11" t="s">
        <v>766</v>
      </c>
      <c r="S25" s="11" t="n">
        <v>1</v>
      </c>
      <c r="V25" s="11" t="s">
        <v>27</v>
      </c>
    </row>
    <row r="26" customFormat="false" ht="15" hidden="false" customHeight="false" outlineLevel="0" collapsed="false">
      <c r="A26" s="2" t="s">
        <v>4370</v>
      </c>
      <c r="B26" s="11" t="s">
        <v>2060</v>
      </c>
      <c r="C26" s="11" t="s">
        <v>4279</v>
      </c>
      <c r="D26" s="11" t="s">
        <v>883</v>
      </c>
      <c r="E26" s="11" t="s">
        <v>4358</v>
      </c>
      <c r="J26" s="11" t="s">
        <v>272</v>
      </c>
      <c r="K26" s="11" t="s">
        <v>258</v>
      </c>
      <c r="L26" s="11" t="s">
        <v>27</v>
      </c>
      <c r="N26" s="11" t="s">
        <v>1144</v>
      </c>
      <c r="O26" s="11" t="s">
        <v>1145</v>
      </c>
      <c r="P26" s="11" t="s">
        <v>1144</v>
      </c>
      <c r="Q26" s="11" t="s">
        <v>1145</v>
      </c>
      <c r="R26" s="11" t="s">
        <v>766</v>
      </c>
      <c r="S26" s="11" t="n">
        <v>1</v>
      </c>
      <c r="V26" s="11" t="s">
        <v>27</v>
      </c>
    </row>
    <row r="27" customFormat="false" ht="15" hidden="false" customHeight="false" outlineLevel="0" collapsed="false">
      <c r="A27" s="2" t="s">
        <v>4371</v>
      </c>
      <c r="B27" s="11" t="s">
        <v>2060</v>
      </c>
      <c r="C27" s="11" t="s">
        <v>4302</v>
      </c>
      <c r="D27" s="11" t="s">
        <v>847</v>
      </c>
      <c r="F27" s="11" t="n">
        <v>25000</v>
      </c>
      <c r="I27" s="11" t="s">
        <v>4360</v>
      </c>
      <c r="J27" s="11" t="s">
        <v>272</v>
      </c>
      <c r="K27" s="11" t="s">
        <v>258</v>
      </c>
      <c r="L27" s="11" t="s">
        <v>27</v>
      </c>
      <c r="N27" s="11" t="s">
        <v>1144</v>
      </c>
      <c r="O27" s="11" t="s">
        <v>1145</v>
      </c>
      <c r="P27" s="11" t="s">
        <v>1144</v>
      </c>
      <c r="Q27" s="11" t="s">
        <v>1145</v>
      </c>
      <c r="R27" s="11" t="s">
        <v>766</v>
      </c>
      <c r="S27" s="11" t="n">
        <v>1</v>
      </c>
      <c r="V27" s="11" t="s">
        <v>27</v>
      </c>
    </row>
    <row r="28" customFormat="false" ht="15" hidden="false" customHeight="false" outlineLevel="0" collapsed="false">
      <c r="A28" s="2" t="s">
        <v>4372</v>
      </c>
      <c r="B28" s="11" t="s">
        <v>2060</v>
      </c>
      <c r="C28" s="11" t="s">
        <v>4327</v>
      </c>
      <c r="D28" s="11" t="s">
        <v>897</v>
      </c>
      <c r="H28" s="11" t="s">
        <v>258</v>
      </c>
      <c r="J28" s="11" t="s">
        <v>272</v>
      </c>
      <c r="K28" s="11" t="s">
        <v>272</v>
      </c>
      <c r="L28" s="11" t="s">
        <v>27</v>
      </c>
      <c r="N28" s="11" t="s">
        <v>1144</v>
      </c>
      <c r="O28" s="11" t="s">
        <v>1145</v>
      </c>
      <c r="P28" s="11" t="s">
        <v>1144</v>
      </c>
      <c r="Q28" s="11" t="s">
        <v>1145</v>
      </c>
      <c r="R28" s="11" t="s">
        <v>766</v>
      </c>
      <c r="S28" s="11" t="n">
        <v>1</v>
      </c>
      <c r="V28" s="11" t="s">
        <v>27</v>
      </c>
    </row>
    <row r="29" customFormat="false" ht="15" hidden="false" customHeight="false" outlineLevel="0" collapsed="false">
      <c r="A29" s="2" t="s">
        <v>4373</v>
      </c>
      <c r="B29" s="11" t="s">
        <v>2060</v>
      </c>
      <c r="C29" s="11" t="s">
        <v>4311</v>
      </c>
      <c r="D29" s="11" t="s">
        <v>897</v>
      </c>
      <c r="H29" s="11" t="s">
        <v>258</v>
      </c>
      <c r="J29" s="11" t="s">
        <v>272</v>
      </c>
      <c r="K29" s="11" t="s">
        <v>258</v>
      </c>
      <c r="L29" s="11" t="s">
        <v>27</v>
      </c>
      <c r="N29" s="11" t="s">
        <v>1144</v>
      </c>
      <c r="O29" s="11" t="s">
        <v>1145</v>
      </c>
      <c r="P29" s="11" t="s">
        <v>1144</v>
      </c>
      <c r="Q29" s="11" t="s">
        <v>1145</v>
      </c>
      <c r="R29" s="11" t="s">
        <v>766</v>
      </c>
      <c r="S29" s="11" t="n">
        <v>1</v>
      </c>
      <c r="V29" s="11" t="s">
        <v>27</v>
      </c>
    </row>
    <row r="30" customFormat="false" ht="15" hidden="false" customHeight="false" outlineLevel="0" collapsed="false">
      <c r="A30" s="2" t="s">
        <v>4374</v>
      </c>
      <c r="B30" s="11" t="s">
        <v>2075</v>
      </c>
      <c r="C30" s="11" t="s">
        <v>4279</v>
      </c>
      <c r="D30" s="11" t="s">
        <v>883</v>
      </c>
      <c r="E30" s="11" t="s">
        <v>848</v>
      </c>
      <c r="J30" s="11" t="s">
        <v>272</v>
      </c>
      <c r="K30" s="11" t="s">
        <v>258</v>
      </c>
      <c r="L30" s="11" t="s">
        <v>27</v>
      </c>
      <c r="N30" s="11" t="s">
        <v>1144</v>
      </c>
      <c r="O30" s="11" t="s">
        <v>1145</v>
      </c>
      <c r="P30" s="11" t="s">
        <v>1144</v>
      </c>
      <c r="Q30" s="11" t="s">
        <v>1145</v>
      </c>
      <c r="R30" s="11" t="s">
        <v>766</v>
      </c>
      <c r="S30" s="11" t="n">
        <v>1</v>
      </c>
      <c r="V30" s="11" t="s">
        <v>27</v>
      </c>
    </row>
    <row r="31" customFormat="false" ht="15" hidden="false" customHeight="false" outlineLevel="0" collapsed="false">
      <c r="A31" s="2" t="s">
        <v>4375</v>
      </c>
      <c r="B31" s="11" t="s">
        <v>2075</v>
      </c>
      <c r="C31" s="11" t="s">
        <v>4302</v>
      </c>
      <c r="D31" s="11" t="s">
        <v>847</v>
      </c>
      <c r="F31" s="11" t="n">
        <v>50000</v>
      </c>
      <c r="I31" s="11" t="s">
        <v>4360</v>
      </c>
      <c r="J31" s="11" t="s">
        <v>272</v>
      </c>
      <c r="K31" s="11" t="s">
        <v>272</v>
      </c>
      <c r="L31" s="11" t="s">
        <v>27</v>
      </c>
      <c r="N31" s="11" t="s">
        <v>1144</v>
      </c>
      <c r="O31" s="11" t="s">
        <v>1145</v>
      </c>
      <c r="P31" s="11" t="s">
        <v>1144</v>
      </c>
      <c r="Q31" s="11" t="s">
        <v>1145</v>
      </c>
      <c r="R31" s="11" t="s">
        <v>766</v>
      </c>
      <c r="S31" s="11" t="n">
        <v>1</v>
      </c>
      <c r="V31" s="11" t="s">
        <v>27</v>
      </c>
    </row>
    <row r="32" customFormat="false" ht="15" hidden="false" customHeight="false" outlineLevel="0" collapsed="false">
      <c r="A32" s="2" t="s">
        <v>4376</v>
      </c>
      <c r="B32" s="11" t="s">
        <v>2084</v>
      </c>
      <c r="C32" s="11" t="s">
        <v>4279</v>
      </c>
      <c r="D32" s="11" t="s">
        <v>883</v>
      </c>
      <c r="E32" s="11" t="s">
        <v>1520</v>
      </c>
      <c r="J32" s="11" t="s">
        <v>272</v>
      </c>
      <c r="K32" s="11" t="s">
        <v>258</v>
      </c>
      <c r="L32" s="11" t="s">
        <v>27</v>
      </c>
      <c r="N32" s="11" t="s">
        <v>1144</v>
      </c>
      <c r="O32" s="11" t="s">
        <v>1145</v>
      </c>
      <c r="P32" s="11" t="s">
        <v>1144</v>
      </c>
      <c r="Q32" s="11" t="s">
        <v>1145</v>
      </c>
      <c r="R32" s="11" t="s">
        <v>766</v>
      </c>
      <c r="S32" s="11" t="n">
        <v>1</v>
      </c>
      <c r="V32" s="11" t="s">
        <v>27</v>
      </c>
    </row>
    <row r="33" customFormat="false" ht="15" hidden="false" customHeight="false" outlineLevel="0" collapsed="false">
      <c r="A33" s="2" t="s">
        <v>4377</v>
      </c>
      <c r="B33" s="11" t="s">
        <v>2084</v>
      </c>
      <c r="C33" s="11" t="s">
        <v>4302</v>
      </c>
      <c r="D33" s="11" t="s">
        <v>847</v>
      </c>
      <c r="F33" s="11" t="n">
        <v>100000</v>
      </c>
      <c r="I33" s="11" t="s">
        <v>4360</v>
      </c>
      <c r="J33" s="11" t="s">
        <v>272</v>
      </c>
      <c r="K33" s="11" t="s">
        <v>272</v>
      </c>
      <c r="L33" s="11" t="s">
        <v>27</v>
      </c>
      <c r="N33" s="11" t="s">
        <v>1144</v>
      </c>
      <c r="O33" s="11" t="s">
        <v>1145</v>
      </c>
      <c r="P33" s="11" t="s">
        <v>1144</v>
      </c>
      <c r="Q33" s="11" t="s">
        <v>1145</v>
      </c>
      <c r="R33" s="11" t="s">
        <v>766</v>
      </c>
      <c r="S33" s="11" t="n">
        <v>1</v>
      </c>
      <c r="V33" s="11" t="s">
        <v>27</v>
      </c>
    </row>
    <row r="34" customFormat="false" ht="15" hidden="false" customHeight="false" outlineLevel="0" collapsed="false">
      <c r="A34" s="2" t="s">
        <v>4378</v>
      </c>
      <c r="B34" s="11" t="s">
        <v>2099</v>
      </c>
      <c r="C34" s="11" t="s">
        <v>4279</v>
      </c>
      <c r="D34" s="11" t="s">
        <v>883</v>
      </c>
      <c r="E34" s="11" t="s">
        <v>1520</v>
      </c>
      <c r="J34" s="11" t="s">
        <v>272</v>
      </c>
      <c r="K34" s="11" t="s">
        <v>258</v>
      </c>
      <c r="L34" s="11" t="s">
        <v>27</v>
      </c>
      <c r="N34" s="11" t="s">
        <v>1144</v>
      </c>
      <c r="O34" s="11" t="s">
        <v>1145</v>
      </c>
      <c r="P34" s="11" t="s">
        <v>1144</v>
      </c>
      <c r="Q34" s="11" t="s">
        <v>1145</v>
      </c>
      <c r="R34" s="11" t="s">
        <v>766</v>
      </c>
      <c r="S34" s="11" t="n">
        <v>1</v>
      </c>
      <c r="V34" s="11" t="s">
        <v>27</v>
      </c>
    </row>
    <row r="35" customFormat="false" ht="15" hidden="false" customHeight="false" outlineLevel="0" collapsed="false">
      <c r="A35" s="2" t="s">
        <v>4379</v>
      </c>
      <c r="B35" s="11" t="s">
        <v>2099</v>
      </c>
      <c r="C35" s="11" t="s">
        <v>4302</v>
      </c>
      <c r="D35" s="11" t="s">
        <v>847</v>
      </c>
      <c r="F35" s="11" t="n">
        <v>10000</v>
      </c>
      <c r="I35" s="11" t="s">
        <v>4360</v>
      </c>
      <c r="J35" s="11" t="s">
        <v>272</v>
      </c>
      <c r="K35" s="11" t="s">
        <v>272</v>
      </c>
      <c r="L35" s="11" t="s">
        <v>27</v>
      </c>
      <c r="N35" s="11" t="s">
        <v>1144</v>
      </c>
      <c r="O35" s="11" t="s">
        <v>1145</v>
      </c>
      <c r="P35" s="11" t="s">
        <v>1144</v>
      </c>
      <c r="Q35" s="11" t="s">
        <v>1145</v>
      </c>
      <c r="R35" s="11" t="s">
        <v>766</v>
      </c>
      <c r="S35" s="11" t="n">
        <v>1</v>
      </c>
      <c r="V35" s="11" t="s">
        <v>27</v>
      </c>
    </row>
    <row r="36" customFormat="false" ht="15" hidden="false" customHeight="false" outlineLevel="0" collapsed="false">
      <c r="A36" s="2" t="s">
        <v>4380</v>
      </c>
      <c r="B36" s="11" t="s">
        <v>2099</v>
      </c>
      <c r="C36" s="11" t="s">
        <v>4327</v>
      </c>
      <c r="D36" s="11" t="s">
        <v>897</v>
      </c>
      <c r="H36" s="11" t="s">
        <v>258</v>
      </c>
      <c r="J36" s="11" t="s">
        <v>272</v>
      </c>
      <c r="K36" s="11" t="s">
        <v>272</v>
      </c>
      <c r="L36" s="11" t="s">
        <v>27</v>
      </c>
      <c r="N36" s="11" t="s">
        <v>1144</v>
      </c>
      <c r="O36" s="11" t="s">
        <v>1145</v>
      </c>
      <c r="P36" s="11" t="s">
        <v>1144</v>
      </c>
      <c r="Q36" s="11" t="s">
        <v>1145</v>
      </c>
      <c r="R36" s="11" t="s">
        <v>766</v>
      </c>
      <c r="S36" s="11" t="n">
        <v>1</v>
      </c>
      <c r="V36" s="11" t="s">
        <v>27</v>
      </c>
    </row>
    <row r="37" customFormat="false" ht="15" hidden="false" customHeight="false" outlineLevel="0" collapsed="false">
      <c r="A37" s="2" t="s">
        <v>4381</v>
      </c>
      <c r="B37" s="11" t="s">
        <v>2207</v>
      </c>
      <c r="C37" s="11" t="s">
        <v>4279</v>
      </c>
      <c r="D37" s="11" t="s">
        <v>883</v>
      </c>
      <c r="E37" s="11" t="s">
        <v>4358</v>
      </c>
      <c r="J37" s="11" t="s">
        <v>272</v>
      </c>
      <c r="K37" s="11" t="s">
        <v>258</v>
      </c>
      <c r="L37" s="11" t="s">
        <v>27</v>
      </c>
      <c r="N37" s="11" t="s">
        <v>1144</v>
      </c>
      <c r="O37" s="11" t="s">
        <v>1145</v>
      </c>
      <c r="P37" s="11" t="s">
        <v>1144</v>
      </c>
      <c r="Q37" s="11" t="s">
        <v>1145</v>
      </c>
      <c r="R37" s="11" t="s">
        <v>766</v>
      </c>
      <c r="S37" s="11" t="n">
        <v>1</v>
      </c>
      <c r="V37" s="11" t="s">
        <v>27</v>
      </c>
    </row>
    <row r="38" customFormat="false" ht="15" hidden="false" customHeight="false" outlineLevel="0" collapsed="false">
      <c r="A38" s="2" t="s">
        <v>4382</v>
      </c>
      <c r="B38" s="11" t="s">
        <v>2207</v>
      </c>
      <c r="C38" s="11" t="s">
        <v>4302</v>
      </c>
      <c r="D38" s="11" t="s">
        <v>847</v>
      </c>
      <c r="F38" s="11" t="n">
        <v>25000</v>
      </c>
      <c r="I38" s="11" t="s">
        <v>4360</v>
      </c>
      <c r="J38" s="11" t="s">
        <v>272</v>
      </c>
      <c r="K38" s="11" t="s">
        <v>272</v>
      </c>
      <c r="L38" s="11" t="s">
        <v>27</v>
      </c>
      <c r="N38" s="11" t="s">
        <v>1144</v>
      </c>
      <c r="O38" s="11" t="s">
        <v>1145</v>
      </c>
      <c r="P38" s="11" t="s">
        <v>1144</v>
      </c>
      <c r="Q38" s="11" t="s">
        <v>1145</v>
      </c>
      <c r="R38" s="11" t="s">
        <v>766</v>
      </c>
      <c r="S38" s="11" t="n">
        <v>1</v>
      </c>
      <c r="V38" s="11" t="s">
        <v>27</v>
      </c>
    </row>
    <row r="39" customFormat="false" ht="15" hidden="false" customHeight="false" outlineLevel="0" collapsed="false">
      <c r="A39" s="2" t="s">
        <v>4383</v>
      </c>
      <c r="B39" s="11" t="s">
        <v>2230</v>
      </c>
      <c r="C39" s="11" t="s">
        <v>4302</v>
      </c>
      <c r="D39" s="11" t="s">
        <v>847</v>
      </c>
      <c r="F39" s="11" t="n">
        <v>50000</v>
      </c>
      <c r="I39" s="11" t="s">
        <v>4360</v>
      </c>
      <c r="J39" s="11" t="s">
        <v>272</v>
      </c>
      <c r="K39" s="11" t="s">
        <v>272</v>
      </c>
      <c r="L39" s="11" t="s">
        <v>27</v>
      </c>
      <c r="N39" s="11" t="s">
        <v>1144</v>
      </c>
      <c r="O39" s="11" t="s">
        <v>1145</v>
      </c>
      <c r="P39" s="11" t="s">
        <v>1144</v>
      </c>
      <c r="Q39" s="11" t="s">
        <v>1145</v>
      </c>
      <c r="R39" s="11" t="s">
        <v>766</v>
      </c>
      <c r="S39" s="11" t="n">
        <v>1</v>
      </c>
      <c r="V39" s="11" t="s">
        <v>27</v>
      </c>
    </row>
    <row r="40" customFormat="false" ht="15" hidden="false" customHeight="false" outlineLevel="0" collapsed="false">
      <c r="A40" s="2" t="s">
        <v>4384</v>
      </c>
      <c r="B40" s="11" t="s">
        <v>2236</v>
      </c>
      <c r="C40" s="11" t="s">
        <v>4279</v>
      </c>
      <c r="D40" s="11" t="s">
        <v>883</v>
      </c>
      <c r="E40" s="11" t="s">
        <v>1517</v>
      </c>
      <c r="J40" s="11" t="s">
        <v>272</v>
      </c>
      <c r="K40" s="11" t="s">
        <v>258</v>
      </c>
      <c r="L40" s="11" t="s">
        <v>27</v>
      </c>
      <c r="N40" s="11" t="s">
        <v>1144</v>
      </c>
      <c r="O40" s="11" t="s">
        <v>1145</v>
      </c>
      <c r="P40" s="11" t="s">
        <v>1144</v>
      </c>
      <c r="Q40" s="11" t="s">
        <v>1145</v>
      </c>
      <c r="R40" s="11" t="s">
        <v>766</v>
      </c>
      <c r="S40" s="11" t="n">
        <v>1</v>
      </c>
      <c r="V40" s="11" t="s">
        <v>27</v>
      </c>
    </row>
    <row r="41" customFormat="false" ht="15" hidden="false" customHeight="false" outlineLevel="0" collapsed="false">
      <c r="A41" s="2" t="s">
        <v>4385</v>
      </c>
      <c r="B41" s="11" t="s">
        <v>2236</v>
      </c>
      <c r="C41" s="11" t="s">
        <v>4302</v>
      </c>
      <c r="D41" s="11" t="s">
        <v>847</v>
      </c>
      <c r="F41" s="11" t="n">
        <v>100000</v>
      </c>
      <c r="I41" s="11" t="s">
        <v>4360</v>
      </c>
      <c r="J41" s="11" t="s">
        <v>272</v>
      </c>
      <c r="K41" s="11" t="s">
        <v>272</v>
      </c>
      <c r="L41" s="11" t="s">
        <v>27</v>
      </c>
      <c r="N41" s="11" t="s">
        <v>1144</v>
      </c>
      <c r="O41" s="11" t="s">
        <v>1145</v>
      </c>
      <c r="P41" s="11" t="s">
        <v>1144</v>
      </c>
      <c r="Q41" s="11" t="s">
        <v>1145</v>
      </c>
      <c r="R41" s="11" t="s">
        <v>766</v>
      </c>
      <c r="S41" s="11" t="n">
        <v>1</v>
      </c>
      <c r="V41" s="11" t="s">
        <v>27</v>
      </c>
    </row>
    <row r="42" customFormat="false" ht="15" hidden="false" customHeight="false" outlineLevel="0" collapsed="false">
      <c r="A42" s="2" t="s">
        <v>4386</v>
      </c>
      <c r="B42" s="11" t="s">
        <v>2236</v>
      </c>
      <c r="C42" s="11" t="s">
        <v>4327</v>
      </c>
      <c r="D42" s="11" t="s">
        <v>897</v>
      </c>
      <c r="H42" s="11" t="s">
        <v>258</v>
      </c>
      <c r="J42" s="11" t="s">
        <v>272</v>
      </c>
      <c r="K42" s="11" t="s">
        <v>272</v>
      </c>
      <c r="L42" s="11" t="s">
        <v>27</v>
      </c>
      <c r="N42" s="11" t="s">
        <v>1144</v>
      </c>
      <c r="O42" s="11" t="s">
        <v>1145</v>
      </c>
      <c r="P42" s="11" t="s">
        <v>1144</v>
      </c>
      <c r="Q42" s="11" t="s">
        <v>1145</v>
      </c>
      <c r="R42" s="11" t="s">
        <v>766</v>
      </c>
      <c r="S42" s="11" t="n">
        <v>1</v>
      </c>
      <c r="V42" s="11" t="s">
        <v>27</v>
      </c>
    </row>
    <row r="43" customFormat="false" ht="15" hidden="false" customHeight="false" outlineLevel="0" collapsed="false">
      <c r="A43" s="2" t="s">
        <v>4387</v>
      </c>
      <c r="B43" s="11" t="s">
        <v>2242</v>
      </c>
      <c r="C43" s="11" t="s">
        <v>4279</v>
      </c>
      <c r="D43" s="11" t="s">
        <v>883</v>
      </c>
      <c r="E43" s="11" t="s">
        <v>4358</v>
      </c>
      <c r="J43" s="11" t="s">
        <v>272</v>
      </c>
      <c r="K43" s="11" t="s">
        <v>258</v>
      </c>
      <c r="L43" s="11" t="s">
        <v>27</v>
      </c>
      <c r="N43" s="11" t="s">
        <v>1144</v>
      </c>
      <c r="O43" s="11" t="s">
        <v>1145</v>
      </c>
      <c r="P43" s="11" t="s">
        <v>1144</v>
      </c>
      <c r="Q43" s="11" t="s">
        <v>1145</v>
      </c>
      <c r="R43" s="11" t="s">
        <v>766</v>
      </c>
      <c r="S43" s="11" t="n">
        <v>1</v>
      </c>
      <c r="V43" s="11" t="s">
        <v>27</v>
      </c>
    </row>
    <row r="44" customFormat="false" ht="15" hidden="false" customHeight="false" outlineLevel="0" collapsed="false">
      <c r="A44" s="2" t="s">
        <v>4388</v>
      </c>
      <c r="B44" s="11" t="s">
        <v>2242</v>
      </c>
      <c r="C44" s="11" t="s">
        <v>4302</v>
      </c>
      <c r="D44" s="11" t="s">
        <v>847</v>
      </c>
      <c r="F44" s="11" t="n">
        <v>10000</v>
      </c>
      <c r="I44" s="11" t="s">
        <v>4360</v>
      </c>
      <c r="J44" s="11" t="s">
        <v>272</v>
      </c>
      <c r="K44" s="11" t="s">
        <v>272</v>
      </c>
      <c r="L44" s="11" t="s">
        <v>27</v>
      </c>
      <c r="N44" s="11" t="s">
        <v>1144</v>
      </c>
      <c r="O44" s="11" t="s">
        <v>1145</v>
      </c>
      <c r="P44" s="11" t="s">
        <v>1144</v>
      </c>
      <c r="Q44" s="11" t="s">
        <v>1145</v>
      </c>
      <c r="R44" s="11" t="s">
        <v>766</v>
      </c>
      <c r="S44" s="11" t="n">
        <v>1</v>
      </c>
      <c r="V44" s="11" t="s">
        <v>27</v>
      </c>
    </row>
    <row r="45" customFormat="false" ht="15" hidden="false" customHeight="false" outlineLevel="0" collapsed="false">
      <c r="A45" s="2" t="s">
        <v>4389</v>
      </c>
      <c r="B45" s="11" t="s">
        <v>2248</v>
      </c>
      <c r="C45" s="11" t="s">
        <v>4279</v>
      </c>
      <c r="D45" s="11" t="s">
        <v>883</v>
      </c>
      <c r="E45" s="11" t="s">
        <v>848</v>
      </c>
      <c r="J45" s="11" t="s">
        <v>272</v>
      </c>
      <c r="K45" s="11" t="s">
        <v>258</v>
      </c>
      <c r="L45" s="11" t="s">
        <v>27</v>
      </c>
      <c r="N45" s="11" t="s">
        <v>1144</v>
      </c>
      <c r="O45" s="11" t="s">
        <v>1145</v>
      </c>
      <c r="P45" s="11" t="s">
        <v>1144</v>
      </c>
      <c r="Q45" s="11" t="s">
        <v>1145</v>
      </c>
      <c r="R45" s="11" t="s">
        <v>766</v>
      </c>
      <c r="S45" s="11" t="n">
        <v>1</v>
      </c>
      <c r="V45" s="11" t="s">
        <v>27</v>
      </c>
    </row>
    <row r="46" customFormat="false" ht="15" hidden="false" customHeight="false" outlineLevel="0" collapsed="false">
      <c r="A46" s="2" t="s">
        <v>4390</v>
      </c>
      <c r="B46" s="11" t="s">
        <v>2248</v>
      </c>
      <c r="C46" s="11" t="s">
        <v>4302</v>
      </c>
      <c r="D46" s="11" t="s">
        <v>847</v>
      </c>
      <c r="F46" s="11" t="n">
        <v>25000</v>
      </c>
      <c r="I46" s="11" t="s">
        <v>4360</v>
      </c>
      <c r="J46" s="11" t="s">
        <v>272</v>
      </c>
      <c r="K46" s="11" t="s">
        <v>258</v>
      </c>
      <c r="L46" s="11" t="s">
        <v>27</v>
      </c>
      <c r="N46" s="11" t="s">
        <v>1144</v>
      </c>
      <c r="O46" s="11" t="s">
        <v>1145</v>
      </c>
      <c r="P46" s="11" t="s">
        <v>1144</v>
      </c>
      <c r="Q46" s="11" t="s">
        <v>1145</v>
      </c>
      <c r="R46" s="11" t="s">
        <v>766</v>
      </c>
      <c r="S46" s="11" t="n">
        <v>1</v>
      </c>
      <c r="V46" s="11" t="s">
        <v>27</v>
      </c>
    </row>
    <row r="47" customFormat="false" ht="15" hidden="false" customHeight="false" outlineLevel="0" collapsed="false">
      <c r="A47" s="2" t="s">
        <v>4391</v>
      </c>
      <c r="B47" s="11" t="s">
        <v>2254</v>
      </c>
      <c r="C47" s="11" t="s">
        <v>4279</v>
      </c>
      <c r="D47" s="11" t="s">
        <v>883</v>
      </c>
      <c r="E47" s="11" t="s">
        <v>848</v>
      </c>
      <c r="J47" s="11" t="s">
        <v>272</v>
      </c>
      <c r="K47" s="11" t="s">
        <v>258</v>
      </c>
      <c r="L47" s="11" t="s">
        <v>27</v>
      </c>
      <c r="N47" s="11" t="s">
        <v>1144</v>
      </c>
      <c r="O47" s="11" t="s">
        <v>1145</v>
      </c>
      <c r="P47" s="11" t="s">
        <v>1144</v>
      </c>
      <c r="Q47" s="11" t="s">
        <v>1145</v>
      </c>
      <c r="R47" s="11" t="s">
        <v>766</v>
      </c>
      <c r="S47" s="11" t="n">
        <v>1</v>
      </c>
      <c r="V47" s="11" t="s">
        <v>27</v>
      </c>
    </row>
    <row r="48" customFormat="false" ht="15" hidden="false" customHeight="false" outlineLevel="0" collapsed="false">
      <c r="A48" s="2" t="s">
        <v>4392</v>
      </c>
      <c r="B48" s="11" t="s">
        <v>2254</v>
      </c>
      <c r="C48" s="11" t="s">
        <v>4302</v>
      </c>
      <c r="D48" s="11" t="s">
        <v>847</v>
      </c>
      <c r="F48" s="11" t="n">
        <v>50000</v>
      </c>
      <c r="I48" s="11" t="s">
        <v>4360</v>
      </c>
      <c r="J48" s="11" t="s">
        <v>272</v>
      </c>
      <c r="K48" s="11" t="s">
        <v>258</v>
      </c>
      <c r="L48" s="11" t="s">
        <v>27</v>
      </c>
      <c r="N48" s="11" t="s">
        <v>1144</v>
      </c>
      <c r="O48" s="11" t="s">
        <v>1145</v>
      </c>
      <c r="P48" s="11" t="s">
        <v>1144</v>
      </c>
      <c r="Q48" s="11" t="s">
        <v>1145</v>
      </c>
      <c r="R48" s="11" t="s">
        <v>766</v>
      </c>
      <c r="S48" s="11" t="n">
        <v>1</v>
      </c>
      <c r="V48" s="11" t="s">
        <v>27</v>
      </c>
    </row>
    <row r="49" customFormat="false" ht="15" hidden="false" customHeight="false" outlineLevel="0" collapsed="false">
      <c r="A49" s="2" t="s">
        <v>4393</v>
      </c>
      <c r="B49" s="11" t="s">
        <v>2254</v>
      </c>
      <c r="C49" s="11" t="s">
        <v>4327</v>
      </c>
      <c r="D49" s="11" t="s">
        <v>897</v>
      </c>
      <c r="H49" s="11" t="s">
        <v>258</v>
      </c>
      <c r="J49" s="11" t="s">
        <v>272</v>
      </c>
      <c r="K49" s="11" t="s">
        <v>272</v>
      </c>
      <c r="L49" s="11" t="s">
        <v>27</v>
      </c>
      <c r="N49" s="11" t="s">
        <v>1144</v>
      </c>
      <c r="O49" s="11" t="s">
        <v>1145</v>
      </c>
      <c r="P49" s="11" t="s">
        <v>1144</v>
      </c>
      <c r="Q49" s="11" t="s">
        <v>1145</v>
      </c>
      <c r="R49" s="11" t="s">
        <v>766</v>
      </c>
      <c r="S49" s="11" t="n">
        <v>1</v>
      </c>
      <c r="V49" s="11" t="s">
        <v>27</v>
      </c>
    </row>
    <row r="50" customFormat="false" ht="15" hidden="false" customHeight="false" outlineLevel="0" collapsed="false">
      <c r="A50" s="2" t="s">
        <v>4394</v>
      </c>
      <c r="B50" s="11" t="s">
        <v>2260</v>
      </c>
      <c r="C50" s="11" t="s">
        <v>4279</v>
      </c>
      <c r="D50" s="11" t="s">
        <v>883</v>
      </c>
      <c r="E50" s="11" t="s">
        <v>4358</v>
      </c>
      <c r="J50" s="11" t="s">
        <v>272</v>
      </c>
      <c r="K50" s="11" t="s">
        <v>258</v>
      </c>
      <c r="L50" s="11" t="s">
        <v>27</v>
      </c>
      <c r="N50" s="11" t="s">
        <v>1144</v>
      </c>
      <c r="O50" s="11" t="s">
        <v>1145</v>
      </c>
      <c r="P50" s="11" t="s">
        <v>1144</v>
      </c>
      <c r="Q50" s="11" t="s">
        <v>1145</v>
      </c>
      <c r="R50" s="11" t="s">
        <v>766</v>
      </c>
      <c r="S50" s="11" t="n">
        <v>1</v>
      </c>
      <c r="V50" s="11" t="s">
        <v>27</v>
      </c>
    </row>
    <row r="51" customFormat="false" ht="15" hidden="false" customHeight="false" outlineLevel="0" collapsed="false">
      <c r="A51" s="2" t="s">
        <v>4395</v>
      </c>
      <c r="B51" s="11" t="s">
        <v>2260</v>
      </c>
      <c r="C51" s="11" t="s">
        <v>4302</v>
      </c>
      <c r="D51" s="11" t="s">
        <v>847</v>
      </c>
      <c r="F51" s="11" t="n">
        <v>100000</v>
      </c>
      <c r="I51" s="11" t="s">
        <v>4360</v>
      </c>
      <c r="J51" s="11" t="s">
        <v>272</v>
      </c>
      <c r="K51" s="11" t="s">
        <v>272</v>
      </c>
      <c r="L51" s="11" t="s">
        <v>27</v>
      </c>
      <c r="N51" s="11" t="s">
        <v>1144</v>
      </c>
      <c r="O51" s="11" t="s">
        <v>1145</v>
      </c>
      <c r="P51" s="11" t="s">
        <v>1144</v>
      </c>
      <c r="Q51" s="11" t="s">
        <v>1145</v>
      </c>
      <c r="R51" s="11" t="s">
        <v>766</v>
      </c>
      <c r="S51" s="11" t="n">
        <v>1</v>
      </c>
      <c r="V51" s="11" t="s">
        <v>27</v>
      </c>
    </row>
    <row r="52" customFormat="false" ht="15" hidden="false" customHeight="false" outlineLevel="0" collapsed="false">
      <c r="A52" s="2" t="s">
        <v>4396</v>
      </c>
      <c r="B52" s="11" t="s">
        <v>2260</v>
      </c>
      <c r="C52" s="11" t="s">
        <v>4311</v>
      </c>
      <c r="D52" s="11" t="s">
        <v>897</v>
      </c>
      <c r="H52" s="11" t="s">
        <v>258</v>
      </c>
      <c r="J52" s="11" t="s">
        <v>272</v>
      </c>
      <c r="K52" s="11" t="s">
        <v>258</v>
      </c>
      <c r="L52" s="11" t="s">
        <v>27</v>
      </c>
      <c r="N52" s="11" t="s">
        <v>1144</v>
      </c>
      <c r="O52" s="11" t="s">
        <v>1145</v>
      </c>
      <c r="P52" s="11" t="s">
        <v>1144</v>
      </c>
      <c r="Q52" s="11" t="s">
        <v>1145</v>
      </c>
      <c r="R52" s="11" t="s">
        <v>766</v>
      </c>
      <c r="S52" s="11" t="n">
        <v>1</v>
      </c>
      <c r="V52" s="11" t="s">
        <v>27</v>
      </c>
    </row>
    <row r="53" customFormat="false" ht="15" hidden="false" customHeight="false" outlineLevel="0" collapsed="false">
      <c r="A53" s="2" t="s">
        <v>4397</v>
      </c>
      <c r="B53" s="11" t="s">
        <v>2265</v>
      </c>
      <c r="C53" s="11" t="s">
        <v>4279</v>
      </c>
      <c r="D53" s="11" t="s">
        <v>883</v>
      </c>
      <c r="E53" s="11" t="s">
        <v>4358</v>
      </c>
      <c r="J53" s="11" t="s">
        <v>272</v>
      </c>
      <c r="K53" s="11" t="s">
        <v>258</v>
      </c>
      <c r="L53" s="11" t="s">
        <v>27</v>
      </c>
      <c r="N53" s="11" t="s">
        <v>1144</v>
      </c>
      <c r="O53" s="11" t="s">
        <v>1145</v>
      </c>
      <c r="P53" s="11" t="s">
        <v>1144</v>
      </c>
      <c r="Q53" s="11" t="s">
        <v>1145</v>
      </c>
      <c r="R53" s="11" t="s">
        <v>766</v>
      </c>
      <c r="S53" s="11" t="n">
        <v>1</v>
      </c>
      <c r="V53" s="11" t="s">
        <v>27</v>
      </c>
    </row>
    <row r="54" customFormat="false" ht="15" hidden="false" customHeight="false" outlineLevel="0" collapsed="false">
      <c r="A54" s="2" t="s">
        <v>4398</v>
      </c>
      <c r="B54" s="11" t="s">
        <v>2265</v>
      </c>
      <c r="C54" s="11" t="s">
        <v>4302</v>
      </c>
      <c r="D54" s="11" t="s">
        <v>847</v>
      </c>
      <c r="F54" s="11" t="n">
        <v>10000</v>
      </c>
      <c r="I54" s="11" t="s">
        <v>4360</v>
      </c>
      <c r="J54" s="11" t="s">
        <v>272</v>
      </c>
      <c r="K54" s="11" t="s">
        <v>258</v>
      </c>
      <c r="L54" s="11" t="s">
        <v>27</v>
      </c>
      <c r="N54" s="11" t="s">
        <v>1144</v>
      </c>
      <c r="O54" s="11" t="s">
        <v>1145</v>
      </c>
      <c r="P54" s="11" t="s">
        <v>1144</v>
      </c>
      <c r="Q54" s="11" t="s">
        <v>1145</v>
      </c>
      <c r="R54" s="11" t="s">
        <v>766</v>
      </c>
      <c r="S54" s="11" t="n">
        <v>1</v>
      </c>
      <c r="V54" s="11" t="s">
        <v>27</v>
      </c>
    </row>
    <row r="55" customFormat="false" ht="15" hidden="false" customHeight="false" outlineLevel="0" collapsed="false">
      <c r="A55" s="2" t="s">
        <v>4399</v>
      </c>
      <c r="B55" s="11" t="s">
        <v>2345</v>
      </c>
      <c r="C55" s="11" t="s">
        <v>4279</v>
      </c>
      <c r="D55" s="11" t="s">
        <v>883</v>
      </c>
      <c r="E55" s="11" t="s">
        <v>4358</v>
      </c>
      <c r="J55" s="11" t="s">
        <v>272</v>
      </c>
      <c r="K55" s="11" t="s">
        <v>258</v>
      </c>
      <c r="L55" s="11" t="s">
        <v>27</v>
      </c>
      <c r="N55" s="11" t="s">
        <v>1144</v>
      </c>
      <c r="O55" s="11" t="s">
        <v>1145</v>
      </c>
      <c r="P55" s="11" t="s">
        <v>1144</v>
      </c>
      <c r="Q55" s="11" t="s">
        <v>1145</v>
      </c>
      <c r="R55" s="11" t="s">
        <v>766</v>
      </c>
      <c r="S55" s="11" t="n">
        <v>1</v>
      </c>
      <c r="V55" s="11" t="s">
        <v>27</v>
      </c>
    </row>
    <row r="56" customFormat="false" ht="15" hidden="false" customHeight="false" outlineLevel="0" collapsed="false">
      <c r="A56" s="2" t="s">
        <v>4400</v>
      </c>
      <c r="B56" s="11" t="s">
        <v>2345</v>
      </c>
      <c r="C56" s="11" t="s">
        <v>4302</v>
      </c>
      <c r="D56" s="11" t="s">
        <v>847</v>
      </c>
      <c r="F56" s="11" t="n">
        <v>25000</v>
      </c>
      <c r="I56" s="11" t="s">
        <v>4360</v>
      </c>
      <c r="J56" s="11" t="s">
        <v>272</v>
      </c>
      <c r="K56" s="11" t="s">
        <v>272</v>
      </c>
      <c r="L56" s="11" t="s">
        <v>27</v>
      </c>
      <c r="N56" s="11" t="s">
        <v>1144</v>
      </c>
      <c r="O56" s="11" t="s">
        <v>1145</v>
      </c>
      <c r="P56" s="11" t="s">
        <v>1144</v>
      </c>
      <c r="Q56" s="11" t="s">
        <v>1145</v>
      </c>
      <c r="R56" s="11" t="s">
        <v>766</v>
      </c>
      <c r="S56" s="11" t="n">
        <v>1</v>
      </c>
      <c r="V56" s="11" t="s">
        <v>27</v>
      </c>
    </row>
    <row r="57" customFormat="false" ht="15" hidden="false" customHeight="false" outlineLevel="0" collapsed="false">
      <c r="A57" s="2" t="s">
        <v>4401</v>
      </c>
      <c r="B57" s="11" t="s">
        <v>2345</v>
      </c>
      <c r="C57" s="11" t="s">
        <v>4327</v>
      </c>
      <c r="D57" s="11" t="s">
        <v>897</v>
      </c>
      <c r="H57" s="11" t="s">
        <v>258</v>
      </c>
      <c r="J57" s="11" t="s">
        <v>272</v>
      </c>
      <c r="K57" s="11" t="s">
        <v>272</v>
      </c>
      <c r="L57" s="11" t="s">
        <v>27</v>
      </c>
      <c r="N57" s="11" t="s">
        <v>1144</v>
      </c>
      <c r="O57" s="11" t="s">
        <v>1145</v>
      </c>
      <c r="P57" s="11" t="s">
        <v>1144</v>
      </c>
      <c r="Q57" s="11" t="s">
        <v>1145</v>
      </c>
      <c r="R57" s="11" t="s">
        <v>766</v>
      </c>
      <c r="S57" s="11" t="n">
        <v>1</v>
      </c>
      <c r="V57" s="11" t="s">
        <v>27</v>
      </c>
    </row>
    <row r="58" customFormat="false" ht="15" hidden="false" customHeight="false" outlineLevel="0" collapsed="false">
      <c r="A58" s="2" t="s">
        <v>4402</v>
      </c>
      <c r="B58" s="11" t="s">
        <v>2352</v>
      </c>
      <c r="C58" s="11" t="s">
        <v>4279</v>
      </c>
      <c r="D58" s="11" t="s">
        <v>883</v>
      </c>
      <c r="E58" s="11" t="s">
        <v>4358</v>
      </c>
      <c r="J58" s="11" t="s">
        <v>272</v>
      </c>
      <c r="K58" s="11" t="s">
        <v>258</v>
      </c>
      <c r="L58" s="11" t="s">
        <v>27</v>
      </c>
      <c r="N58" s="11" t="s">
        <v>1144</v>
      </c>
      <c r="O58" s="11" t="s">
        <v>1145</v>
      </c>
      <c r="P58" s="11" t="s">
        <v>1144</v>
      </c>
      <c r="Q58" s="11" t="s">
        <v>1145</v>
      </c>
      <c r="R58" s="11" t="s">
        <v>766</v>
      </c>
      <c r="S58" s="11" t="n">
        <v>1</v>
      </c>
      <c r="V58" s="11" t="s">
        <v>27</v>
      </c>
    </row>
    <row r="59" customFormat="false" ht="15" hidden="false" customHeight="false" outlineLevel="0" collapsed="false">
      <c r="A59" s="2" t="s">
        <v>4403</v>
      </c>
      <c r="B59" s="11" t="s">
        <v>2352</v>
      </c>
      <c r="C59" s="11" t="s">
        <v>4302</v>
      </c>
      <c r="D59" s="11" t="s">
        <v>847</v>
      </c>
      <c r="F59" s="11" t="n">
        <v>50000</v>
      </c>
      <c r="I59" s="11" t="s">
        <v>4360</v>
      </c>
      <c r="J59" s="11" t="s">
        <v>272</v>
      </c>
      <c r="K59" s="11" t="s">
        <v>272</v>
      </c>
      <c r="L59" s="11" t="s">
        <v>27</v>
      </c>
      <c r="N59" s="11" t="s">
        <v>1144</v>
      </c>
      <c r="O59" s="11" t="s">
        <v>1145</v>
      </c>
      <c r="P59" s="11" t="s">
        <v>1144</v>
      </c>
      <c r="Q59" s="11" t="s">
        <v>1145</v>
      </c>
      <c r="R59" s="11" t="s">
        <v>766</v>
      </c>
      <c r="S59" s="11" t="n">
        <v>1</v>
      </c>
      <c r="V59" s="11" t="s">
        <v>27</v>
      </c>
    </row>
    <row r="60" customFormat="false" ht="15" hidden="false" customHeight="false" outlineLevel="0" collapsed="false">
      <c r="A60" s="2" t="s">
        <v>4404</v>
      </c>
      <c r="B60" s="11" t="s">
        <v>2359</v>
      </c>
      <c r="C60" s="11" t="s">
        <v>4279</v>
      </c>
      <c r="D60" s="11" t="s">
        <v>883</v>
      </c>
      <c r="E60" s="11" t="s">
        <v>1517</v>
      </c>
      <c r="J60" s="11" t="s">
        <v>272</v>
      </c>
      <c r="K60" s="11" t="s">
        <v>258</v>
      </c>
      <c r="L60" s="11" t="s">
        <v>27</v>
      </c>
      <c r="N60" s="11" t="s">
        <v>1144</v>
      </c>
      <c r="O60" s="11" t="s">
        <v>1145</v>
      </c>
      <c r="P60" s="11" t="s">
        <v>1144</v>
      </c>
      <c r="Q60" s="11" t="s">
        <v>1145</v>
      </c>
      <c r="R60" s="11" t="s">
        <v>766</v>
      </c>
      <c r="S60" s="11" t="n">
        <v>1</v>
      </c>
      <c r="V60" s="11" t="s">
        <v>27</v>
      </c>
    </row>
    <row r="61" customFormat="false" ht="15" hidden="false" customHeight="false" outlineLevel="0" collapsed="false">
      <c r="A61" s="2" t="s">
        <v>4405</v>
      </c>
      <c r="B61" s="11" t="s">
        <v>2359</v>
      </c>
      <c r="C61" s="11" t="s">
        <v>4302</v>
      </c>
      <c r="D61" s="11" t="s">
        <v>847</v>
      </c>
      <c r="F61" s="11" t="n">
        <v>100000</v>
      </c>
      <c r="I61" s="11" t="s">
        <v>4360</v>
      </c>
      <c r="J61" s="11" t="s">
        <v>272</v>
      </c>
      <c r="K61" s="11" t="s">
        <v>272</v>
      </c>
      <c r="L61" s="11" t="s">
        <v>27</v>
      </c>
      <c r="N61" s="11" t="s">
        <v>1144</v>
      </c>
      <c r="O61" s="11" t="s">
        <v>1145</v>
      </c>
      <c r="P61" s="11" t="s">
        <v>1144</v>
      </c>
      <c r="Q61" s="11" t="s">
        <v>1145</v>
      </c>
      <c r="R61" s="11" t="s">
        <v>766</v>
      </c>
      <c r="S61" s="11" t="n">
        <v>1</v>
      </c>
      <c r="V61" s="11" t="s">
        <v>27</v>
      </c>
    </row>
    <row r="62" customFormat="false" ht="15" hidden="false" customHeight="false" outlineLevel="0" collapsed="false">
      <c r="A62" s="2" t="s">
        <v>4406</v>
      </c>
      <c r="B62" s="11" t="s">
        <v>2366</v>
      </c>
      <c r="C62" s="11" t="s">
        <v>4279</v>
      </c>
      <c r="D62" s="11" t="s">
        <v>883</v>
      </c>
      <c r="E62" s="11" t="s">
        <v>1520</v>
      </c>
      <c r="J62" s="11" t="s">
        <v>272</v>
      </c>
      <c r="K62" s="11" t="s">
        <v>258</v>
      </c>
      <c r="L62" s="11" t="s">
        <v>27</v>
      </c>
      <c r="N62" s="11" t="s">
        <v>1144</v>
      </c>
      <c r="O62" s="11" t="s">
        <v>1145</v>
      </c>
      <c r="P62" s="11" t="s">
        <v>1144</v>
      </c>
      <c r="Q62" s="11" t="s">
        <v>1145</v>
      </c>
      <c r="R62" s="11" t="s">
        <v>766</v>
      </c>
      <c r="S62" s="11" t="n">
        <v>1</v>
      </c>
      <c r="V62" s="11" t="s">
        <v>27</v>
      </c>
    </row>
    <row r="63" customFormat="false" ht="15" hidden="false" customHeight="false" outlineLevel="0" collapsed="false">
      <c r="A63" s="2" t="s">
        <v>4407</v>
      </c>
      <c r="B63" s="11" t="s">
        <v>2366</v>
      </c>
      <c r="C63" s="11" t="s">
        <v>4302</v>
      </c>
      <c r="D63" s="11" t="s">
        <v>847</v>
      </c>
      <c r="F63" s="11" t="n">
        <v>10000</v>
      </c>
      <c r="I63" s="11" t="s">
        <v>4360</v>
      </c>
      <c r="J63" s="11" t="s">
        <v>272</v>
      </c>
      <c r="K63" s="11" t="s">
        <v>272</v>
      </c>
      <c r="L63" s="11" t="s">
        <v>27</v>
      </c>
      <c r="N63" s="11" t="s">
        <v>1144</v>
      </c>
      <c r="O63" s="11" t="s">
        <v>1145</v>
      </c>
      <c r="P63" s="11" t="s">
        <v>1144</v>
      </c>
      <c r="Q63" s="11" t="s">
        <v>1145</v>
      </c>
      <c r="R63" s="11" t="s">
        <v>766</v>
      </c>
      <c r="S63" s="11" t="n">
        <v>1</v>
      </c>
      <c r="V63" s="11" t="s">
        <v>27</v>
      </c>
    </row>
    <row r="64" customFormat="false" ht="15" hidden="false" customHeight="false" outlineLevel="0" collapsed="false">
      <c r="A64" s="2" t="s">
        <v>4408</v>
      </c>
      <c r="B64" s="11" t="s">
        <v>2366</v>
      </c>
      <c r="C64" s="11" t="s">
        <v>4327</v>
      </c>
      <c r="D64" s="11" t="s">
        <v>897</v>
      </c>
      <c r="H64" s="11" t="s">
        <v>258</v>
      </c>
      <c r="J64" s="11" t="s">
        <v>272</v>
      </c>
      <c r="K64" s="11" t="s">
        <v>272</v>
      </c>
      <c r="L64" s="11" t="s">
        <v>27</v>
      </c>
      <c r="N64" s="11" t="s">
        <v>1144</v>
      </c>
      <c r="O64" s="11" t="s">
        <v>1145</v>
      </c>
      <c r="P64" s="11" t="s">
        <v>1144</v>
      </c>
      <c r="Q64" s="11" t="s">
        <v>1145</v>
      </c>
      <c r="R64" s="11" t="s">
        <v>766</v>
      </c>
      <c r="S64" s="11" t="n">
        <v>1</v>
      </c>
      <c r="V64" s="11" t="s">
        <v>27</v>
      </c>
    </row>
    <row r="65" customFormat="false" ht="15" hidden="false" customHeight="false" outlineLevel="0" collapsed="false">
      <c r="A65" s="2" t="s">
        <v>4409</v>
      </c>
      <c r="B65" s="11" t="s">
        <v>2380</v>
      </c>
      <c r="C65" s="11" t="s">
        <v>4279</v>
      </c>
      <c r="D65" s="11" t="s">
        <v>883</v>
      </c>
      <c r="E65" s="11" t="s">
        <v>1517</v>
      </c>
      <c r="J65" s="11" t="s">
        <v>272</v>
      </c>
      <c r="K65" s="11" t="s">
        <v>258</v>
      </c>
      <c r="L65" s="11" t="s">
        <v>27</v>
      </c>
      <c r="N65" s="11" t="s">
        <v>1144</v>
      </c>
      <c r="O65" s="11" t="s">
        <v>1145</v>
      </c>
      <c r="P65" s="11" t="s">
        <v>1144</v>
      </c>
      <c r="Q65" s="11" t="s">
        <v>1145</v>
      </c>
      <c r="R65" s="11" t="s">
        <v>766</v>
      </c>
      <c r="S65" s="11" t="n">
        <v>1</v>
      </c>
      <c r="V65" s="11" t="s">
        <v>27</v>
      </c>
    </row>
    <row r="66" customFormat="false" ht="15" hidden="false" customHeight="false" outlineLevel="0" collapsed="false">
      <c r="A66" s="2" t="s">
        <v>4410</v>
      </c>
      <c r="B66" s="11" t="s">
        <v>2380</v>
      </c>
      <c r="C66" s="11" t="s">
        <v>4302</v>
      </c>
      <c r="D66" s="11" t="s">
        <v>847</v>
      </c>
      <c r="F66" s="11" t="n">
        <v>25000</v>
      </c>
      <c r="I66" s="11" t="s">
        <v>4360</v>
      </c>
      <c r="J66" s="11" t="s">
        <v>272</v>
      </c>
      <c r="K66" s="11" t="s">
        <v>258</v>
      </c>
      <c r="L66" s="11" t="s">
        <v>27</v>
      </c>
      <c r="N66" s="11" t="s">
        <v>1144</v>
      </c>
      <c r="O66" s="11" t="s">
        <v>1145</v>
      </c>
      <c r="P66" s="11" t="s">
        <v>1144</v>
      </c>
      <c r="Q66" s="11" t="s">
        <v>1145</v>
      </c>
      <c r="R66" s="11" t="s">
        <v>766</v>
      </c>
      <c r="S66" s="11" t="n">
        <v>1</v>
      </c>
      <c r="V66" s="11" t="s">
        <v>27</v>
      </c>
    </row>
    <row r="67" customFormat="false" ht="15" hidden="false" customHeight="false" outlineLevel="0" collapsed="false">
      <c r="A67" s="2" t="s">
        <v>4411</v>
      </c>
      <c r="B67" s="11" t="s">
        <v>2387</v>
      </c>
      <c r="C67" s="11" t="s">
        <v>4279</v>
      </c>
      <c r="D67" s="11" t="s">
        <v>883</v>
      </c>
      <c r="E67" s="11" t="s">
        <v>1520</v>
      </c>
      <c r="J67" s="11" t="s">
        <v>272</v>
      </c>
      <c r="K67" s="11" t="s">
        <v>258</v>
      </c>
      <c r="L67" s="11" t="s">
        <v>27</v>
      </c>
      <c r="N67" s="11" t="s">
        <v>1144</v>
      </c>
      <c r="O67" s="11" t="s">
        <v>1145</v>
      </c>
      <c r="P67" s="11" t="s">
        <v>1144</v>
      </c>
      <c r="Q67" s="11" t="s">
        <v>1145</v>
      </c>
      <c r="R67" s="11" t="s">
        <v>766</v>
      </c>
      <c r="S67" s="11" t="n">
        <v>1</v>
      </c>
      <c r="V67" s="11" t="s">
        <v>27</v>
      </c>
    </row>
    <row r="68" customFormat="false" ht="15" hidden="false" customHeight="false" outlineLevel="0" collapsed="false">
      <c r="A68" s="2" t="s">
        <v>4412</v>
      </c>
      <c r="B68" s="11" t="s">
        <v>2387</v>
      </c>
      <c r="C68" s="11" t="s">
        <v>4302</v>
      </c>
      <c r="D68" s="11" t="s">
        <v>847</v>
      </c>
      <c r="F68" s="11" t="n">
        <v>50000</v>
      </c>
      <c r="I68" s="11" t="s">
        <v>4360</v>
      </c>
      <c r="J68" s="11" t="s">
        <v>272</v>
      </c>
      <c r="K68" s="11" t="s">
        <v>272</v>
      </c>
      <c r="L68" s="11" t="s">
        <v>27</v>
      </c>
      <c r="N68" s="11" t="s">
        <v>1144</v>
      </c>
      <c r="O68" s="11" t="s">
        <v>1145</v>
      </c>
      <c r="P68" s="11" t="s">
        <v>1144</v>
      </c>
      <c r="Q68" s="11" t="s">
        <v>1145</v>
      </c>
      <c r="R68" s="11" t="s">
        <v>766</v>
      </c>
      <c r="S68" s="11" t="n">
        <v>1</v>
      </c>
      <c r="V68" s="11" t="s">
        <v>27</v>
      </c>
    </row>
    <row r="69" customFormat="false" ht="15" hidden="false" customHeight="false" outlineLevel="0" collapsed="false">
      <c r="A69" s="2" t="s">
        <v>4413</v>
      </c>
      <c r="B69" s="11" t="s">
        <v>2462</v>
      </c>
      <c r="C69" s="11" t="s">
        <v>4279</v>
      </c>
      <c r="D69" s="11" t="s">
        <v>883</v>
      </c>
      <c r="E69" s="11" t="s">
        <v>848</v>
      </c>
      <c r="J69" s="11" t="s">
        <v>272</v>
      </c>
      <c r="K69" s="11" t="s">
        <v>258</v>
      </c>
      <c r="L69" s="11" t="s">
        <v>27</v>
      </c>
      <c r="N69" s="11" t="s">
        <v>1144</v>
      </c>
      <c r="O69" s="11" t="s">
        <v>1145</v>
      </c>
      <c r="P69" s="11" t="s">
        <v>1144</v>
      </c>
      <c r="Q69" s="11" t="s">
        <v>1145</v>
      </c>
      <c r="R69" s="11" t="s">
        <v>766</v>
      </c>
      <c r="S69" s="11" t="n">
        <v>1</v>
      </c>
      <c r="V69" s="11" t="s">
        <v>27</v>
      </c>
    </row>
    <row r="70" customFormat="false" ht="15" hidden="false" customHeight="false" outlineLevel="0" collapsed="false">
      <c r="A70" s="2" t="s">
        <v>4414</v>
      </c>
      <c r="B70" s="11" t="s">
        <v>2462</v>
      </c>
      <c r="C70" s="11" t="s">
        <v>4302</v>
      </c>
      <c r="D70" s="11" t="s">
        <v>847</v>
      </c>
      <c r="F70" s="11" t="n">
        <v>100000</v>
      </c>
      <c r="I70" s="11" t="s">
        <v>4360</v>
      </c>
      <c r="J70" s="11" t="s">
        <v>272</v>
      </c>
      <c r="K70" s="11" t="s">
        <v>272</v>
      </c>
      <c r="L70" s="11" t="s">
        <v>27</v>
      </c>
      <c r="N70" s="11" t="s">
        <v>1144</v>
      </c>
      <c r="O70" s="11" t="s">
        <v>1145</v>
      </c>
      <c r="P70" s="11" t="s">
        <v>1144</v>
      </c>
      <c r="Q70" s="11" t="s">
        <v>1145</v>
      </c>
      <c r="R70" s="11" t="s">
        <v>766</v>
      </c>
      <c r="S70" s="11" t="n">
        <v>1</v>
      </c>
      <c r="V70" s="11" t="s">
        <v>27</v>
      </c>
    </row>
    <row r="71" customFormat="false" ht="15" hidden="false" customHeight="false" outlineLevel="0" collapsed="false">
      <c r="A71" s="2" t="s">
        <v>4415</v>
      </c>
      <c r="B71" s="11" t="s">
        <v>2462</v>
      </c>
      <c r="C71" s="11" t="s">
        <v>4327</v>
      </c>
      <c r="D71" s="11" t="s">
        <v>897</v>
      </c>
      <c r="H71" s="11" t="s">
        <v>258</v>
      </c>
      <c r="J71" s="11" t="s">
        <v>272</v>
      </c>
      <c r="K71" s="11" t="s">
        <v>272</v>
      </c>
      <c r="L71" s="11" t="s">
        <v>27</v>
      </c>
      <c r="N71" s="11" t="s">
        <v>1144</v>
      </c>
      <c r="O71" s="11" t="s">
        <v>1145</v>
      </c>
      <c r="P71" s="11" t="s">
        <v>1144</v>
      </c>
      <c r="Q71" s="11" t="s">
        <v>1145</v>
      </c>
      <c r="R71" s="11" t="s">
        <v>766</v>
      </c>
      <c r="S71" s="11" t="n">
        <v>1</v>
      </c>
      <c r="V71" s="11" t="s">
        <v>27</v>
      </c>
    </row>
    <row r="72" customFormat="false" ht="15" hidden="false" customHeight="false" outlineLevel="0" collapsed="false">
      <c r="A72" s="2" t="s">
        <v>4416</v>
      </c>
      <c r="B72" s="11" t="s">
        <v>2473</v>
      </c>
      <c r="C72" s="11" t="s">
        <v>4279</v>
      </c>
      <c r="D72" s="11" t="s">
        <v>883</v>
      </c>
      <c r="E72" s="11" t="s">
        <v>1517</v>
      </c>
      <c r="J72" s="11" t="s">
        <v>272</v>
      </c>
      <c r="K72" s="11" t="s">
        <v>258</v>
      </c>
      <c r="L72" s="11" t="s">
        <v>27</v>
      </c>
      <c r="N72" s="11" t="s">
        <v>1144</v>
      </c>
      <c r="O72" s="11" t="s">
        <v>1145</v>
      </c>
      <c r="P72" s="11" t="s">
        <v>1144</v>
      </c>
      <c r="Q72" s="11" t="s">
        <v>1145</v>
      </c>
      <c r="R72" s="11" t="s">
        <v>766</v>
      </c>
      <c r="S72" s="11" t="n">
        <v>1</v>
      </c>
      <c r="V72" s="11" t="s">
        <v>27</v>
      </c>
    </row>
    <row r="73" customFormat="false" ht="15" hidden="false" customHeight="false" outlineLevel="0" collapsed="false">
      <c r="A73" s="2" t="s">
        <v>4417</v>
      </c>
      <c r="B73" s="11" t="s">
        <v>2473</v>
      </c>
      <c r="C73" s="11" t="s">
        <v>4302</v>
      </c>
      <c r="D73" s="11" t="s">
        <v>847</v>
      </c>
      <c r="F73" s="11" t="n">
        <v>10000</v>
      </c>
      <c r="I73" s="11" t="s">
        <v>4360</v>
      </c>
      <c r="J73" s="11" t="s">
        <v>272</v>
      </c>
      <c r="K73" s="11" t="s">
        <v>272</v>
      </c>
      <c r="L73" s="11" t="s">
        <v>27</v>
      </c>
      <c r="N73" s="11" t="s">
        <v>1144</v>
      </c>
      <c r="O73" s="11" t="s">
        <v>1145</v>
      </c>
      <c r="P73" s="11" t="s">
        <v>1144</v>
      </c>
      <c r="Q73" s="11" t="s">
        <v>1145</v>
      </c>
      <c r="R73" s="11" t="s">
        <v>766</v>
      </c>
      <c r="S73" s="11" t="n">
        <v>1</v>
      </c>
      <c r="V73" s="11" t="s">
        <v>27</v>
      </c>
    </row>
    <row r="74" customFormat="false" ht="15" hidden="false" customHeight="false" outlineLevel="0" collapsed="false">
      <c r="A74" s="2" t="s">
        <v>4418</v>
      </c>
      <c r="B74" s="11" t="s">
        <v>2479</v>
      </c>
      <c r="C74" s="11" t="s">
        <v>4279</v>
      </c>
      <c r="D74" s="11" t="s">
        <v>883</v>
      </c>
      <c r="E74" s="11" t="s">
        <v>1517</v>
      </c>
      <c r="J74" s="11" t="s">
        <v>272</v>
      </c>
      <c r="K74" s="11" t="s">
        <v>258</v>
      </c>
      <c r="L74" s="11" t="s">
        <v>27</v>
      </c>
      <c r="N74" s="11" t="s">
        <v>1144</v>
      </c>
      <c r="O74" s="11" t="s">
        <v>1145</v>
      </c>
      <c r="P74" s="11" t="s">
        <v>1144</v>
      </c>
      <c r="Q74" s="11" t="s">
        <v>1145</v>
      </c>
      <c r="R74" s="11" t="s">
        <v>766</v>
      </c>
      <c r="S74" s="11" t="n">
        <v>1</v>
      </c>
      <c r="V74" s="11" t="s">
        <v>27</v>
      </c>
    </row>
    <row r="75" customFormat="false" ht="15" hidden="false" customHeight="false" outlineLevel="0" collapsed="false">
      <c r="A75" s="2" t="s">
        <v>4419</v>
      </c>
      <c r="B75" s="11" t="s">
        <v>2479</v>
      </c>
      <c r="C75" s="11" t="s">
        <v>4302</v>
      </c>
      <c r="D75" s="11" t="s">
        <v>847</v>
      </c>
      <c r="F75" s="11" t="n">
        <v>25000</v>
      </c>
      <c r="I75" s="11" t="s">
        <v>4360</v>
      </c>
      <c r="J75" s="11" t="s">
        <v>272</v>
      </c>
      <c r="K75" s="11" t="s">
        <v>272</v>
      </c>
      <c r="L75" s="11" t="s">
        <v>27</v>
      </c>
      <c r="N75" s="11" t="s">
        <v>1144</v>
      </c>
      <c r="O75" s="11" t="s">
        <v>1145</v>
      </c>
      <c r="P75" s="11" t="s">
        <v>1144</v>
      </c>
      <c r="Q75" s="11" t="s">
        <v>1145</v>
      </c>
      <c r="R75" s="11" t="s">
        <v>766</v>
      </c>
      <c r="S75" s="11" t="n">
        <v>1</v>
      </c>
      <c r="V75" s="11" t="s">
        <v>27</v>
      </c>
    </row>
    <row r="76" customFormat="false" ht="15" hidden="false" customHeight="false" outlineLevel="0" collapsed="false">
      <c r="A76" s="2" t="s">
        <v>4420</v>
      </c>
      <c r="B76" s="11" t="s">
        <v>2485</v>
      </c>
      <c r="C76" s="11" t="s">
        <v>4279</v>
      </c>
      <c r="D76" s="11" t="s">
        <v>883</v>
      </c>
      <c r="E76" s="11" t="s">
        <v>1520</v>
      </c>
      <c r="J76" s="11" t="s">
        <v>272</v>
      </c>
      <c r="K76" s="11" t="s">
        <v>258</v>
      </c>
      <c r="L76" s="11" t="s">
        <v>27</v>
      </c>
      <c r="N76" s="11" t="s">
        <v>1144</v>
      </c>
      <c r="O76" s="11" t="s">
        <v>1145</v>
      </c>
      <c r="P76" s="11" t="s">
        <v>1144</v>
      </c>
      <c r="Q76" s="11" t="s">
        <v>1145</v>
      </c>
      <c r="R76" s="11" t="s">
        <v>766</v>
      </c>
      <c r="S76" s="11" t="n">
        <v>1</v>
      </c>
      <c r="V76" s="11" t="s">
        <v>27</v>
      </c>
    </row>
    <row r="77" customFormat="false" ht="15" hidden="false" customHeight="false" outlineLevel="0" collapsed="false">
      <c r="A77" s="2" t="s">
        <v>4421</v>
      </c>
      <c r="B77" s="11" t="s">
        <v>2485</v>
      </c>
      <c r="C77" s="11" t="s">
        <v>4302</v>
      </c>
      <c r="D77" s="11" t="s">
        <v>847</v>
      </c>
      <c r="F77" s="11" t="n">
        <v>50000</v>
      </c>
      <c r="I77" s="11" t="s">
        <v>4360</v>
      </c>
      <c r="J77" s="11" t="s">
        <v>272</v>
      </c>
      <c r="K77" s="11" t="s">
        <v>258</v>
      </c>
      <c r="L77" s="11" t="s">
        <v>27</v>
      </c>
      <c r="N77" s="11" t="s">
        <v>1144</v>
      </c>
      <c r="O77" s="11" t="s">
        <v>1145</v>
      </c>
      <c r="P77" s="11" t="s">
        <v>1144</v>
      </c>
      <c r="Q77" s="11" t="s">
        <v>1145</v>
      </c>
      <c r="R77" s="11" t="s">
        <v>766</v>
      </c>
      <c r="S77" s="11" t="n">
        <v>1</v>
      </c>
      <c r="V77" s="11" t="s">
        <v>27</v>
      </c>
    </row>
    <row r="78" customFormat="false" ht="15" hidden="false" customHeight="false" outlineLevel="0" collapsed="false">
      <c r="A78" s="2" t="s">
        <v>4422</v>
      </c>
      <c r="B78" s="11" t="s">
        <v>2485</v>
      </c>
      <c r="C78" s="11" t="s">
        <v>4327</v>
      </c>
      <c r="D78" s="11" t="s">
        <v>897</v>
      </c>
      <c r="H78" s="11" t="s">
        <v>258</v>
      </c>
      <c r="J78" s="11" t="s">
        <v>272</v>
      </c>
      <c r="K78" s="11" t="s">
        <v>272</v>
      </c>
      <c r="L78" s="11" t="s">
        <v>27</v>
      </c>
      <c r="N78" s="11" t="s">
        <v>1144</v>
      </c>
      <c r="O78" s="11" t="s">
        <v>1145</v>
      </c>
      <c r="P78" s="11" t="s">
        <v>1144</v>
      </c>
      <c r="Q78" s="11" t="s">
        <v>1145</v>
      </c>
      <c r="R78" s="11" t="s">
        <v>766</v>
      </c>
      <c r="S78" s="11" t="n">
        <v>1</v>
      </c>
      <c r="V78" s="11" t="s">
        <v>27</v>
      </c>
    </row>
    <row r="79" customFormat="false" ht="15" hidden="false" customHeight="false" outlineLevel="0" collapsed="false">
      <c r="A79" s="2" t="s">
        <v>4423</v>
      </c>
      <c r="B79" s="11" t="s">
        <v>2491</v>
      </c>
      <c r="C79" s="11" t="s">
        <v>4279</v>
      </c>
      <c r="D79" s="11" t="s">
        <v>883</v>
      </c>
      <c r="E79" s="11" t="s">
        <v>848</v>
      </c>
      <c r="J79" s="11" t="s">
        <v>272</v>
      </c>
      <c r="K79" s="11" t="s">
        <v>258</v>
      </c>
      <c r="L79" s="11" t="s">
        <v>27</v>
      </c>
      <c r="N79" s="11" t="s">
        <v>1144</v>
      </c>
      <c r="O79" s="11" t="s">
        <v>1145</v>
      </c>
      <c r="P79" s="11" t="s">
        <v>1144</v>
      </c>
      <c r="Q79" s="11" t="s">
        <v>1145</v>
      </c>
      <c r="R79" s="11" t="s">
        <v>766</v>
      </c>
      <c r="S79" s="11" t="n">
        <v>1</v>
      </c>
      <c r="V79" s="11" t="s">
        <v>27</v>
      </c>
    </row>
    <row r="80" customFormat="false" ht="15" hidden="false" customHeight="false" outlineLevel="0" collapsed="false">
      <c r="A80" s="2" t="s">
        <v>4424</v>
      </c>
      <c r="B80" s="11" t="s">
        <v>2491</v>
      </c>
      <c r="C80" s="11" t="s">
        <v>4302</v>
      </c>
      <c r="D80" s="11" t="s">
        <v>847</v>
      </c>
      <c r="F80" s="11" t="n">
        <v>100000</v>
      </c>
      <c r="I80" s="11" t="s">
        <v>4360</v>
      </c>
      <c r="J80" s="11" t="s">
        <v>272</v>
      </c>
      <c r="K80" s="11" t="s">
        <v>258</v>
      </c>
      <c r="L80" s="11" t="s">
        <v>27</v>
      </c>
      <c r="N80" s="11" t="s">
        <v>1144</v>
      </c>
      <c r="O80" s="11" t="s">
        <v>1145</v>
      </c>
      <c r="P80" s="11" t="s">
        <v>1144</v>
      </c>
      <c r="Q80" s="11" t="s">
        <v>1145</v>
      </c>
      <c r="R80" s="11" t="s">
        <v>766</v>
      </c>
      <c r="S80" s="11" t="n">
        <v>1</v>
      </c>
      <c r="V80" s="11" t="s">
        <v>27</v>
      </c>
    </row>
    <row r="81" customFormat="false" ht="15" hidden="false" customHeight="false" outlineLevel="0" collapsed="false">
      <c r="A81" s="2" t="s">
        <v>4425</v>
      </c>
      <c r="B81" s="11" t="s">
        <v>2514</v>
      </c>
      <c r="C81" s="11" t="s">
        <v>4279</v>
      </c>
      <c r="D81" s="11" t="s">
        <v>883</v>
      </c>
      <c r="E81" s="11" t="s">
        <v>4358</v>
      </c>
      <c r="J81" s="11" t="s">
        <v>272</v>
      </c>
      <c r="K81" s="11" t="s">
        <v>258</v>
      </c>
      <c r="L81" s="11" t="s">
        <v>27</v>
      </c>
      <c r="N81" s="11" t="s">
        <v>1144</v>
      </c>
      <c r="O81" s="11" t="s">
        <v>1145</v>
      </c>
      <c r="P81" s="11" t="s">
        <v>1144</v>
      </c>
      <c r="Q81" s="11" t="s">
        <v>1145</v>
      </c>
      <c r="R81" s="11" t="s">
        <v>766</v>
      </c>
      <c r="S81" s="11" t="n">
        <v>1</v>
      </c>
      <c r="V81" s="11" t="s">
        <v>27</v>
      </c>
    </row>
    <row r="82" customFormat="false" ht="15" hidden="false" customHeight="false" outlineLevel="0" collapsed="false">
      <c r="A82" s="2" t="s">
        <v>4426</v>
      </c>
      <c r="B82" s="11" t="s">
        <v>2514</v>
      </c>
      <c r="C82" s="11" t="s">
        <v>4302</v>
      </c>
      <c r="D82" s="11" t="s">
        <v>847</v>
      </c>
      <c r="F82" s="11" t="n">
        <v>10000</v>
      </c>
      <c r="I82" s="11" t="s">
        <v>4360</v>
      </c>
      <c r="J82" s="11" t="s">
        <v>272</v>
      </c>
      <c r="K82" s="11" t="s">
        <v>272</v>
      </c>
      <c r="L82" s="11" t="s">
        <v>27</v>
      </c>
      <c r="N82" s="11" t="s">
        <v>1144</v>
      </c>
      <c r="O82" s="11" t="s">
        <v>1145</v>
      </c>
      <c r="P82" s="11" t="s">
        <v>1144</v>
      </c>
      <c r="Q82" s="11" t="s">
        <v>1145</v>
      </c>
      <c r="R82" s="11" t="s">
        <v>766</v>
      </c>
      <c r="S82" s="11" t="n">
        <v>1</v>
      </c>
      <c r="V82" s="11" t="s">
        <v>27</v>
      </c>
    </row>
    <row r="83" customFormat="false" ht="15" hidden="false" customHeight="false" outlineLevel="0" collapsed="false">
      <c r="A83" s="2" t="s">
        <v>4427</v>
      </c>
      <c r="B83" s="11" t="s">
        <v>2514</v>
      </c>
      <c r="C83" s="11" t="s">
        <v>4311</v>
      </c>
      <c r="D83" s="11" t="s">
        <v>897</v>
      </c>
      <c r="H83" s="11" t="s">
        <v>258</v>
      </c>
      <c r="J83" s="11" t="s">
        <v>272</v>
      </c>
      <c r="K83" s="11" t="s">
        <v>258</v>
      </c>
      <c r="L83" s="11" t="s">
        <v>27</v>
      </c>
      <c r="N83" s="11" t="s">
        <v>1144</v>
      </c>
      <c r="O83" s="11" t="s">
        <v>1145</v>
      </c>
      <c r="P83" s="11" t="s">
        <v>1144</v>
      </c>
      <c r="Q83" s="11" t="s">
        <v>1145</v>
      </c>
      <c r="R83" s="11" t="s">
        <v>766</v>
      </c>
      <c r="S83" s="11" t="n">
        <v>1</v>
      </c>
      <c r="V83" s="11" t="s">
        <v>27</v>
      </c>
    </row>
  </sheetData>
  <autoFilter ref="A1:V83"/>
  <dataValidations count="8">
    <dataValidation allowBlank="true" error="Kies een waarde uit de lijst of voeg haar eerst toe aan de bronlijst." errorStyle="stop" errorTitle="Onbekende waarde" operator="between" showDropDown="false" showErrorMessage="true" showInputMessage="false" sqref="B2:B1083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83" type="list">
      <formula1>voorwaardetype!$B$2:$B$2000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83" type="list">
      <formula1>Keuzelijsten!$R$5:$R$60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H2:H1083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83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83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M2:M1083" type="list">
      <formula1>bron!$B$2:$B$2000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R2:R1083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27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614</v>
      </c>
      <c r="B1" s="13" t="s">
        <v>615</v>
      </c>
      <c r="C1" s="13" t="s">
        <v>264</v>
      </c>
      <c r="D1" s="14" t="s">
        <v>617</v>
      </c>
      <c r="E1" s="14" t="s">
        <v>619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4428</v>
      </c>
      <c r="B2" s="11" t="s">
        <v>784</v>
      </c>
      <c r="C2" s="11" t="s">
        <v>4429</v>
      </c>
      <c r="F2" s="11" t="s">
        <v>985</v>
      </c>
      <c r="G2" s="11" t="s">
        <v>2020</v>
      </c>
      <c r="H2" s="11" t="s">
        <v>985</v>
      </c>
      <c r="I2" s="11" t="s">
        <v>2020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4430</v>
      </c>
      <c r="B3" s="11" t="s">
        <v>809</v>
      </c>
      <c r="C3" s="11" t="s">
        <v>4431</v>
      </c>
      <c r="F3" s="11" t="s">
        <v>985</v>
      </c>
      <c r="G3" s="11" t="s">
        <v>2020</v>
      </c>
      <c r="H3" s="11" t="s">
        <v>985</v>
      </c>
      <c r="I3" s="11" t="s">
        <v>2020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4432</v>
      </c>
      <c r="B4" s="11" t="s">
        <v>831</v>
      </c>
      <c r="C4" s="11" t="s">
        <v>4433</v>
      </c>
      <c r="F4" s="11" t="s">
        <v>985</v>
      </c>
      <c r="G4" s="11" t="s">
        <v>2020</v>
      </c>
      <c r="H4" s="11" t="s">
        <v>985</v>
      </c>
      <c r="I4" s="11" t="s">
        <v>2020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4434</v>
      </c>
      <c r="B5" s="11" t="s">
        <v>757</v>
      </c>
      <c r="C5" s="11" t="s">
        <v>2753</v>
      </c>
      <c r="F5" s="11" t="s">
        <v>985</v>
      </c>
      <c r="G5" s="11" t="s">
        <v>2020</v>
      </c>
      <c r="H5" s="11" t="s">
        <v>985</v>
      </c>
      <c r="I5" s="11" t="s">
        <v>2020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4435</v>
      </c>
      <c r="B6" s="11" t="s">
        <v>848</v>
      </c>
      <c r="C6" s="11" t="s">
        <v>4436</v>
      </c>
      <c r="F6" s="11" t="s">
        <v>985</v>
      </c>
      <c r="G6" s="11" t="s">
        <v>2020</v>
      </c>
      <c r="H6" s="11" t="s">
        <v>985</v>
      </c>
      <c r="I6" s="11" t="s">
        <v>2020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4437</v>
      </c>
      <c r="B7" s="11" t="s">
        <v>809</v>
      </c>
      <c r="C7" s="11" t="s">
        <v>4438</v>
      </c>
      <c r="D7" s="11" t="s">
        <v>4439</v>
      </c>
      <c r="E7" s="11" t="s">
        <v>4431</v>
      </c>
      <c r="F7" s="11" t="s">
        <v>1144</v>
      </c>
      <c r="G7" s="11" t="s">
        <v>1145</v>
      </c>
      <c r="H7" s="11" t="s">
        <v>1144</v>
      </c>
      <c r="I7" s="11" t="s">
        <v>1145</v>
      </c>
      <c r="J7" s="11" t="s">
        <v>766</v>
      </c>
      <c r="K7" s="11" t="n">
        <v>1</v>
      </c>
      <c r="N7" s="11" t="s">
        <v>27</v>
      </c>
    </row>
    <row r="8" customFormat="false" ht="15" hidden="false" customHeight="false" outlineLevel="0" collapsed="false">
      <c r="A8" s="2" t="s">
        <v>4440</v>
      </c>
      <c r="B8" s="11" t="s">
        <v>809</v>
      </c>
      <c r="C8" s="11" t="s">
        <v>4441</v>
      </c>
      <c r="D8" s="11" t="s">
        <v>4439</v>
      </c>
      <c r="E8" s="11" t="s">
        <v>4431</v>
      </c>
      <c r="F8" s="11" t="s">
        <v>1144</v>
      </c>
      <c r="G8" s="11" t="s">
        <v>1145</v>
      </c>
      <c r="H8" s="11" t="s">
        <v>1144</v>
      </c>
      <c r="I8" s="11" t="s">
        <v>1145</v>
      </c>
      <c r="J8" s="11" t="s">
        <v>766</v>
      </c>
      <c r="K8" s="11" t="n">
        <v>1</v>
      </c>
      <c r="N8" s="11" t="s">
        <v>27</v>
      </c>
    </row>
    <row r="9" customFormat="false" ht="15" hidden="false" customHeight="false" outlineLevel="0" collapsed="false">
      <c r="A9" s="2" t="s">
        <v>4442</v>
      </c>
      <c r="B9" s="11" t="s">
        <v>809</v>
      </c>
      <c r="C9" s="11" t="s">
        <v>4443</v>
      </c>
      <c r="D9" s="11" t="s">
        <v>4439</v>
      </c>
      <c r="E9" s="11" t="s">
        <v>4431</v>
      </c>
      <c r="F9" s="11" t="s">
        <v>1144</v>
      </c>
      <c r="G9" s="11" t="s">
        <v>1145</v>
      </c>
      <c r="H9" s="11" t="s">
        <v>1144</v>
      </c>
      <c r="I9" s="11" t="s">
        <v>1145</v>
      </c>
      <c r="J9" s="11" t="s">
        <v>766</v>
      </c>
      <c r="K9" s="11" t="n">
        <v>1</v>
      </c>
      <c r="N9" s="11" t="s">
        <v>27</v>
      </c>
    </row>
    <row r="10" customFormat="false" ht="15" hidden="false" customHeight="false" outlineLevel="0" collapsed="false">
      <c r="A10" s="2" t="s">
        <v>4444</v>
      </c>
      <c r="B10" s="11" t="s">
        <v>809</v>
      </c>
      <c r="C10" s="11" t="s">
        <v>2720</v>
      </c>
      <c r="D10" s="11" t="s">
        <v>4439</v>
      </c>
      <c r="E10" s="11" t="s">
        <v>4431</v>
      </c>
      <c r="F10" s="11" t="s">
        <v>1144</v>
      </c>
      <c r="G10" s="11" t="s">
        <v>1145</v>
      </c>
      <c r="H10" s="11" t="s">
        <v>1144</v>
      </c>
      <c r="I10" s="11" t="s">
        <v>1145</v>
      </c>
      <c r="J10" s="11" t="s">
        <v>766</v>
      </c>
      <c r="K10" s="11" t="n">
        <v>1</v>
      </c>
      <c r="N10" s="11" t="s">
        <v>27</v>
      </c>
    </row>
    <row r="11" customFormat="false" ht="15" hidden="false" customHeight="false" outlineLevel="0" collapsed="false">
      <c r="A11" s="2" t="s">
        <v>4445</v>
      </c>
      <c r="B11" s="11" t="s">
        <v>848</v>
      </c>
      <c r="C11" s="11" t="s">
        <v>4446</v>
      </c>
      <c r="D11" s="11" t="s">
        <v>4439</v>
      </c>
      <c r="E11" s="11" t="s">
        <v>4436</v>
      </c>
      <c r="F11" s="11" t="s">
        <v>1144</v>
      </c>
      <c r="G11" s="11" t="s">
        <v>1145</v>
      </c>
      <c r="H11" s="11" t="s">
        <v>1144</v>
      </c>
      <c r="I11" s="11" t="s">
        <v>1145</v>
      </c>
      <c r="J11" s="11" t="s">
        <v>766</v>
      </c>
      <c r="K11" s="11" t="n">
        <v>1</v>
      </c>
      <c r="N11" s="11" t="s">
        <v>27</v>
      </c>
    </row>
    <row r="12" customFormat="false" ht="15" hidden="false" customHeight="false" outlineLevel="0" collapsed="false">
      <c r="A12" s="2" t="s">
        <v>4447</v>
      </c>
      <c r="B12" s="11" t="s">
        <v>848</v>
      </c>
      <c r="C12" s="11" t="s">
        <v>2671</v>
      </c>
      <c r="D12" s="11" t="s">
        <v>4439</v>
      </c>
      <c r="E12" s="11" t="s">
        <v>4436</v>
      </c>
      <c r="F12" s="11" t="s">
        <v>1144</v>
      </c>
      <c r="G12" s="11" t="s">
        <v>1145</v>
      </c>
      <c r="H12" s="11" t="s">
        <v>1144</v>
      </c>
      <c r="I12" s="11" t="s">
        <v>1145</v>
      </c>
      <c r="J12" s="11" t="s">
        <v>766</v>
      </c>
      <c r="K12" s="11" t="n">
        <v>1</v>
      </c>
      <c r="N12" s="11" t="s">
        <v>27</v>
      </c>
    </row>
  </sheetData>
  <autoFilter ref="A1:N12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B2:B1012" type="list">
      <formula1>Keuzelijsten!$S$5:$S$60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12" type="list">
      <formula1>werkingsgebied!$C$2:$C$2000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12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621</v>
      </c>
      <c r="B1" s="13" t="s">
        <v>469</v>
      </c>
      <c r="C1" s="13" t="s">
        <v>614</v>
      </c>
      <c r="D1" s="13" t="s">
        <v>554</v>
      </c>
      <c r="E1" s="14" t="s">
        <v>410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4448</v>
      </c>
      <c r="B2" s="11" t="s">
        <v>2008</v>
      </c>
      <c r="C2" s="11" t="s">
        <v>4429</v>
      </c>
      <c r="D2" s="11" t="s">
        <v>258</v>
      </c>
      <c r="F2" s="11" t="s">
        <v>985</v>
      </c>
      <c r="G2" s="11" t="s">
        <v>2020</v>
      </c>
      <c r="H2" s="11" t="s">
        <v>985</v>
      </c>
      <c r="I2" s="11" t="s">
        <v>2020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4449</v>
      </c>
      <c r="B3" s="11" t="s">
        <v>2023</v>
      </c>
      <c r="C3" s="11" t="s">
        <v>4429</v>
      </c>
      <c r="D3" s="11" t="s">
        <v>258</v>
      </c>
      <c r="F3" s="11" t="s">
        <v>985</v>
      </c>
      <c r="G3" s="11" t="s">
        <v>2020</v>
      </c>
      <c r="H3" s="11" t="s">
        <v>985</v>
      </c>
      <c r="I3" s="11" t="s">
        <v>2020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4450</v>
      </c>
      <c r="B4" s="11" t="s">
        <v>2030</v>
      </c>
      <c r="C4" s="11" t="s">
        <v>4429</v>
      </c>
      <c r="D4" s="11" t="s">
        <v>258</v>
      </c>
      <c r="F4" s="11" t="s">
        <v>985</v>
      </c>
      <c r="G4" s="11" t="s">
        <v>2020</v>
      </c>
      <c r="H4" s="11" t="s">
        <v>985</v>
      </c>
      <c r="I4" s="11" t="s">
        <v>2020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4451</v>
      </c>
      <c r="B5" s="11" t="s">
        <v>2036</v>
      </c>
      <c r="C5" s="11" t="s">
        <v>4429</v>
      </c>
      <c r="D5" s="11" t="s">
        <v>258</v>
      </c>
      <c r="F5" s="11" t="s">
        <v>985</v>
      </c>
      <c r="G5" s="11" t="s">
        <v>2020</v>
      </c>
      <c r="H5" s="11" t="s">
        <v>985</v>
      </c>
      <c r="I5" s="11" t="s">
        <v>2020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4452</v>
      </c>
      <c r="B6" s="11" t="s">
        <v>2045</v>
      </c>
      <c r="C6" s="11" t="s">
        <v>4429</v>
      </c>
      <c r="D6" s="11" t="s">
        <v>258</v>
      </c>
      <c r="F6" s="11" t="s">
        <v>985</v>
      </c>
      <c r="G6" s="11" t="s">
        <v>2020</v>
      </c>
      <c r="H6" s="11" t="s">
        <v>985</v>
      </c>
      <c r="I6" s="11" t="s">
        <v>2020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4453</v>
      </c>
      <c r="B7" s="11" t="s">
        <v>2051</v>
      </c>
      <c r="C7" s="11" t="s">
        <v>4429</v>
      </c>
      <c r="D7" s="11" t="s">
        <v>258</v>
      </c>
      <c r="F7" s="11" t="s">
        <v>985</v>
      </c>
      <c r="G7" s="11" t="s">
        <v>2020</v>
      </c>
      <c r="H7" s="11" t="s">
        <v>985</v>
      </c>
      <c r="I7" s="11" t="s">
        <v>2020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4454</v>
      </c>
      <c r="B8" s="11" t="s">
        <v>2060</v>
      </c>
      <c r="C8" s="11" t="s">
        <v>4429</v>
      </c>
      <c r="D8" s="11" t="s">
        <v>258</v>
      </c>
      <c r="F8" s="11" t="s">
        <v>985</v>
      </c>
      <c r="G8" s="11" t="s">
        <v>2020</v>
      </c>
      <c r="H8" s="11" t="s">
        <v>985</v>
      </c>
      <c r="I8" s="11" t="s">
        <v>2020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4455</v>
      </c>
      <c r="B9" s="11" t="s">
        <v>2065</v>
      </c>
      <c r="C9" s="11" t="s">
        <v>4429</v>
      </c>
      <c r="D9" s="11" t="s">
        <v>258</v>
      </c>
      <c r="F9" s="11" t="s">
        <v>985</v>
      </c>
      <c r="G9" s="11" t="s">
        <v>2020</v>
      </c>
      <c r="H9" s="11" t="s">
        <v>985</v>
      </c>
      <c r="I9" s="11" t="s">
        <v>2020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4456</v>
      </c>
      <c r="B10" s="11" t="s">
        <v>2075</v>
      </c>
      <c r="C10" s="11" t="s">
        <v>4429</v>
      </c>
      <c r="D10" s="11" t="s">
        <v>258</v>
      </c>
      <c r="F10" s="11" t="s">
        <v>985</v>
      </c>
      <c r="G10" s="11" t="s">
        <v>2020</v>
      </c>
      <c r="H10" s="11" t="s">
        <v>985</v>
      </c>
      <c r="I10" s="11" t="s">
        <v>2020</v>
      </c>
      <c r="J10" s="11" t="s">
        <v>766</v>
      </c>
      <c r="K10" s="11" t="n">
        <v>1</v>
      </c>
    </row>
    <row r="11" customFormat="false" ht="15" hidden="false" customHeight="false" outlineLevel="0" collapsed="false">
      <c r="A11" s="2" t="s">
        <v>4457</v>
      </c>
      <c r="B11" s="11" t="s">
        <v>2084</v>
      </c>
      <c r="C11" s="11" t="s">
        <v>4429</v>
      </c>
      <c r="D11" s="11" t="s">
        <v>258</v>
      </c>
      <c r="F11" s="11" t="s">
        <v>985</v>
      </c>
      <c r="G11" s="11" t="s">
        <v>2020</v>
      </c>
      <c r="H11" s="11" t="s">
        <v>985</v>
      </c>
      <c r="I11" s="11" t="s">
        <v>2020</v>
      </c>
      <c r="J11" s="11" t="s">
        <v>766</v>
      </c>
      <c r="K11" s="11" t="n">
        <v>1</v>
      </c>
    </row>
    <row r="12" customFormat="false" ht="15" hidden="false" customHeight="false" outlineLevel="0" collapsed="false">
      <c r="A12" s="2" t="s">
        <v>4458</v>
      </c>
      <c r="B12" s="11" t="s">
        <v>2089</v>
      </c>
      <c r="C12" s="11" t="s">
        <v>4429</v>
      </c>
      <c r="D12" s="11" t="s">
        <v>258</v>
      </c>
      <c r="F12" s="11" t="s">
        <v>985</v>
      </c>
      <c r="G12" s="11" t="s">
        <v>2020</v>
      </c>
      <c r="H12" s="11" t="s">
        <v>985</v>
      </c>
      <c r="I12" s="11" t="s">
        <v>2020</v>
      </c>
      <c r="J12" s="11" t="s">
        <v>766</v>
      </c>
      <c r="K12" s="11" t="n">
        <v>1</v>
      </c>
    </row>
    <row r="13" customFormat="false" ht="15" hidden="false" customHeight="false" outlineLevel="0" collapsed="false">
      <c r="A13" s="2" t="s">
        <v>4459</v>
      </c>
      <c r="B13" s="11" t="s">
        <v>2099</v>
      </c>
      <c r="C13" s="11" t="s">
        <v>4429</v>
      </c>
      <c r="D13" s="11" t="s">
        <v>258</v>
      </c>
      <c r="F13" s="11" t="s">
        <v>985</v>
      </c>
      <c r="G13" s="11" t="s">
        <v>2020</v>
      </c>
      <c r="H13" s="11" t="s">
        <v>985</v>
      </c>
      <c r="I13" s="11" t="s">
        <v>2020</v>
      </c>
      <c r="J13" s="11" t="s">
        <v>766</v>
      </c>
      <c r="K13" s="11" t="n">
        <v>1</v>
      </c>
    </row>
    <row r="14" customFormat="false" ht="15" hidden="false" customHeight="false" outlineLevel="0" collapsed="false">
      <c r="A14" s="2" t="s">
        <v>4460</v>
      </c>
      <c r="B14" s="11" t="s">
        <v>2107</v>
      </c>
      <c r="C14" s="11" t="s">
        <v>4429</v>
      </c>
      <c r="D14" s="11" t="s">
        <v>258</v>
      </c>
      <c r="F14" s="11" t="s">
        <v>985</v>
      </c>
      <c r="G14" s="11" t="s">
        <v>2020</v>
      </c>
      <c r="H14" s="11" t="s">
        <v>985</v>
      </c>
      <c r="I14" s="11" t="s">
        <v>2020</v>
      </c>
      <c r="J14" s="11" t="s">
        <v>766</v>
      </c>
      <c r="K14" s="11" t="n">
        <v>1</v>
      </c>
    </row>
    <row r="15" customFormat="false" ht="15" hidden="false" customHeight="false" outlineLevel="0" collapsed="false">
      <c r="A15" s="2" t="s">
        <v>4461</v>
      </c>
      <c r="B15" s="11" t="s">
        <v>2117</v>
      </c>
      <c r="C15" s="11" t="s">
        <v>4429</v>
      </c>
      <c r="D15" s="11" t="s">
        <v>258</v>
      </c>
      <c r="F15" s="11" t="s">
        <v>985</v>
      </c>
      <c r="G15" s="11" t="s">
        <v>2020</v>
      </c>
      <c r="H15" s="11" t="s">
        <v>985</v>
      </c>
      <c r="I15" s="11" t="s">
        <v>2020</v>
      </c>
      <c r="J15" s="11" t="s">
        <v>766</v>
      </c>
      <c r="K15" s="11" t="n">
        <v>1</v>
      </c>
    </row>
    <row r="16" customFormat="false" ht="15" hidden="false" customHeight="false" outlineLevel="0" collapsed="false">
      <c r="A16" s="2" t="s">
        <v>4462</v>
      </c>
      <c r="B16" s="11" t="s">
        <v>2122</v>
      </c>
      <c r="C16" s="11" t="s">
        <v>4429</v>
      </c>
      <c r="D16" s="11" t="s">
        <v>258</v>
      </c>
      <c r="F16" s="11" t="s">
        <v>985</v>
      </c>
      <c r="G16" s="11" t="s">
        <v>2020</v>
      </c>
      <c r="H16" s="11" t="s">
        <v>985</v>
      </c>
      <c r="I16" s="11" t="s">
        <v>2020</v>
      </c>
      <c r="J16" s="11" t="s">
        <v>766</v>
      </c>
      <c r="K16" s="11" t="n">
        <v>1</v>
      </c>
    </row>
    <row r="17" customFormat="false" ht="15" hidden="false" customHeight="false" outlineLevel="0" collapsed="false">
      <c r="A17" s="2" t="s">
        <v>4463</v>
      </c>
      <c r="B17" s="11" t="s">
        <v>2127</v>
      </c>
      <c r="C17" s="11" t="s">
        <v>4429</v>
      </c>
      <c r="D17" s="11" t="s">
        <v>258</v>
      </c>
      <c r="F17" s="11" t="s">
        <v>985</v>
      </c>
      <c r="G17" s="11" t="s">
        <v>2020</v>
      </c>
      <c r="H17" s="11" t="s">
        <v>985</v>
      </c>
      <c r="I17" s="11" t="s">
        <v>2020</v>
      </c>
      <c r="J17" s="11" t="s">
        <v>766</v>
      </c>
      <c r="K17" s="11" t="n">
        <v>1</v>
      </c>
    </row>
    <row r="18" customFormat="false" ht="15" hidden="false" customHeight="false" outlineLevel="0" collapsed="false">
      <c r="A18" s="2" t="s">
        <v>4464</v>
      </c>
      <c r="B18" s="11" t="s">
        <v>2133</v>
      </c>
      <c r="C18" s="11" t="s">
        <v>4429</v>
      </c>
      <c r="D18" s="11" t="s">
        <v>258</v>
      </c>
      <c r="F18" s="11" t="s">
        <v>985</v>
      </c>
      <c r="G18" s="11" t="s">
        <v>2020</v>
      </c>
      <c r="H18" s="11" t="s">
        <v>985</v>
      </c>
      <c r="I18" s="11" t="s">
        <v>2020</v>
      </c>
      <c r="J18" s="11" t="s">
        <v>766</v>
      </c>
      <c r="K18" s="11" t="n">
        <v>1</v>
      </c>
    </row>
    <row r="19" customFormat="false" ht="15" hidden="false" customHeight="false" outlineLevel="0" collapsed="false">
      <c r="A19" s="2" t="s">
        <v>4465</v>
      </c>
      <c r="B19" s="11" t="s">
        <v>2141</v>
      </c>
      <c r="C19" s="11" t="s">
        <v>4429</v>
      </c>
      <c r="D19" s="11" t="s">
        <v>258</v>
      </c>
      <c r="F19" s="11" t="s">
        <v>985</v>
      </c>
      <c r="G19" s="11" t="s">
        <v>2020</v>
      </c>
      <c r="H19" s="11" t="s">
        <v>985</v>
      </c>
      <c r="I19" s="11" t="s">
        <v>2020</v>
      </c>
      <c r="J19" s="11" t="s">
        <v>766</v>
      </c>
      <c r="K19" s="11" t="n">
        <v>1</v>
      </c>
    </row>
    <row r="20" customFormat="false" ht="15" hidden="false" customHeight="false" outlineLevel="0" collapsed="false">
      <c r="A20" s="2" t="s">
        <v>4466</v>
      </c>
      <c r="B20" s="11" t="s">
        <v>2147</v>
      </c>
      <c r="C20" s="11" t="s">
        <v>4429</v>
      </c>
      <c r="D20" s="11" t="s">
        <v>258</v>
      </c>
      <c r="F20" s="11" t="s">
        <v>985</v>
      </c>
      <c r="G20" s="11" t="s">
        <v>2020</v>
      </c>
      <c r="H20" s="11" t="s">
        <v>985</v>
      </c>
      <c r="I20" s="11" t="s">
        <v>2020</v>
      </c>
      <c r="J20" s="11" t="s">
        <v>766</v>
      </c>
      <c r="K20" s="11" t="n">
        <v>1</v>
      </c>
    </row>
    <row r="21" customFormat="false" ht="15" hidden="false" customHeight="false" outlineLevel="0" collapsed="false">
      <c r="A21" s="2" t="s">
        <v>4467</v>
      </c>
      <c r="B21" s="11" t="s">
        <v>2152</v>
      </c>
      <c r="C21" s="11" t="s">
        <v>4429</v>
      </c>
      <c r="D21" s="11" t="s">
        <v>258</v>
      </c>
      <c r="F21" s="11" t="s">
        <v>985</v>
      </c>
      <c r="G21" s="11" t="s">
        <v>2020</v>
      </c>
      <c r="H21" s="11" t="s">
        <v>985</v>
      </c>
      <c r="I21" s="11" t="s">
        <v>2020</v>
      </c>
      <c r="J21" s="11" t="s">
        <v>766</v>
      </c>
      <c r="K21" s="11" t="n">
        <v>1</v>
      </c>
    </row>
    <row r="22" customFormat="false" ht="15" hidden="false" customHeight="false" outlineLevel="0" collapsed="false">
      <c r="A22" s="2" t="s">
        <v>4468</v>
      </c>
      <c r="B22" s="11" t="s">
        <v>2158</v>
      </c>
      <c r="C22" s="11" t="s">
        <v>4429</v>
      </c>
      <c r="D22" s="11" t="s">
        <v>258</v>
      </c>
      <c r="F22" s="11" t="s">
        <v>985</v>
      </c>
      <c r="G22" s="11" t="s">
        <v>2020</v>
      </c>
      <c r="H22" s="11" t="s">
        <v>985</v>
      </c>
      <c r="I22" s="11" t="s">
        <v>2020</v>
      </c>
      <c r="J22" s="11" t="s">
        <v>766</v>
      </c>
      <c r="K22" s="11" t="n">
        <v>1</v>
      </c>
    </row>
    <row r="23" customFormat="false" ht="15" hidden="false" customHeight="false" outlineLevel="0" collapsed="false">
      <c r="A23" s="2" t="s">
        <v>4469</v>
      </c>
      <c r="B23" s="11" t="s">
        <v>2166</v>
      </c>
      <c r="C23" s="11" t="s">
        <v>4429</v>
      </c>
      <c r="D23" s="11" t="s">
        <v>258</v>
      </c>
      <c r="F23" s="11" t="s">
        <v>985</v>
      </c>
      <c r="G23" s="11" t="s">
        <v>2020</v>
      </c>
      <c r="H23" s="11" t="s">
        <v>985</v>
      </c>
      <c r="I23" s="11" t="s">
        <v>2020</v>
      </c>
      <c r="J23" s="11" t="s">
        <v>766</v>
      </c>
      <c r="K23" s="11" t="n">
        <v>1</v>
      </c>
    </row>
    <row r="24" customFormat="false" ht="15" hidden="false" customHeight="false" outlineLevel="0" collapsed="false">
      <c r="A24" s="2" t="s">
        <v>4470</v>
      </c>
      <c r="B24" s="11" t="s">
        <v>2171</v>
      </c>
      <c r="C24" s="11" t="s">
        <v>4429</v>
      </c>
      <c r="D24" s="11" t="s">
        <v>272</v>
      </c>
      <c r="F24" s="11" t="s">
        <v>985</v>
      </c>
      <c r="G24" s="11" t="s">
        <v>2020</v>
      </c>
      <c r="H24" s="11" t="s">
        <v>985</v>
      </c>
      <c r="I24" s="11" t="s">
        <v>2020</v>
      </c>
      <c r="J24" s="11" t="s">
        <v>766</v>
      </c>
      <c r="K24" s="11" t="n">
        <v>1</v>
      </c>
      <c r="N24" s="11" t="s">
        <v>4471</v>
      </c>
    </row>
    <row r="25" customFormat="false" ht="15" hidden="false" customHeight="false" outlineLevel="0" collapsed="false">
      <c r="A25" s="2" t="s">
        <v>4472</v>
      </c>
      <c r="B25" s="11" t="s">
        <v>1841</v>
      </c>
      <c r="C25" s="11" t="s">
        <v>4429</v>
      </c>
      <c r="D25" s="11" t="s">
        <v>258</v>
      </c>
      <c r="F25" s="11" t="s">
        <v>985</v>
      </c>
      <c r="G25" s="11" t="s">
        <v>2020</v>
      </c>
      <c r="H25" s="11" t="s">
        <v>985</v>
      </c>
      <c r="I25" s="11" t="s">
        <v>2020</v>
      </c>
      <c r="J25" s="11" t="s">
        <v>766</v>
      </c>
      <c r="K25" s="11" t="n">
        <v>1</v>
      </c>
    </row>
    <row r="26" customFormat="false" ht="15" hidden="false" customHeight="false" outlineLevel="0" collapsed="false">
      <c r="A26" s="2" t="s">
        <v>4473</v>
      </c>
      <c r="B26" s="11" t="s">
        <v>1832</v>
      </c>
      <c r="C26" s="11" t="s">
        <v>4429</v>
      </c>
      <c r="D26" s="11" t="s">
        <v>258</v>
      </c>
      <c r="F26" s="11" t="s">
        <v>985</v>
      </c>
      <c r="G26" s="11" t="s">
        <v>2020</v>
      </c>
      <c r="H26" s="11" t="s">
        <v>985</v>
      </c>
      <c r="I26" s="11" t="s">
        <v>2020</v>
      </c>
      <c r="J26" s="11" t="s">
        <v>766</v>
      </c>
      <c r="K26" s="11" t="n">
        <v>1</v>
      </c>
    </row>
    <row r="27" customFormat="false" ht="15" hidden="false" customHeight="false" outlineLevel="0" collapsed="false">
      <c r="A27" s="2" t="s">
        <v>4474</v>
      </c>
      <c r="B27" s="11" t="s">
        <v>2193</v>
      </c>
      <c r="C27" s="11" t="s">
        <v>4429</v>
      </c>
      <c r="D27" s="11" t="s">
        <v>258</v>
      </c>
      <c r="F27" s="11" t="s">
        <v>985</v>
      </c>
      <c r="G27" s="11" t="s">
        <v>2020</v>
      </c>
      <c r="H27" s="11" t="s">
        <v>985</v>
      </c>
      <c r="I27" s="11" t="s">
        <v>2020</v>
      </c>
      <c r="J27" s="11" t="s">
        <v>766</v>
      </c>
      <c r="K27" s="11" t="n">
        <v>1</v>
      </c>
    </row>
    <row r="28" customFormat="false" ht="15" hidden="false" customHeight="false" outlineLevel="0" collapsed="false">
      <c r="A28" s="2" t="s">
        <v>4475</v>
      </c>
      <c r="B28" s="11" t="s">
        <v>2201</v>
      </c>
      <c r="C28" s="11" t="s">
        <v>4429</v>
      </c>
      <c r="D28" s="11" t="s">
        <v>258</v>
      </c>
      <c r="F28" s="11" t="s">
        <v>985</v>
      </c>
      <c r="G28" s="11" t="s">
        <v>2020</v>
      </c>
      <c r="H28" s="11" t="s">
        <v>985</v>
      </c>
      <c r="I28" s="11" t="s">
        <v>2020</v>
      </c>
      <c r="J28" s="11" t="s">
        <v>766</v>
      </c>
      <c r="K28" s="11" t="n">
        <v>1</v>
      </c>
    </row>
    <row r="29" customFormat="false" ht="15" hidden="false" customHeight="false" outlineLevel="0" collapsed="false">
      <c r="A29" s="2" t="s">
        <v>4476</v>
      </c>
      <c r="B29" s="11" t="s">
        <v>2207</v>
      </c>
      <c r="C29" s="11" t="s">
        <v>4429</v>
      </c>
      <c r="D29" s="11" t="s">
        <v>258</v>
      </c>
      <c r="F29" s="11" t="s">
        <v>985</v>
      </c>
      <c r="G29" s="11" t="s">
        <v>2020</v>
      </c>
      <c r="H29" s="11" t="s">
        <v>985</v>
      </c>
      <c r="I29" s="11" t="s">
        <v>2020</v>
      </c>
      <c r="J29" s="11" t="s">
        <v>766</v>
      </c>
      <c r="K29" s="11" t="n">
        <v>1</v>
      </c>
    </row>
    <row r="30" customFormat="false" ht="15" hidden="false" customHeight="false" outlineLevel="0" collapsed="false">
      <c r="A30" s="2" t="s">
        <v>4477</v>
      </c>
      <c r="B30" s="11" t="s">
        <v>1882</v>
      </c>
      <c r="C30" s="11" t="s">
        <v>4429</v>
      </c>
      <c r="D30" s="11" t="s">
        <v>258</v>
      </c>
      <c r="F30" s="11" t="s">
        <v>985</v>
      </c>
      <c r="G30" s="11" t="s">
        <v>2020</v>
      </c>
      <c r="H30" s="11" t="s">
        <v>985</v>
      </c>
      <c r="I30" s="11" t="s">
        <v>2020</v>
      </c>
      <c r="J30" s="11" t="s">
        <v>766</v>
      </c>
      <c r="K30" s="11" t="n">
        <v>1</v>
      </c>
    </row>
    <row r="31" customFormat="false" ht="15" hidden="false" customHeight="false" outlineLevel="0" collapsed="false">
      <c r="A31" s="2" t="s">
        <v>4478</v>
      </c>
      <c r="B31" s="11" t="s">
        <v>2221</v>
      </c>
      <c r="C31" s="11" t="s">
        <v>4429</v>
      </c>
      <c r="D31" s="11" t="s">
        <v>258</v>
      </c>
      <c r="F31" s="11" t="s">
        <v>985</v>
      </c>
      <c r="G31" s="11" t="s">
        <v>2020</v>
      </c>
      <c r="H31" s="11" t="s">
        <v>985</v>
      </c>
      <c r="I31" s="11" t="s">
        <v>2020</v>
      </c>
      <c r="J31" s="11" t="s">
        <v>766</v>
      </c>
      <c r="K31" s="11" t="n">
        <v>1</v>
      </c>
    </row>
    <row r="32" customFormat="false" ht="15" hidden="false" customHeight="false" outlineLevel="0" collapsed="false">
      <c r="A32" s="2" t="s">
        <v>4479</v>
      </c>
      <c r="B32" s="11" t="s">
        <v>2230</v>
      </c>
      <c r="C32" s="11" t="s">
        <v>4429</v>
      </c>
      <c r="D32" s="11" t="s">
        <v>258</v>
      </c>
      <c r="F32" s="11" t="s">
        <v>985</v>
      </c>
      <c r="G32" s="11" t="s">
        <v>2020</v>
      </c>
      <c r="H32" s="11" t="s">
        <v>985</v>
      </c>
      <c r="I32" s="11" t="s">
        <v>2020</v>
      </c>
      <c r="J32" s="11" t="s">
        <v>766</v>
      </c>
      <c r="K32" s="11" t="n">
        <v>1</v>
      </c>
    </row>
    <row r="33" customFormat="false" ht="15" hidden="false" customHeight="false" outlineLevel="0" collapsed="false">
      <c r="A33" s="2" t="s">
        <v>4480</v>
      </c>
      <c r="B33" s="11" t="s">
        <v>2236</v>
      </c>
      <c r="C33" s="11" t="s">
        <v>4431</v>
      </c>
      <c r="D33" s="11" t="s">
        <v>272</v>
      </c>
      <c r="F33" s="11" t="s">
        <v>985</v>
      </c>
      <c r="G33" s="11" t="s">
        <v>2020</v>
      </c>
      <c r="H33" s="11" t="s">
        <v>985</v>
      </c>
      <c r="I33" s="11" t="s">
        <v>2020</v>
      </c>
      <c r="J33" s="11" t="s">
        <v>766</v>
      </c>
      <c r="K33" s="11" t="n">
        <v>1</v>
      </c>
      <c r="N33" s="11" t="s">
        <v>4471</v>
      </c>
    </row>
    <row r="34" customFormat="false" ht="15" hidden="false" customHeight="false" outlineLevel="0" collapsed="false">
      <c r="A34" s="2" t="s">
        <v>4481</v>
      </c>
      <c r="B34" s="11" t="s">
        <v>2242</v>
      </c>
      <c r="C34" s="11" t="s">
        <v>4433</v>
      </c>
      <c r="D34" s="11" t="s">
        <v>258</v>
      </c>
      <c r="F34" s="11" t="s">
        <v>985</v>
      </c>
      <c r="G34" s="11" t="s">
        <v>2020</v>
      </c>
      <c r="H34" s="11" t="s">
        <v>985</v>
      </c>
      <c r="I34" s="11" t="s">
        <v>2020</v>
      </c>
      <c r="J34" s="11" t="s">
        <v>766</v>
      </c>
      <c r="K34" s="11" t="n">
        <v>1</v>
      </c>
    </row>
    <row r="35" customFormat="false" ht="15" hidden="false" customHeight="false" outlineLevel="0" collapsed="false">
      <c r="A35" s="2" t="s">
        <v>4482</v>
      </c>
      <c r="B35" s="11" t="s">
        <v>2248</v>
      </c>
      <c r="C35" s="11" t="s">
        <v>2753</v>
      </c>
      <c r="D35" s="11" t="s">
        <v>258</v>
      </c>
      <c r="F35" s="11" t="s">
        <v>985</v>
      </c>
      <c r="G35" s="11" t="s">
        <v>2020</v>
      </c>
      <c r="H35" s="11" t="s">
        <v>985</v>
      </c>
      <c r="I35" s="11" t="s">
        <v>2020</v>
      </c>
      <c r="J35" s="11" t="s">
        <v>766</v>
      </c>
      <c r="K35" s="11" t="n">
        <v>1</v>
      </c>
    </row>
    <row r="36" customFormat="false" ht="15" hidden="false" customHeight="false" outlineLevel="0" collapsed="false">
      <c r="A36" s="2" t="s">
        <v>4483</v>
      </c>
      <c r="B36" s="11" t="s">
        <v>2254</v>
      </c>
      <c r="C36" s="11" t="s">
        <v>2753</v>
      </c>
      <c r="D36" s="11" t="s">
        <v>258</v>
      </c>
      <c r="F36" s="11" t="s">
        <v>985</v>
      </c>
      <c r="G36" s="11" t="s">
        <v>2020</v>
      </c>
      <c r="H36" s="11" t="s">
        <v>985</v>
      </c>
      <c r="I36" s="11" t="s">
        <v>2020</v>
      </c>
      <c r="J36" s="11" t="s">
        <v>766</v>
      </c>
      <c r="K36" s="11" t="n">
        <v>1</v>
      </c>
    </row>
    <row r="37" customFormat="false" ht="15" hidden="false" customHeight="false" outlineLevel="0" collapsed="false">
      <c r="A37" s="2" t="s">
        <v>4484</v>
      </c>
      <c r="B37" s="11" t="s">
        <v>2260</v>
      </c>
      <c r="C37" s="11" t="s">
        <v>4429</v>
      </c>
      <c r="D37" s="11" t="s">
        <v>258</v>
      </c>
      <c r="F37" s="11" t="s">
        <v>985</v>
      </c>
      <c r="G37" s="11" t="s">
        <v>2020</v>
      </c>
      <c r="H37" s="11" t="s">
        <v>985</v>
      </c>
      <c r="I37" s="11" t="s">
        <v>2020</v>
      </c>
      <c r="J37" s="11" t="s">
        <v>766</v>
      </c>
      <c r="K37" s="11" t="n">
        <v>1</v>
      </c>
    </row>
    <row r="38" customFormat="false" ht="15" hidden="false" customHeight="false" outlineLevel="0" collapsed="false">
      <c r="A38" s="2" t="s">
        <v>4485</v>
      </c>
      <c r="B38" s="11" t="s">
        <v>2265</v>
      </c>
      <c r="C38" s="11" t="s">
        <v>4429</v>
      </c>
      <c r="D38" s="11" t="s">
        <v>258</v>
      </c>
      <c r="F38" s="11" t="s">
        <v>985</v>
      </c>
      <c r="G38" s="11" t="s">
        <v>2020</v>
      </c>
      <c r="H38" s="11" t="s">
        <v>985</v>
      </c>
      <c r="I38" s="11" t="s">
        <v>2020</v>
      </c>
      <c r="J38" s="11" t="s">
        <v>766</v>
      </c>
      <c r="K38" s="11" t="n">
        <v>1</v>
      </c>
    </row>
    <row r="39" customFormat="false" ht="15" hidden="false" customHeight="false" outlineLevel="0" collapsed="false">
      <c r="A39" s="2" t="s">
        <v>4486</v>
      </c>
      <c r="B39" s="11" t="s">
        <v>2271</v>
      </c>
      <c r="C39" s="11" t="s">
        <v>4429</v>
      </c>
      <c r="D39" s="11" t="s">
        <v>258</v>
      </c>
      <c r="F39" s="11" t="s">
        <v>985</v>
      </c>
      <c r="G39" s="11" t="s">
        <v>2020</v>
      </c>
      <c r="H39" s="11" t="s">
        <v>985</v>
      </c>
      <c r="I39" s="11" t="s">
        <v>2020</v>
      </c>
      <c r="J39" s="11" t="s">
        <v>766</v>
      </c>
      <c r="K39" s="11" t="n">
        <v>1</v>
      </c>
    </row>
    <row r="40" customFormat="false" ht="15" hidden="false" customHeight="false" outlineLevel="0" collapsed="false">
      <c r="A40" s="2" t="s">
        <v>4487</v>
      </c>
      <c r="B40" s="11" t="s">
        <v>2277</v>
      </c>
      <c r="C40" s="11" t="s">
        <v>4429</v>
      </c>
      <c r="D40" s="11" t="s">
        <v>258</v>
      </c>
      <c r="F40" s="11" t="s">
        <v>985</v>
      </c>
      <c r="G40" s="11" t="s">
        <v>2020</v>
      </c>
      <c r="H40" s="11" t="s">
        <v>985</v>
      </c>
      <c r="I40" s="11" t="s">
        <v>2020</v>
      </c>
      <c r="J40" s="11" t="s">
        <v>766</v>
      </c>
      <c r="K40" s="11" t="n">
        <v>1</v>
      </c>
    </row>
    <row r="41" customFormat="false" ht="15" hidden="false" customHeight="false" outlineLevel="0" collapsed="false">
      <c r="A41" s="2" t="s">
        <v>4488</v>
      </c>
      <c r="B41" s="11" t="s">
        <v>1845</v>
      </c>
      <c r="C41" s="11" t="s">
        <v>4429</v>
      </c>
      <c r="D41" s="11" t="s">
        <v>258</v>
      </c>
      <c r="F41" s="11" t="s">
        <v>985</v>
      </c>
      <c r="G41" s="11" t="s">
        <v>2020</v>
      </c>
      <c r="H41" s="11" t="s">
        <v>985</v>
      </c>
      <c r="I41" s="11" t="s">
        <v>2020</v>
      </c>
      <c r="J41" s="11" t="s">
        <v>766</v>
      </c>
      <c r="K41" s="11" t="n">
        <v>1</v>
      </c>
    </row>
    <row r="42" customFormat="false" ht="15" hidden="false" customHeight="false" outlineLevel="0" collapsed="false">
      <c r="A42" s="2" t="s">
        <v>4489</v>
      </c>
      <c r="B42" s="11" t="s">
        <v>2287</v>
      </c>
      <c r="C42" s="11" t="s">
        <v>4429</v>
      </c>
      <c r="D42" s="11" t="s">
        <v>258</v>
      </c>
      <c r="F42" s="11" t="s">
        <v>985</v>
      </c>
      <c r="G42" s="11" t="s">
        <v>2020</v>
      </c>
      <c r="H42" s="11" t="s">
        <v>985</v>
      </c>
      <c r="I42" s="11" t="s">
        <v>2020</v>
      </c>
      <c r="J42" s="11" t="s">
        <v>766</v>
      </c>
      <c r="K42" s="11" t="n">
        <v>1</v>
      </c>
    </row>
    <row r="43" customFormat="false" ht="15" hidden="false" customHeight="false" outlineLevel="0" collapsed="false">
      <c r="A43" s="2" t="s">
        <v>4490</v>
      </c>
      <c r="B43" s="11" t="s">
        <v>2294</v>
      </c>
      <c r="C43" s="11" t="s">
        <v>4429</v>
      </c>
      <c r="D43" s="11" t="s">
        <v>258</v>
      </c>
      <c r="F43" s="11" t="s">
        <v>985</v>
      </c>
      <c r="G43" s="11" t="s">
        <v>2020</v>
      </c>
      <c r="H43" s="11" t="s">
        <v>985</v>
      </c>
      <c r="I43" s="11" t="s">
        <v>2020</v>
      </c>
      <c r="J43" s="11" t="s">
        <v>766</v>
      </c>
      <c r="K43" s="11" t="n">
        <v>1</v>
      </c>
    </row>
    <row r="44" customFormat="false" ht="15" hidden="false" customHeight="false" outlineLevel="0" collapsed="false">
      <c r="A44" s="2" t="s">
        <v>4491</v>
      </c>
      <c r="B44" s="11" t="s">
        <v>2299</v>
      </c>
      <c r="C44" s="11" t="s">
        <v>4429</v>
      </c>
      <c r="D44" s="11" t="s">
        <v>258</v>
      </c>
      <c r="F44" s="11" t="s">
        <v>985</v>
      </c>
      <c r="G44" s="11" t="s">
        <v>2020</v>
      </c>
      <c r="H44" s="11" t="s">
        <v>985</v>
      </c>
      <c r="I44" s="11" t="s">
        <v>2020</v>
      </c>
      <c r="J44" s="11" t="s">
        <v>766</v>
      </c>
      <c r="K44" s="11" t="n">
        <v>1</v>
      </c>
    </row>
    <row r="45" customFormat="false" ht="15" hidden="false" customHeight="false" outlineLevel="0" collapsed="false">
      <c r="A45" s="2" t="s">
        <v>4492</v>
      </c>
      <c r="B45" s="11" t="s">
        <v>2305</v>
      </c>
      <c r="C45" s="11" t="s">
        <v>4429</v>
      </c>
      <c r="D45" s="11" t="s">
        <v>258</v>
      </c>
      <c r="F45" s="11" t="s">
        <v>985</v>
      </c>
      <c r="G45" s="11" t="s">
        <v>2020</v>
      </c>
      <c r="H45" s="11" t="s">
        <v>985</v>
      </c>
      <c r="I45" s="11" t="s">
        <v>2020</v>
      </c>
      <c r="J45" s="11" t="s">
        <v>766</v>
      </c>
      <c r="K45" s="11" t="n">
        <v>1</v>
      </c>
    </row>
    <row r="46" customFormat="false" ht="15" hidden="false" customHeight="false" outlineLevel="0" collapsed="false">
      <c r="A46" s="2" t="s">
        <v>4493</v>
      </c>
      <c r="B46" s="11" t="s">
        <v>2311</v>
      </c>
      <c r="C46" s="11" t="s">
        <v>4429</v>
      </c>
      <c r="D46" s="11" t="s">
        <v>258</v>
      </c>
      <c r="F46" s="11" t="s">
        <v>985</v>
      </c>
      <c r="G46" s="11" t="s">
        <v>2020</v>
      </c>
      <c r="H46" s="11" t="s">
        <v>985</v>
      </c>
      <c r="I46" s="11" t="s">
        <v>2020</v>
      </c>
      <c r="J46" s="11" t="s">
        <v>766</v>
      </c>
      <c r="K46" s="11" t="n">
        <v>1</v>
      </c>
    </row>
    <row r="47" customFormat="false" ht="15" hidden="false" customHeight="false" outlineLevel="0" collapsed="false">
      <c r="A47" s="2" t="s">
        <v>4494</v>
      </c>
      <c r="B47" s="11" t="s">
        <v>2317</v>
      </c>
      <c r="C47" s="11" t="s">
        <v>4429</v>
      </c>
      <c r="D47" s="11" t="s">
        <v>258</v>
      </c>
      <c r="F47" s="11" t="s">
        <v>985</v>
      </c>
      <c r="G47" s="11" t="s">
        <v>2020</v>
      </c>
      <c r="H47" s="11" t="s">
        <v>985</v>
      </c>
      <c r="I47" s="11" t="s">
        <v>2020</v>
      </c>
      <c r="J47" s="11" t="s">
        <v>766</v>
      </c>
      <c r="K47" s="11" t="n">
        <v>1</v>
      </c>
    </row>
    <row r="48" customFormat="false" ht="15" hidden="false" customHeight="false" outlineLevel="0" collapsed="false">
      <c r="A48" s="2" t="s">
        <v>4495</v>
      </c>
      <c r="B48" s="11" t="s">
        <v>2322</v>
      </c>
      <c r="C48" s="11" t="s">
        <v>4429</v>
      </c>
      <c r="D48" s="11" t="s">
        <v>258</v>
      </c>
      <c r="F48" s="11" t="s">
        <v>985</v>
      </c>
      <c r="G48" s="11" t="s">
        <v>2020</v>
      </c>
      <c r="H48" s="11" t="s">
        <v>985</v>
      </c>
      <c r="I48" s="11" t="s">
        <v>2020</v>
      </c>
      <c r="J48" s="11" t="s">
        <v>766</v>
      </c>
      <c r="K48" s="11" t="n">
        <v>1</v>
      </c>
    </row>
    <row r="49" customFormat="false" ht="15" hidden="false" customHeight="false" outlineLevel="0" collapsed="false">
      <c r="A49" s="2" t="s">
        <v>4496</v>
      </c>
      <c r="B49" s="11" t="s">
        <v>2329</v>
      </c>
      <c r="C49" s="11" t="s">
        <v>4429</v>
      </c>
      <c r="D49" s="11" t="s">
        <v>258</v>
      </c>
      <c r="F49" s="11" t="s">
        <v>985</v>
      </c>
      <c r="G49" s="11" t="s">
        <v>2020</v>
      </c>
      <c r="H49" s="11" t="s">
        <v>985</v>
      </c>
      <c r="I49" s="11" t="s">
        <v>2020</v>
      </c>
      <c r="J49" s="11" t="s">
        <v>766</v>
      </c>
      <c r="K49" s="11" t="n">
        <v>1</v>
      </c>
    </row>
    <row r="50" customFormat="false" ht="15" hidden="false" customHeight="false" outlineLevel="0" collapsed="false">
      <c r="A50" s="2" t="s">
        <v>4497</v>
      </c>
      <c r="B50" s="11" t="s">
        <v>2335</v>
      </c>
      <c r="C50" s="11" t="s">
        <v>4429</v>
      </c>
      <c r="D50" s="11" t="s">
        <v>258</v>
      </c>
      <c r="F50" s="11" t="s">
        <v>985</v>
      </c>
      <c r="G50" s="11" t="s">
        <v>2020</v>
      </c>
      <c r="H50" s="11" t="s">
        <v>985</v>
      </c>
      <c r="I50" s="11" t="s">
        <v>2020</v>
      </c>
      <c r="J50" s="11" t="s">
        <v>766</v>
      </c>
      <c r="K50" s="11" t="n">
        <v>1</v>
      </c>
    </row>
    <row r="51" customFormat="false" ht="15" hidden="false" customHeight="false" outlineLevel="0" collapsed="false">
      <c r="A51" s="2" t="s">
        <v>4498</v>
      </c>
      <c r="B51" s="11" t="s">
        <v>2340</v>
      </c>
      <c r="C51" s="11" t="s">
        <v>4429</v>
      </c>
      <c r="D51" s="11" t="s">
        <v>258</v>
      </c>
      <c r="F51" s="11" t="s">
        <v>985</v>
      </c>
      <c r="G51" s="11" t="s">
        <v>2020</v>
      </c>
      <c r="H51" s="11" t="s">
        <v>985</v>
      </c>
      <c r="I51" s="11" t="s">
        <v>2020</v>
      </c>
      <c r="J51" s="11" t="s">
        <v>766</v>
      </c>
      <c r="K51" s="11" t="n">
        <v>1</v>
      </c>
    </row>
    <row r="52" customFormat="false" ht="15" hidden="false" customHeight="false" outlineLevel="0" collapsed="false">
      <c r="A52" s="2" t="s">
        <v>4499</v>
      </c>
      <c r="B52" s="11" t="s">
        <v>2345</v>
      </c>
      <c r="C52" s="11" t="s">
        <v>4431</v>
      </c>
      <c r="D52" s="11" t="s">
        <v>272</v>
      </c>
      <c r="F52" s="11" t="s">
        <v>985</v>
      </c>
      <c r="G52" s="11" t="s">
        <v>2020</v>
      </c>
      <c r="H52" s="11" t="s">
        <v>985</v>
      </c>
      <c r="I52" s="11" t="s">
        <v>2020</v>
      </c>
      <c r="J52" s="11" t="s">
        <v>766</v>
      </c>
      <c r="K52" s="11" t="n">
        <v>1</v>
      </c>
      <c r="N52" s="11" t="s">
        <v>4471</v>
      </c>
    </row>
    <row r="53" customFormat="false" ht="15" hidden="false" customHeight="false" outlineLevel="0" collapsed="false">
      <c r="A53" s="2" t="s">
        <v>4500</v>
      </c>
      <c r="B53" s="11" t="s">
        <v>2352</v>
      </c>
      <c r="C53" s="11" t="s">
        <v>4431</v>
      </c>
      <c r="D53" s="11" t="s">
        <v>272</v>
      </c>
      <c r="F53" s="11" t="s">
        <v>985</v>
      </c>
      <c r="G53" s="11" t="s">
        <v>2020</v>
      </c>
      <c r="H53" s="11" t="s">
        <v>985</v>
      </c>
      <c r="I53" s="11" t="s">
        <v>2020</v>
      </c>
      <c r="J53" s="11" t="s">
        <v>766</v>
      </c>
      <c r="K53" s="11" t="n">
        <v>1</v>
      </c>
      <c r="N53" s="11" t="s">
        <v>4471</v>
      </c>
    </row>
    <row r="54" customFormat="false" ht="15" hidden="false" customHeight="false" outlineLevel="0" collapsed="false">
      <c r="A54" s="2" t="s">
        <v>4501</v>
      </c>
      <c r="B54" s="11" t="s">
        <v>2359</v>
      </c>
      <c r="C54" s="11" t="s">
        <v>4436</v>
      </c>
      <c r="D54" s="11" t="s">
        <v>272</v>
      </c>
      <c r="F54" s="11" t="s">
        <v>985</v>
      </c>
      <c r="G54" s="11" t="s">
        <v>2020</v>
      </c>
      <c r="H54" s="11" t="s">
        <v>985</v>
      </c>
      <c r="I54" s="11" t="s">
        <v>2020</v>
      </c>
      <c r="J54" s="11" t="s">
        <v>766</v>
      </c>
      <c r="K54" s="11" t="n">
        <v>1</v>
      </c>
      <c r="N54" s="11" t="s">
        <v>4471</v>
      </c>
    </row>
    <row r="55" customFormat="false" ht="15" hidden="false" customHeight="false" outlineLevel="0" collapsed="false">
      <c r="A55" s="2" t="s">
        <v>4502</v>
      </c>
      <c r="B55" s="11" t="s">
        <v>2366</v>
      </c>
      <c r="C55" s="11" t="s">
        <v>4429</v>
      </c>
      <c r="D55" s="11" t="s">
        <v>258</v>
      </c>
      <c r="F55" s="11" t="s">
        <v>985</v>
      </c>
      <c r="G55" s="11" t="s">
        <v>2020</v>
      </c>
      <c r="H55" s="11" t="s">
        <v>985</v>
      </c>
      <c r="I55" s="11" t="s">
        <v>2020</v>
      </c>
      <c r="J55" s="11" t="s">
        <v>766</v>
      </c>
      <c r="K55" s="11" t="n">
        <v>1</v>
      </c>
    </row>
    <row r="56" customFormat="false" ht="15" hidden="false" customHeight="false" outlineLevel="0" collapsed="false">
      <c r="A56" s="2" t="s">
        <v>4503</v>
      </c>
      <c r="B56" s="11" t="s">
        <v>2373</v>
      </c>
      <c r="C56" s="11" t="s">
        <v>4429</v>
      </c>
      <c r="D56" s="11" t="s">
        <v>258</v>
      </c>
      <c r="F56" s="11" t="s">
        <v>985</v>
      </c>
      <c r="G56" s="11" t="s">
        <v>2020</v>
      </c>
      <c r="H56" s="11" t="s">
        <v>985</v>
      </c>
      <c r="I56" s="11" t="s">
        <v>2020</v>
      </c>
      <c r="J56" s="11" t="s">
        <v>766</v>
      </c>
      <c r="K56" s="11" t="n">
        <v>1</v>
      </c>
    </row>
    <row r="57" customFormat="false" ht="15" hidden="false" customHeight="false" outlineLevel="0" collapsed="false">
      <c r="A57" s="2" t="s">
        <v>4504</v>
      </c>
      <c r="B57" s="11" t="s">
        <v>2380</v>
      </c>
      <c r="C57" s="11" t="s">
        <v>4431</v>
      </c>
      <c r="D57" s="11" t="s">
        <v>272</v>
      </c>
      <c r="F57" s="11" t="s">
        <v>985</v>
      </c>
      <c r="G57" s="11" t="s">
        <v>2020</v>
      </c>
      <c r="H57" s="11" t="s">
        <v>985</v>
      </c>
      <c r="I57" s="11" t="s">
        <v>2020</v>
      </c>
      <c r="J57" s="11" t="s">
        <v>766</v>
      </c>
      <c r="K57" s="11" t="n">
        <v>1</v>
      </c>
      <c r="N57" s="11" t="s">
        <v>4471</v>
      </c>
    </row>
    <row r="58" customFormat="false" ht="15" hidden="false" customHeight="false" outlineLevel="0" collapsed="false">
      <c r="A58" s="2" t="s">
        <v>4505</v>
      </c>
      <c r="B58" s="11" t="s">
        <v>2387</v>
      </c>
      <c r="C58" s="11" t="s">
        <v>4429</v>
      </c>
      <c r="D58" s="11" t="s">
        <v>258</v>
      </c>
      <c r="F58" s="11" t="s">
        <v>985</v>
      </c>
      <c r="G58" s="11" t="s">
        <v>2020</v>
      </c>
      <c r="H58" s="11" t="s">
        <v>985</v>
      </c>
      <c r="I58" s="11" t="s">
        <v>2020</v>
      </c>
      <c r="J58" s="11" t="s">
        <v>766</v>
      </c>
      <c r="K58" s="11" t="n">
        <v>1</v>
      </c>
    </row>
    <row r="59" customFormat="false" ht="15" hidden="false" customHeight="false" outlineLevel="0" collapsed="false">
      <c r="A59" s="2" t="s">
        <v>4506</v>
      </c>
      <c r="B59" s="11" t="s">
        <v>2394</v>
      </c>
      <c r="C59" s="11" t="s">
        <v>4429</v>
      </c>
      <c r="D59" s="11" t="s">
        <v>258</v>
      </c>
      <c r="F59" s="11" t="s">
        <v>985</v>
      </c>
      <c r="G59" s="11" t="s">
        <v>2020</v>
      </c>
      <c r="H59" s="11" t="s">
        <v>985</v>
      </c>
      <c r="I59" s="11" t="s">
        <v>2020</v>
      </c>
      <c r="J59" s="11" t="s">
        <v>766</v>
      </c>
      <c r="K59" s="11" t="n">
        <v>1</v>
      </c>
    </row>
    <row r="60" customFormat="false" ht="15" hidden="false" customHeight="false" outlineLevel="0" collapsed="false">
      <c r="A60" s="2" t="s">
        <v>4507</v>
      </c>
      <c r="B60" s="11" t="s">
        <v>2401</v>
      </c>
      <c r="C60" s="11" t="s">
        <v>4429</v>
      </c>
      <c r="D60" s="11" t="s">
        <v>258</v>
      </c>
      <c r="F60" s="11" t="s">
        <v>985</v>
      </c>
      <c r="G60" s="11" t="s">
        <v>2020</v>
      </c>
      <c r="H60" s="11" t="s">
        <v>985</v>
      </c>
      <c r="I60" s="11" t="s">
        <v>2020</v>
      </c>
      <c r="J60" s="11" t="s">
        <v>766</v>
      </c>
      <c r="K60" s="11" t="n">
        <v>1</v>
      </c>
    </row>
    <row r="61" customFormat="false" ht="15" hidden="false" customHeight="false" outlineLevel="0" collapsed="false">
      <c r="A61" s="2" t="s">
        <v>4508</v>
      </c>
      <c r="B61" s="11" t="s">
        <v>2408</v>
      </c>
      <c r="C61" s="11" t="s">
        <v>4429</v>
      </c>
      <c r="D61" s="11" t="s">
        <v>258</v>
      </c>
      <c r="F61" s="11" t="s">
        <v>985</v>
      </c>
      <c r="G61" s="11" t="s">
        <v>2020</v>
      </c>
      <c r="H61" s="11" t="s">
        <v>985</v>
      </c>
      <c r="I61" s="11" t="s">
        <v>2020</v>
      </c>
      <c r="J61" s="11" t="s">
        <v>766</v>
      </c>
      <c r="K61" s="11" t="n">
        <v>1</v>
      </c>
    </row>
    <row r="62" customFormat="false" ht="15" hidden="false" customHeight="false" outlineLevel="0" collapsed="false">
      <c r="A62" s="2" t="s">
        <v>4509</v>
      </c>
      <c r="B62" s="11" t="s">
        <v>2415</v>
      </c>
      <c r="C62" s="11" t="s">
        <v>4429</v>
      </c>
      <c r="D62" s="11" t="s">
        <v>258</v>
      </c>
      <c r="F62" s="11" t="s">
        <v>985</v>
      </c>
      <c r="G62" s="11" t="s">
        <v>2020</v>
      </c>
      <c r="H62" s="11" t="s">
        <v>985</v>
      </c>
      <c r="I62" s="11" t="s">
        <v>2020</v>
      </c>
      <c r="J62" s="11" t="s">
        <v>766</v>
      </c>
      <c r="K62" s="11" t="n">
        <v>1</v>
      </c>
    </row>
    <row r="63" customFormat="false" ht="15" hidden="false" customHeight="false" outlineLevel="0" collapsed="false">
      <c r="A63" s="2" t="s">
        <v>4510</v>
      </c>
      <c r="B63" s="11" t="s">
        <v>2422</v>
      </c>
      <c r="C63" s="11" t="s">
        <v>4429</v>
      </c>
      <c r="D63" s="11" t="s">
        <v>258</v>
      </c>
      <c r="F63" s="11" t="s">
        <v>985</v>
      </c>
      <c r="G63" s="11" t="s">
        <v>2020</v>
      </c>
      <c r="H63" s="11" t="s">
        <v>985</v>
      </c>
      <c r="I63" s="11" t="s">
        <v>2020</v>
      </c>
      <c r="J63" s="11" t="s">
        <v>766</v>
      </c>
      <c r="K63" s="11" t="n">
        <v>1</v>
      </c>
    </row>
    <row r="64" customFormat="false" ht="15" hidden="false" customHeight="false" outlineLevel="0" collapsed="false">
      <c r="A64" s="2" t="s">
        <v>4511</v>
      </c>
      <c r="B64" s="11" t="s">
        <v>2429</v>
      </c>
      <c r="C64" s="11" t="s">
        <v>4429</v>
      </c>
      <c r="D64" s="11" t="s">
        <v>258</v>
      </c>
      <c r="F64" s="11" t="s">
        <v>985</v>
      </c>
      <c r="G64" s="11" t="s">
        <v>2020</v>
      </c>
      <c r="H64" s="11" t="s">
        <v>985</v>
      </c>
      <c r="I64" s="11" t="s">
        <v>2020</v>
      </c>
      <c r="J64" s="11" t="s">
        <v>766</v>
      </c>
      <c r="K64" s="11" t="n">
        <v>1</v>
      </c>
    </row>
    <row r="65" customFormat="false" ht="15" hidden="false" customHeight="false" outlineLevel="0" collapsed="false">
      <c r="A65" s="2" t="s">
        <v>4512</v>
      </c>
      <c r="B65" s="11" t="s">
        <v>2436</v>
      </c>
      <c r="C65" s="11" t="s">
        <v>4429</v>
      </c>
      <c r="D65" s="11" t="s">
        <v>258</v>
      </c>
      <c r="F65" s="11" t="s">
        <v>985</v>
      </c>
      <c r="G65" s="11" t="s">
        <v>2020</v>
      </c>
      <c r="H65" s="11" t="s">
        <v>985</v>
      </c>
      <c r="I65" s="11" t="s">
        <v>2020</v>
      </c>
      <c r="J65" s="11" t="s">
        <v>766</v>
      </c>
      <c r="K65" s="11" t="n">
        <v>1</v>
      </c>
    </row>
    <row r="66" customFormat="false" ht="15" hidden="false" customHeight="false" outlineLevel="0" collapsed="false">
      <c r="A66" s="2" t="s">
        <v>4513</v>
      </c>
      <c r="B66" s="11" t="s">
        <v>2443</v>
      </c>
      <c r="C66" s="11" t="s">
        <v>4429</v>
      </c>
      <c r="D66" s="11" t="s">
        <v>258</v>
      </c>
      <c r="F66" s="11" t="s">
        <v>985</v>
      </c>
      <c r="G66" s="11" t="s">
        <v>2020</v>
      </c>
      <c r="H66" s="11" t="s">
        <v>985</v>
      </c>
      <c r="I66" s="11" t="s">
        <v>2020</v>
      </c>
      <c r="J66" s="11" t="s">
        <v>766</v>
      </c>
      <c r="K66" s="11" t="n">
        <v>1</v>
      </c>
    </row>
    <row r="67" customFormat="false" ht="15" hidden="false" customHeight="false" outlineLevel="0" collapsed="false">
      <c r="A67" s="2" t="s">
        <v>4514</v>
      </c>
      <c r="B67" s="11" t="s">
        <v>2450</v>
      </c>
      <c r="C67" s="11" t="s">
        <v>4429</v>
      </c>
      <c r="D67" s="11" t="s">
        <v>258</v>
      </c>
      <c r="F67" s="11" t="s">
        <v>985</v>
      </c>
      <c r="G67" s="11" t="s">
        <v>2020</v>
      </c>
      <c r="H67" s="11" t="s">
        <v>985</v>
      </c>
      <c r="I67" s="11" t="s">
        <v>2020</v>
      </c>
      <c r="J67" s="11" t="s">
        <v>766</v>
      </c>
      <c r="K67" s="11" t="n">
        <v>1</v>
      </c>
    </row>
    <row r="68" customFormat="false" ht="15" hidden="false" customHeight="false" outlineLevel="0" collapsed="false">
      <c r="A68" s="2" t="s">
        <v>4515</v>
      </c>
      <c r="B68" s="11" t="s">
        <v>2456</v>
      </c>
      <c r="C68" s="11" t="s">
        <v>4429</v>
      </c>
      <c r="D68" s="11" t="s">
        <v>258</v>
      </c>
      <c r="F68" s="11" t="s">
        <v>985</v>
      </c>
      <c r="G68" s="11" t="s">
        <v>2020</v>
      </c>
      <c r="H68" s="11" t="s">
        <v>985</v>
      </c>
      <c r="I68" s="11" t="s">
        <v>2020</v>
      </c>
      <c r="J68" s="11" t="s">
        <v>766</v>
      </c>
      <c r="K68" s="11" t="n">
        <v>1</v>
      </c>
    </row>
    <row r="69" customFormat="false" ht="15" hidden="false" customHeight="false" outlineLevel="0" collapsed="false">
      <c r="A69" s="2" t="s">
        <v>4516</v>
      </c>
      <c r="B69" s="11" t="s">
        <v>2462</v>
      </c>
      <c r="C69" s="11" t="s">
        <v>4429</v>
      </c>
      <c r="D69" s="11" t="s">
        <v>258</v>
      </c>
      <c r="F69" s="11" t="s">
        <v>985</v>
      </c>
      <c r="G69" s="11" t="s">
        <v>2020</v>
      </c>
      <c r="H69" s="11" t="s">
        <v>985</v>
      </c>
      <c r="I69" s="11" t="s">
        <v>2020</v>
      </c>
      <c r="J69" s="11" t="s">
        <v>766</v>
      </c>
      <c r="K69" s="11" t="n">
        <v>1</v>
      </c>
    </row>
    <row r="70" customFormat="false" ht="15" hidden="false" customHeight="false" outlineLevel="0" collapsed="false">
      <c r="A70" s="2" t="s">
        <v>4517</v>
      </c>
      <c r="B70" s="11" t="s">
        <v>2467</v>
      </c>
      <c r="C70" s="11" t="s">
        <v>4429</v>
      </c>
      <c r="D70" s="11" t="s">
        <v>258</v>
      </c>
      <c r="F70" s="11" t="s">
        <v>985</v>
      </c>
      <c r="G70" s="11" t="s">
        <v>2020</v>
      </c>
      <c r="H70" s="11" t="s">
        <v>985</v>
      </c>
      <c r="I70" s="11" t="s">
        <v>2020</v>
      </c>
      <c r="J70" s="11" t="s">
        <v>766</v>
      </c>
      <c r="K70" s="11" t="n">
        <v>1</v>
      </c>
    </row>
    <row r="71" customFormat="false" ht="15" hidden="false" customHeight="false" outlineLevel="0" collapsed="false">
      <c r="A71" s="2" t="s">
        <v>4518</v>
      </c>
      <c r="B71" s="11" t="s">
        <v>2473</v>
      </c>
      <c r="C71" s="11" t="s">
        <v>4436</v>
      </c>
      <c r="D71" s="11" t="s">
        <v>258</v>
      </c>
      <c r="F71" s="11" t="s">
        <v>985</v>
      </c>
      <c r="G71" s="11" t="s">
        <v>2020</v>
      </c>
      <c r="H71" s="11" t="s">
        <v>985</v>
      </c>
      <c r="I71" s="11" t="s">
        <v>2020</v>
      </c>
      <c r="J71" s="11" t="s">
        <v>766</v>
      </c>
      <c r="K71" s="11" t="n">
        <v>1</v>
      </c>
    </row>
    <row r="72" customFormat="false" ht="15" hidden="false" customHeight="false" outlineLevel="0" collapsed="false">
      <c r="A72" s="2" t="s">
        <v>4519</v>
      </c>
      <c r="B72" s="11" t="s">
        <v>2479</v>
      </c>
      <c r="C72" s="11" t="s">
        <v>4433</v>
      </c>
      <c r="D72" s="11" t="s">
        <v>258</v>
      </c>
      <c r="F72" s="11" t="s">
        <v>985</v>
      </c>
      <c r="G72" s="11" t="s">
        <v>2020</v>
      </c>
      <c r="H72" s="11" t="s">
        <v>985</v>
      </c>
      <c r="I72" s="11" t="s">
        <v>2020</v>
      </c>
      <c r="J72" s="11" t="s">
        <v>766</v>
      </c>
      <c r="K72" s="11" t="n">
        <v>1</v>
      </c>
    </row>
    <row r="73" customFormat="false" ht="15" hidden="false" customHeight="false" outlineLevel="0" collapsed="false">
      <c r="A73" s="2" t="s">
        <v>4520</v>
      </c>
      <c r="B73" s="11" t="s">
        <v>2485</v>
      </c>
      <c r="C73" s="11" t="s">
        <v>4429</v>
      </c>
      <c r="D73" s="11" t="s">
        <v>258</v>
      </c>
      <c r="F73" s="11" t="s">
        <v>985</v>
      </c>
      <c r="G73" s="11" t="s">
        <v>2020</v>
      </c>
      <c r="H73" s="11" t="s">
        <v>985</v>
      </c>
      <c r="I73" s="11" t="s">
        <v>2020</v>
      </c>
      <c r="J73" s="11" t="s">
        <v>766</v>
      </c>
      <c r="K73" s="11" t="n">
        <v>1</v>
      </c>
    </row>
    <row r="74" customFormat="false" ht="15" hidden="false" customHeight="false" outlineLevel="0" collapsed="false">
      <c r="A74" s="2" t="s">
        <v>4521</v>
      </c>
      <c r="B74" s="11" t="s">
        <v>2491</v>
      </c>
      <c r="C74" s="11" t="s">
        <v>2753</v>
      </c>
      <c r="D74" s="11" t="s">
        <v>258</v>
      </c>
      <c r="F74" s="11" t="s">
        <v>985</v>
      </c>
      <c r="G74" s="11" t="s">
        <v>2020</v>
      </c>
      <c r="H74" s="11" t="s">
        <v>985</v>
      </c>
      <c r="I74" s="11" t="s">
        <v>2020</v>
      </c>
      <c r="J74" s="11" t="s">
        <v>766</v>
      </c>
      <c r="K74" s="11" t="n">
        <v>1</v>
      </c>
    </row>
    <row r="75" customFormat="false" ht="15" hidden="false" customHeight="false" outlineLevel="0" collapsed="false">
      <c r="A75" s="2" t="s">
        <v>4522</v>
      </c>
      <c r="B75" s="11" t="s">
        <v>2497</v>
      </c>
      <c r="C75" s="11" t="s">
        <v>4436</v>
      </c>
      <c r="D75" s="11" t="s">
        <v>258</v>
      </c>
      <c r="F75" s="11" t="s">
        <v>985</v>
      </c>
      <c r="G75" s="11" t="s">
        <v>2020</v>
      </c>
      <c r="H75" s="11" t="s">
        <v>985</v>
      </c>
      <c r="I75" s="11" t="s">
        <v>2020</v>
      </c>
      <c r="J75" s="11" t="s">
        <v>766</v>
      </c>
      <c r="K75" s="11" t="n">
        <v>1</v>
      </c>
    </row>
    <row r="76" customFormat="false" ht="15" hidden="false" customHeight="false" outlineLevel="0" collapsed="false">
      <c r="A76" s="2" t="s">
        <v>4523</v>
      </c>
      <c r="B76" s="11" t="s">
        <v>2503</v>
      </c>
      <c r="C76" s="11" t="s">
        <v>4429</v>
      </c>
      <c r="D76" s="11" t="s">
        <v>258</v>
      </c>
      <c r="F76" s="11" t="s">
        <v>985</v>
      </c>
      <c r="G76" s="11" t="s">
        <v>2020</v>
      </c>
      <c r="H76" s="11" t="s">
        <v>985</v>
      </c>
      <c r="I76" s="11" t="s">
        <v>2020</v>
      </c>
      <c r="J76" s="11" t="s">
        <v>766</v>
      </c>
      <c r="K76" s="11" t="n">
        <v>1</v>
      </c>
    </row>
    <row r="77" customFormat="false" ht="15" hidden="false" customHeight="false" outlineLevel="0" collapsed="false">
      <c r="A77" s="2" t="s">
        <v>4524</v>
      </c>
      <c r="B77" s="11" t="s">
        <v>2508</v>
      </c>
      <c r="C77" s="11" t="s">
        <v>4429</v>
      </c>
      <c r="D77" s="11" t="s">
        <v>258</v>
      </c>
      <c r="F77" s="11" t="s">
        <v>985</v>
      </c>
      <c r="G77" s="11" t="s">
        <v>2020</v>
      </c>
      <c r="H77" s="11" t="s">
        <v>985</v>
      </c>
      <c r="I77" s="11" t="s">
        <v>2020</v>
      </c>
      <c r="J77" s="11" t="s">
        <v>766</v>
      </c>
      <c r="K77" s="11" t="n">
        <v>1</v>
      </c>
    </row>
    <row r="78" customFormat="false" ht="15" hidden="false" customHeight="false" outlineLevel="0" collapsed="false">
      <c r="A78" s="2" t="s">
        <v>4525</v>
      </c>
      <c r="B78" s="11" t="s">
        <v>2514</v>
      </c>
      <c r="C78" s="11" t="s">
        <v>4429</v>
      </c>
      <c r="D78" s="11" t="s">
        <v>258</v>
      </c>
      <c r="F78" s="11" t="s">
        <v>985</v>
      </c>
      <c r="G78" s="11" t="s">
        <v>2020</v>
      </c>
      <c r="H78" s="11" t="s">
        <v>985</v>
      </c>
      <c r="I78" s="11" t="s">
        <v>2020</v>
      </c>
      <c r="J78" s="11" t="s">
        <v>766</v>
      </c>
      <c r="K78" s="11" t="n">
        <v>1</v>
      </c>
    </row>
    <row r="79" customFormat="false" ht="15" hidden="false" customHeight="false" outlineLevel="0" collapsed="false">
      <c r="A79" s="2" t="s">
        <v>4526</v>
      </c>
      <c r="B79" s="11" t="s">
        <v>2236</v>
      </c>
      <c r="C79" s="11" t="s">
        <v>4438</v>
      </c>
      <c r="D79" s="11" t="s">
        <v>258</v>
      </c>
      <c r="E79" s="11" t="s">
        <v>4527</v>
      </c>
      <c r="F79" s="11" t="s">
        <v>1144</v>
      </c>
      <c r="G79" s="11" t="s">
        <v>1145</v>
      </c>
      <c r="H79" s="11" t="s">
        <v>1144</v>
      </c>
      <c r="I79" s="11" t="s">
        <v>1145</v>
      </c>
      <c r="J79" s="11" t="s">
        <v>766</v>
      </c>
      <c r="K79" s="11" t="n">
        <v>1</v>
      </c>
      <c r="N79" s="11" t="s">
        <v>27</v>
      </c>
    </row>
    <row r="80" customFormat="false" ht="15" hidden="false" customHeight="false" outlineLevel="0" collapsed="false">
      <c r="A80" s="2" t="s">
        <v>4528</v>
      </c>
      <c r="B80" s="11" t="s">
        <v>2352</v>
      </c>
      <c r="C80" s="11" t="s">
        <v>4441</v>
      </c>
      <c r="D80" s="11" t="s">
        <v>258</v>
      </c>
      <c r="E80" s="11" t="s">
        <v>4527</v>
      </c>
      <c r="F80" s="11" t="s">
        <v>1144</v>
      </c>
      <c r="G80" s="11" t="s">
        <v>1145</v>
      </c>
      <c r="H80" s="11" t="s">
        <v>1144</v>
      </c>
      <c r="I80" s="11" t="s">
        <v>1145</v>
      </c>
      <c r="J80" s="11" t="s">
        <v>766</v>
      </c>
      <c r="K80" s="11" t="n">
        <v>1</v>
      </c>
      <c r="N80" s="11" t="s">
        <v>27</v>
      </c>
    </row>
    <row r="81" customFormat="false" ht="15" hidden="false" customHeight="false" outlineLevel="0" collapsed="false">
      <c r="A81" s="2" t="s">
        <v>4529</v>
      </c>
      <c r="B81" s="11" t="s">
        <v>2345</v>
      </c>
      <c r="C81" s="11" t="s">
        <v>4443</v>
      </c>
      <c r="D81" s="11" t="s">
        <v>258</v>
      </c>
      <c r="E81" s="11" t="s">
        <v>4527</v>
      </c>
      <c r="F81" s="11" t="s">
        <v>1144</v>
      </c>
      <c r="G81" s="11" t="s">
        <v>1145</v>
      </c>
      <c r="H81" s="11" t="s">
        <v>1144</v>
      </c>
      <c r="I81" s="11" t="s">
        <v>1145</v>
      </c>
      <c r="J81" s="11" t="s">
        <v>766</v>
      </c>
      <c r="K81" s="11" t="n">
        <v>1</v>
      </c>
      <c r="N81" s="11" t="s">
        <v>27</v>
      </c>
    </row>
    <row r="82" customFormat="false" ht="15" hidden="false" customHeight="false" outlineLevel="0" collapsed="false">
      <c r="A82" s="2" t="s">
        <v>4530</v>
      </c>
      <c r="B82" s="11" t="s">
        <v>2380</v>
      </c>
      <c r="C82" s="11" t="s">
        <v>2720</v>
      </c>
      <c r="D82" s="11" t="s">
        <v>258</v>
      </c>
      <c r="E82" s="11" t="s">
        <v>4527</v>
      </c>
      <c r="F82" s="11" t="s">
        <v>1144</v>
      </c>
      <c r="G82" s="11" t="s">
        <v>1145</v>
      </c>
      <c r="H82" s="11" t="s">
        <v>1144</v>
      </c>
      <c r="I82" s="11" t="s">
        <v>1145</v>
      </c>
      <c r="J82" s="11" t="s">
        <v>766</v>
      </c>
      <c r="K82" s="11" t="n">
        <v>1</v>
      </c>
      <c r="N82" s="11" t="s">
        <v>27</v>
      </c>
    </row>
    <row r="83" customFormat="false" ht="15" hidden="false" customHeight="false" outlineLevel="0" collapsed="false">
      <c r="A83" s="2" t="s">
        <v>4531</v>
      </c>
      <c r="B83" s="11" t="s">
        <v>2359</v>
      </c>
      <c r="C83" s="11" t="s">
        <v>4446</v>
      </c>
      <c r="D83" s="11" t="s">
        <v>258</v>
      </c>
      <c r="E83" s="11" t="s">
        <v>4527</v>
      </c>
      <c r="F83" s="11" t="s">
        <v>1144</v>
      </c>
      <c r="G83" s="11" t="s">
        <v>1145</v>
      </c>
      <c r="H83" s="11" t="s">
        <v>1144</v>
      </c>
      <c r="I83" s="11" t="s">
        <v>1145</v>
      </c>
      <c r="J83" s="11" t="s">
        <v>766</v>
      </c>
      <c r="K83" s="11" t="n">
        <v>1</v>
      </c>
      <c r="N83" s="11" t="s">
        <v>27</v>
      </c>
    </row>
    <row r="84" customFormat="false" ht="15" hidden="false" customHeight="false" outlineLevel="0" collapsed="false">
      <c r="A84" s="2" t="s">
        <v>4532</v>
      </c>
      <c r="B84" s="11" t="s">
        <v>2171</v>
      </c>
      <c r="C84" s="11" t="s">
        <v>2671</v>
      </c>
      <c r="D84" s="11" t="s">
        <v>258</v>
      </c>
      <c r="E84" s="11" t="s">
        <v>4527</v>
      </c>
      <c r="F84" s="11" t="s">
        <v>1144</v>
      </c>
      <c r="G84" s="11" t="s">
        <v>1145</v>
      </c>
      <c r="H84" s="11" t="s">
        <v>1144</v>
      </c>
      <c r="I84" s="11" t="s">
        <v>1145</v>
      </c>
      <c r="J84" s="11" t="s">
        <v>766</v>
      </c>
      <c r="K84" s="11" t="n">
        <v>1</v>
      </c>
      <c r="N84" s="11" t="s">
        <v>27</v>
      </c>
    </row>
  </sheetData>
  <autoFilter ref="A1:N84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84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84" type="list">
      <formula1>werkingsgebied!$C$2:$C$2000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84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84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U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5" min="4" style="0" width="14"/>
    <col collapsed="false" customWidth="true" hidden="false" outlineLevel="0" max="6" min="6" style="0" width="23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40"/>
    <col collapsed="false" customWidth="true" hidden="false" outlineLevel="0" max="12" min="12" style="0" width="26"/>
    <col collapsed="false" customWidth="true" hidden="false" outlineLevel="0" max="16" min="13" style="0" width="14"/>
    <col collapsed="false" customWidth="true" hidden="false" outlineLevel="0" max="17" min="17" style="0" width="40"/>
    <col collapsed="false" customWidth="true" hidden="false" outlineLevel="0" max="18" min="18" style="0" width="17"/>
    <col collapsed="false" customWidth="true" hidden="false" outlineLevel="0" max="20" min="19" style="0" width="14"/>
    <col collapsed="false" customWidth="true" hidden="false" outlineLevel="0" max="21" min="21" style="0" width="40"/>
  </cols>
  <sheetData>
    <row r="1" customFormat="false" ht="15" hidden="false" customHeight="false" outlineLevel="0" collapsed="false">
      <c r="A1" s="13" t="s">
        <v>622</v>
      </c>
      <c r="B1" s="13" t="s">
        <v>469</v>
      </c>
      <c r="C1" s="13" t="s">
        <v>623</v>
      </c>
      <c r="D1" s="14" t="s">
        <v>625</v>
      </c>
      <c r="E1" s="14" t="s">
        <v>626</v>
      </c>
      <c r="F1" s="14" t="s">
        <v>627</v>
      </c>
      <c r="G1" s="14" t="s">
        <v>628</v>
      </c>
      <c r="H1" s="14" t="s">
        <v>629</v>
      </c>
      <c r="I1" s="14" t="s">
        <v>597</v>
      </c>
      <c r="J1" s="14" t="s">
        <v>630</v>
      </c>
      <c r="K1" s="14" t="s">
        <v>410</v>
      </c>
      <c r="L1" s="13" t="s">
        <v>631</v>
      </c>
      <c r="M1" s="15" t="s">
        <v>292</v>
      </c>
      <c r="N1" s="15" t="s">
        <v>295</v>
      </c>
      <c r="O1" s="15" t="s">
        <v>298</v>
      </c>
      <c r="P1" s="15" t="s">
        <v>300</v>
      </c>
      <c r="Q1" s="15" t="s">
        <v>302</v>
      </c>
      <c r="R1" s="15" t="s">
        <v>305</v>
      </c>
      <c r="S1" s="15" t="s">
        <v>307</v>
      </c>
      <c r="T1" s="15" t="s">
        <v>310</v>
      </c>
      <c r="U1" s="15" t="s">
        <v>312</v>
      </c>
    </row>
    <row r="2" customFormat="false" ht="15" hidden="false" customHeight="false" outlineLevel="0" collapsed="false">
      <c r="A2" s="2" t="s">
        <v>4533</v>
      </c>
      <c r="B2" s="11" t="s">
        <v>2008</v>
      </c>
      <c r="C2" s="11" t="s">
        <v>822</v>
      </c>
      <c r="D2" s="11" t="s">
        <v>4534</v>
      </c>
      <c r="E2" s="11" t="s">
        <v>4535</v>
      </c>
      <c r="K2" s="11" t="s">
        <v>4536</v>
      </c>
      <c r="L2" s="11" t="s">
        <v>2871</v>
      </c>
      <c r="M2" s="11" t="s">
        <v>985</v>
      </c>
      <c r="N2" s="11" t="s">
        <v>2020</v>
      </c>
      <c r="O2" s="11" t="s">
        <v>985</v>
      </c>
      <c r="P2" s="11" t="s">
        <v>2020</v>
      </c>
      <c r="Q2" s="11" t="s">
        <v>766</v>
      </c>
      <c r="R2" s="11" t="n">
        <v>1</v>
      </c>
      <c r="U2" s="11" t="s">
        <v>4537</v>
      </c>
    </row>
    <row r="3" customFormat="false" ht="15" hidden="false" customHeight="false" outlineLevel="0" collapsed="false">
      <c r="A3" s="2" t="s">
        <v>4538</v>
      </c>
      <c r="B3" s="11" t="s">
        <v>2023</v>
      </c>
      <c r="C3" s="11" t="s">
        <v>822</v>
      </c>
      <c r="K3" s="11" t="s">
        <v>4539</v>
      </c>
      <c r="L3" s="11" t="s">
        <v>2871</v>
      </c>
      <c r="M3" s="11" t="s">
        <v>985</v>
      </c>
      <c r="N3" s="11" t="s">
        <v>2020</v>
      </c>
      <c r="O3" s="11" t="s">
        <v>985</v>
      </c>
      <c r="P3" s="11" t="s">
        <v>2020</v>
      </c>
      <c r="Q3" s="11" t="s">
        <v>766</v>
      </c>
      <c r="R3" s="11" t="n">
        <v>1</v>
      </c>
      <c r="U3" s="11" t="s">
        <v>4540</v>
      </c>
    </row>
    <row r="4" customFormat="false" ht="15" hidden="false" customHeight="false" outlineLevel="0" collapsed="false">
      <c r="A4" s="2" t="s">
        <v>4541</v>
      </c>
      <c r="B4" s="11" t="s">
        <v>2030</v>
      </c>
      <c r="C4" s="11" t="s">
        <v>822</v>
      </c>
      <c r="K4" s="11" t="s">
        <v>4542</v>
      </c>
      <c r="L4" s="11" t="s">
        <v>2871</v>
      </c>
      <c r="M4" s="11" t="s">
        <v>985</v>
      </c>
      <c r="N4" s="11" t="s">
        <v>2020</v>
      </c>
      <c r="O4" s="11" t="s">
        <v>985</v>
      </c>
      <c r="P4" s="11" t="s">
        <v>2020</v>
      </c>
      <c r="Q4" s="11" t="s">
        <v>766</v>
      </c>
      <c r="R4" s="11" t="n">
        <v>1</v>
      </c>
      <c r="U4" s="11" t="s">
        <v>4540</v>
      </c>
    </row>
    <row r="5" customFormat="false" ht="15" hidden="false" customHeight="false" outlineLevel="0" collapsed="false">
      <c r="A5" s="2" t="s">
        <v>4543</v>
      </c>
      <c r="B5" s="11" t="s">
        <v>2036</v>
      </c>
      <c r="C5" s="11" t="s">
        <v>822</v>
      </c>
      <c r="K5" s="11" t="s">
        <v>4539</v>
      </c>
      <c r="L5" s="11" t="s">
        <v>2871</v>
      </c>
      <c r="M5" s="11" t="s">
        <v>985</v>
      </c>
      <c r="N5" s="11" t="s">
        <v>2020</v>
      </c>
      <c r="O5" s="11" t="s">
        <v>985</v>
      </c>
      <c r="P5" s="11" t="s">
        <v>2020</v>
      </c>
      <c r="Q5" s="11" t="s">
        <v>766</v>
      </c>
      <c r="R5" s="11" t="n">
        <v>1</v>
      </c>
      <c r="U5" s="11" t="s">
        <v>4540</v>
      </c>
    </row>
    <row r="6" customFormat="false" ht="15" hidden="false" customHeight="false" outlineLevel="0" collapsed="false">
      <c r="A6" s="2" t="s">
        <v>4544</v>
      </c>
      <c r="B6" s="11" t="s">
        <v>2051</v>
      </c>
      <c r="C6" s="11" t="s">
        <v>822</v>
      </c>
      <c r="K6" s="11" t="s">
        <v>4545</v>
      </c>
      <c r="L6" s="11" t="s">
        <v>2871</v>
      </c>
      <c r="M6" s="11" t="s">
        <v>985</v>
      </c>
      <c r="N6" s="11" t="s">
        <v>2020</v>
      </c>
      <c r="O6" s="11" t="s">
        <v>985</v>
      </c>
      <c r="P6" s="11" t="s">
        <v>2020</v>
      </c>
      <c r="Q6" s="11" t="s">
        <v>766</v>
      </c>
      <c r="R6" s="11" t="n">
        <v>1</v>
      </c>
      <c r="U6" s="11" t="s">
        <v>4540</v>
      </c>
    </row>
    <row r="7" customFormat="false" ht="15" hidden="false" customHeight="false" outlineLevel="0" collapsed="false">
      <c r="A7" s="2" t="s">
        <v>4546</v>
      </c>
      <c r="B7" s="11" t="s">
        <v>2207</v>
      </c>
      <c r="C7" s="11" t="s">
        <v>822</v>
      </c>
      <c r="K7" s="11" t="s">
        <v>4547</v>
      </c>
      <c r="L7" s="11" t="s">
        <v>2871</v>
      </c>
      <c r="M7" s="11" t="s">
        <v>985</v>
      </c>
      <c r="N7" s="11" t="s">
        <v>2020</v>
      </c>
      <c r="O7" s="11" t="s">
        <v>985</v>
      </c>
      <c r="P7" s="11" t="s">
        <v>2020</v>
      </c>
      <c r="Q7" s="11" t="s">
        <v>766</v>
      </c>
      <c r="R7" s="11" t="n">
        <v>1</v>
      </c>
      <c r="U7" s="11" t="s">
        <v>4540</v>
      </c>
    </row>
    <row r="8" customFormat="false" ht="15" hidden="false" customHeight="false" outlineLevel="0" collapsed="false">
      <c r="A8" s="2" t="s">
        <v>4548</v>
      </c>
      <c r="B8" s="11" t="s">
        <v>2221</v>
      </c>
      <c r="C8" s="11" t="s">
        <v>822</v>
      </c>
      <c r="K8" s="11" t="s">
        <v>4549</v>
      </c>
      <c r="L8" s="11" t="s">
        <v>2871</v>
      </c>
      <c r="M8" s="11" t="s">
        <v>985</v>
      </c>
      <c r="N8" s="11" t="s">
        <v>2020</v>
      </c>
      <c r="O8" s="11" t="s">
        <v>985</v>
      </c>
      <c r="P8" s="11" t="s">
        <v>2020</v>
      </c>
      <c r="Q8" s="11" t="s">
        <v>766</v>
      </c>
      <c r="R8" s="11" t="n">
        <v>1</v>
      </c>
      <c r="U8" s="11" t="s">
        <v>4540</v>
      </c>
    </row>
    <row r="9" customFormat="false" ht="15" hidden="false" customHeight="false" outlineLevel="0" collapsed="false">
      <c r="A9" s="2" t="s">
        <v>4550</v>
      </c>
      <c r="B9" s="11" t="s">
        <v>2359</v>
      </c>
      <c r="C9" s="11" t="s">
        <v>822</v>
      </c>
      <c r="E9" s="11" t="s">
        <v>4551</v>
      </c>
      <c r="K9" s="11" t="s">
        <v>4552</v>
      </c>
      <c r="L9" s="11" t="s">
        <v>2871</v>
      </c>
      <c r="M9" s="11" t="s">
        <v>985</v>
      </c>
      <c r="N9" s="11" t="s">
        <v>2020</v>
      </c>
      <c r="O9" s="11" t="s">
        <v>985</v>
      </c>
      <c r="P9" s="11" t="s">
        <v>2020</v>
      </c>
      <c r="Q9" s="11" t="s">
        <v>766</v>
      </c>
      <c r="R9" s="11" t="n">
        <v>1</v>
      </c>
      <c r="U9" s="11" t="s">
        <v>4553</v>
      </c>
    </row>
    <row r="10" customFormat="false" ht="15" hidden="false" customHeight="false" outlineLevel="0" collapsed="false">
      <c r="A10" s="2" t="s">
        <v>4554</v>
      </c>
      <c r="B10" s="11" t="s">
        <v>2450</v>
      </c>
      <c r="C10" s="11" t="s">
        <v>822</v>
      </c>
      <c r="K10" s="11" t="s">
        <v>4555</v>
      </c>
      <c r="L10" s="11" t="s">
        <v>2871</v>
      </c>
      <c r="M10" s="11" t="s">
        <v>985</v>
      </c>
      <c r="N10" s="11" t="s">
        <v>2020</v>
      </c>
      <c r="O10" s="11" t="s">
        <v>985</v>
      </c>
      <c r="P10" s="11" t="s">
        <v>2020</v>
      </c>
      <c r="Q10" s="11" t="s">
        <v>766</v>
      </c>
      <c r="R10" s="11" t="n">
        <v>1</v>
      </c>
      <c r="U10" s="11" t="s">
        <v>4540</v>
      </c>
    </row>
    <row r="11" customFormat="false" ht="15" hidden="false" customHeight="false" outlineLevel="0" collapsed="false">
      <c r="A11" s="2" t="s">
        <v>4556</v>
      </c>
      <c r="B11" s="11" t="s">
        <v>2473</v>
      </c>
      <c r="C11" s="11" t="s">
        <v>822</v>
      </c>
      <c r="K11" s="11" t="s">
        <v>4557</v>
      </c>
      <c r="L11" s="11" t="s">
        <v>2871</v>
      </c>
      <c r="M11" s="11" t="s">
        <v>985</v>
      </c>
      <c r="N11" s="11" t="s">
        <v>2020</v>
      </c>
      <c r="O11" s="11" t="s">
        <v>985</v>
      </c>
      <c r="P11" s="11" t="s">
        <v>2020</v>
      </c>
      <c r="Q11" s="11" t="s">
        <v>766</v>
      </c>
      <c r="R11" s="11" t="n">
        <v>1</v>
      </c>
      <c r="U11" s="11" t="s">
        <v>4540</v>
      </c>
    </row>
    <row r="12" customFormat="false" ht="15" hidden="false" customHeight="false" outlineLevel="0" collapsed="false">
      <c r="A12" s="2" t="s">
        <v>4558</v>
      </c>
      <c r="B12" s="11" t="s">
        <v>2485</v>
      </c>
      <c r="C12" s="11" t="s">
        <v>822</v>
      </c>
      <c r="K12" s="11" t="s">
        <v>4559</v>
      </c>
      <c r="L12" s="11" t="s">
        <v>2871</v>
      </c>
      <c r="M12" s="11" t="s">
        <v>985</v>
      </c>
      <c r="N12" s="11" t="s">
        <v>2020</v>
      </c>
      <c r="O12" s="11" t="s">
        <v>985</v>
      </c>
      <c r="P12" s="11" t="s">
        <v>2020</v>
      </c>
      <c r="Q12" s="11" t="s">
        <v>766</v>
      </c>
      <c r="R12" s="11" t="n">
        <v>1</v>
      </c>
      <c r="U12" s="11" t="s">
        <v>4540</v>
      </c>
    </row>
    <row r="13" customFormat="false" ht="15" hidden="false" customHeight="false" outlineLevel="0" collapsed="false">
      <c r="A13" s="2" t="s">
        <v>4560</v>
      </c>
      <c r="B13" s="11" t="s">
        <v>2491</v>
      </c>
      <c r="C13" s="11" t="s">
        <v>822</v>
      </c>
      <c r="K13" s="11" t="s">
        <v>4561</v>
      </c>
      <c r="L13" s="11" t="s">
        <v>2871</v>
      </c>
      <c r="M13" s="11" t="s">
        <v>985</v>
      </c>
      <c r="N13" s="11" t="s">
        <v>2020</v>
      </c>
      <c r="O13" s="11" t="s">
        <v>985</v>
      </c>
      <c r="P13" s="11" t="s">
        <v>2020</v>
      </c>
      <c r="Q13" s="11" t="s">
        <v>766</v>
      </c>
      <c r="R13" s="11" t="n">
        <v>1</v>
      </c>
      <c r="U13" s="11" t="s">
        <v>4540</v>
      </c>
    </row>
    <row r="14" customFormat="false" ht="15" hidden="false" customHeight="false" outlineLevel="0" collapsed="false">
      <c r="A14" s="2" t="s">
        <v>4562</v>
      </c>
      <c r="B14" s="11" t="s">
        <v>2045</v>
      </c>
      <c r="C14" s="11" t="s">
        <v>832</v>
      </c>
      <c r="G14" s="11" t="s">
        <v>832</v>
      </c>
      <c r="J14" s="11" t="s">
        <v>4563</v>
      </c>
      <c r="K14" s="11" t="s">
        <v>4564</v>
      </c>
      <c r="L14" s="11" t="s">
        <v>2871</v>
      </c>
      <c r="M14" s="11" t="s">
        <v>1144</v>
      </c>
      <c r="N14" s="11" t="s">
        <v>1145</v>
      </c>
      <c r="O14" s="11" t="s">
        <v>1144</v>
      </c>
      <c r="P14" s="11" t="s">
        <v>1145</v>
      </c>
      <c r="Q14" s="11" t="s">
        <v>766</v>
      </c>
      <c r="R14" s="11" t="n">
        <v>1</v>
      </c>
      <c r="U14" s="11" t="s">
        <v>27</v>
      </c>
    </row>
    <row r="15" customFormat="false" ht="15" hidden="false" customHeight="false" outlineLevel="0" collapsed="false">
      <c r="A15" s="2" t="s">
        <v>4565</v>
      </c>
      <c r="B15" s="11" t="s">
        <v>2060</v>
      </c>
      <c r="C15" s="11" t="s">
        <v>758</v>
      </c>
      <c r="D15" s="11" t="s">
        <v>4566</v>
      </c>
      <c r="E15" s="11" t="s">
        <v>4567</v>
      </c>
      <c r="G15" s="11" t="s">
        <v>4568</v>
      </c>
      <c r="J15" s="11" t="s">
        <v>4569</v>
      </c>
      <c r="K15" s="11" t="s">
        <v>4564</v>
      </c>
      <c r="L15" s="11" t="s">
        <v>2871</v>
      </c>
      <c r="M15" s="11" t="s">
        <v>1144</v>
      </c>
      <c r="N15" s="11" t="s">
        <v>1145</v>
      </c>
      <c r="O15" s="11" t="s">
        <v>1144</v>
      </c>
      <c r="P15" s="11" t="s">
        <v>1145</v>
      </c>
      <c r="Q15" s="11" t="s">
        <v>766</v>
      </c>
      <c r="R15" s="11" t="n">
        <v>1</v>
      </c>
      <c r="U15" s="11" t="s">
        <v>27</v>
      </c>
    </row>
    <row r="16" customFormat="false" ht="15" hidden="false" customHeight="false" outlineLevel="0" collapsed="false">
      <c r="A16" s="2" t="s">
        <v>4570</v>
      </c>
      <c r="B16" s="11" t="s">
        <v>2075</v>
      </c>
      <c r="C16" s="11" t="s">
        <v>785</v>
      </c>
      <c r="E16" s="11" t="s">
        <v>4571</v>
      </c>
      <c r="F16" s="11" t="s">
        <v>4572</v>
      </c>
      <c r="G16" s="11" t="s">
        <v>4568</v>
      </c>
      <c r="J16" s="11" t="s">
        <v>4573</v>
      </c>
      <c r="K16" s="11" t="s">
        <v>4564</v>
      </c>
      <c r="L16" s="11" t="s">
        <v>2871</v>
      </c>
      <c r="M16" s="11" t="s">
        <v>1144</v>
      </c>
      <c r="N16" s="11" t="s">
        <v>1145</v>
      </c>
      <c r="O16" s="11" t="s">
        <v>1144</v>
      </c>
      <c r="P16" s="11" t="s">
        <v>1145</v>
      </c>
      <c r="Q16" s="11" t="s">
        <v>766</v>
      </c>
      <c r="R16" s="11" t="n">
        <v>1</v>
      </c>
      <c r="U16" s="11" t="s">
        <v>27</v>
      </c>
    </row>
    <row r="17" customFormat="false" ht="15" hidden="false" customHeight="false" outlineLevel="0" collapsed="false">
      <c r="A17" s="2" t="s">
        <v>4574</v>
      </c>
      <c r="B17" s="11" t="s">
        <v>2084</v>
      </c>
      <c r="C17" s="11" t="s">
        <v>810</v>
      </c>
      <c r="F17" s="11" t="s">
        <v>4572</v>
      </c>
      <c r="G17" s="11" t="s">
        <v>4568</v>
      </c>
      <c r="J17" s="11" t="s">
        <v>4575</v>
      </c>
      <c r="K17" s="11" t="s">
        <v>4564</v>
      </c>
      <c r="L17" s="11" t="s">
        <v>2871</v>
      </c>
      <c r="M17" s="11" t="s">
        <v>1144</v>
      </c>
      <c r="N17" s="11" t="s">
        <v>1145</v>
      </c>
      <c r="O17" s="11" t="s">
        <v>1144</v>
      </c>
      <c r="P17" s="11" t="s">
        <v>1145</v>
      </c>
      <c r="Q17" s="11" t="s">
        <v>766</v>
      </c>
      <c r="R17" s="11" t="n">
        <v>1</v>
      </c>
      <c r="U17" s="11" t="s">
        <v>27</v>
      </c>
    </row>
    <row r="18" customFormat="false" ht="15" hidden="false" customHeight="false" outlineLevel="0" collapsed="false">
      <c r="A18" s="2" t="s">
        <v>4576</v>
      </c>
      <c r="B18" s="11" t="s">
        <v>2099</v>
      </c>
      <c r="C18" s="11" t="s">
        <v>832</v>
      </c>
      <c r="G18" s="11" t="s">
        <v>832</v>
      </c>
      <c r="J18" s="11" t="s">
        <v>4577</v>
      </c>
      <c r="K18" s="11" t="s">
        <v>4564</v>
      </c>
      <c r="L18" s="11" t="s">
        <v>2871</v>
      </c>
      <c r="M18" s="11" t="s">
        <v>1144</v>
      </c>
      <c r="N18" s="11" t="s">
        <v>1145</v>
      </c>
      <c r="O18" s="11" t="s">
        <v>1144</v>
      </c>
      <c r="P18" s="11" t="s">
        <v>1145</v>
      </c>
      <c r="Q18" s="11" t="s">
        <v>766</v>
      </c>
      <c r="R18" s="11" t="n">
        <v>1</v>
      </c>
      <c r="U18" s="11" t="s">
        <v>27</v>
      </c>
    </row>
    <row r="19" customFormat="false" ht="15" hidden="false" customHeight="false" outlineLevel="0" collapsed="false">
      <c r="A19" s="2" t="s">
        <v>4578</v>
      </c>
      <c r="B19" s="11" t="s">
        <v>2230</v>
      </c>
      <c r="C19" s="11" t="s">
        <v>758</v>
      </c>
      <c r="D19" s="11" t="s">
        <v>4566</v>
      </c>
      <c r="E19" s="11" t="s">
        <v>4567</v>
      </c>
      <c r="G19" s="11" t="s">
        <v>4568</v>
      </c>
      <c r="J19" s="11" t="s">
        <v>4579</v>
      </c>
      <c r="K19" s="11" t="s">
        <v>4564</v>
      </c>
      <c r="L19" s="11" t="s">
        <v>2871</v>
      </c>
      <c r="M19" s="11" t="s">
        <v>1144</v>
      </c>
      <c r="N19" s="11" t="s">
        <v>1145</v>
      </c>
      <c r="O19" s="11" t="s">
        <v>1144</v>
      </c>
      <c r="P19" s="11" t="s">
        <v>1145</v>
      </c>
      <c r="Q19" s="11" t="s">
        <v>766</v>
      </c>
      <c r="R19" s="11" t="n">
        <v>1</v>
      </c>
      <c r="U19" s="11" t="s">
        <v>27</v>
      </c>
    </row>
    <row r="20" customFormat="false" ht="15" hidden="false" customHeight="false" outlineLevel="0" collapsed="false">
      <c r="A20" s="2" t="s">
        <v>4580</v>
      </c>
      <c r="B20" s="11" t="s">
        <v>2236</v>
      </c>
      <c r="C20" s="11" t="s">
        <v>785</v>
      </c>
      <c r="E20" s="11" t="s">
        <v>4571</v>
      </c>
      <c r="F20" s="11" t="s">
        <v>4572</v>
      </c>
      <c r="G20" s="11" t="s">
        <v>4568</v>
      </c>
      <c r="J20" s="11" t="s">
        <v>4581</v>
      </c>
      <c r="K20" s="11" t="s">
        <v>4564</v>
      </c>
      <c r="L20" s="11" t="s">
        <v>2871</v>
      </c>
      <c r="M20" s="11" t="s">
        <v>1144</v>
      </c>
      <c r="N20" s="11" t="s">
        <v>1145</v>
      </c>
      <c r="O20" s="11" t="s">
        <v>1144</v>
      </c>
      <c r="P20" s="11" t="s">
        <v>1145</v>
      </c>
      <c r="Q20" s="11" t="s">
        <v>766</v>
      </c>
      <c r="R20" s="11" t="n">
        <v>1</v>
      </c>
      <c r="U20" s="11" t="s">
        <v>27</v>
      </c>
    </row>
    <row r="21" customFormat="false" ht="15" hidden="false" customHeight="false" outlineLevel="0" collapsed="false">
      <c r="A21" s="2" t="s">
        <v>4582</v>
      </c>
      <c r="B21" s="11" t="s">
        <v>2242</v>
      </c>
      <c r="C21" s="11" t="s">
        <v>810</v>
      </c>
      <c r="F21" s="11" t="s">
        <v>4572</v>
      </c>
      <c r="G21" s="11" t="s">
        <v>4568</v>
      </c>
      <c r="J21" s="11" t="s">
        <v>4583</v>
      </c>
      <c r="K21" s="11" t="s">
        <v>4564</v>
      </c>
      <c r="L21" s="11" t="s">
        <v>2871</v>
      </c>
      <c r="M21" s="11" t="s">
        <v>1144</v>
      </c>
      <c r="N21" s="11" t="s">
        <v>1145</v>
      </c>
      <c r="O21" s="11" t="s">
        <v>1144</v>
      </c>
      <c r="P21" s="11" t="s">
        <v>1145</v>
      </c>
      <c r="Q21" s="11" t="s">
        <v>766</v>
      </c>
      <c r="R21" s="11" t="n">
        <v>1</v>
      </c>
      <c r="U21" s="11" t="s">
        <v>27</v>
      </c>
    </row>
    <row r="22" customFormat="false" ht="15" hidden="false" customHeight="false" outlineLevel="0" collapsed="false">
      <c r="A22" s="2" t="s">
        <v>4584</v>
      </c>
      <c r="B22" s="11" t="s">
        <v>2248</v>
      </c>
      <c r="C22" s="11" t="s">
        <v>832</v>
      </c>
      <c r="G22" s="11" t="s">
        <v>832</v>
      </c>
      <c r="J22" s="11" t="s">
        <v>4585</v>
      </c>
      <c r="K22" s="11" t="s">
        <v>4564</v>
      </c>
      <c r="L22" s="11" t="s">
        <v>2871</v>
      </c>
      <c r="M22" s="11" t="s">
        <v>1144</v>
      </c>
      <c r="N22" s="11" t="s">
        <v>1145</v>
      </c>
      <c r="O22" s="11" t="s">
        <v>1144</v>
      </c>
      <c r="P22" s="11" t="s">
        <v>1145</v>
      </c>
      <c r="Q22" s="11" t="s">
        <v>766</v>
      </c>
      <c r="R22" s="11" t="n">
        <v>1</v>
      </c>
      <c r="U22" s="11" t="s">
        <v>27</v>
      </c>
    </row>
    <row r="23" customFormat="false" ht="15" hidden="false" customHeight="false" outlineLevel="0" collapsed="false">
      <c r="A23" s="2" t="s">
        <v>4586</v>
      </c>
      <c r="B23" s="11" t="s">
        <v>2254</v>
      </c>
      <c r="C23" s="11" t="s">
        <v>758</v>
      </c>
      <c r="D23" s="11" t="s">
        <v>4566</v>
      </c>
      <c r="E23" s="11" t="s">
        <v>4567</v>
      </c>
      <c r="G23" s="11" t="s">
        <v>4568</v>
      </c>
      <c r="J23" s="11" t="s">
        <v>4587</v>
      </c>
      <c r="K23" s="11" t="s">
        <v>4564</v>
      </c>
      <c r="L23" s="11" t="s">
        <v>2871</v>
      </c>
      <c r="M23" s="11" t="s">
        <v>1144</v>
      </c>
      <c r="N23" s="11" t="s">
        <v>1145</v>
      </c>
      <c r="O23" s="11" t="s">
        <v>1144</v>
      </c>
      <c r="P23" s="11" t="s">
        <v>1145</v>
      </c>
      <c r="Q23" s="11" t="s">
        <v>766</v>
      </c>
      <c r="R23" s="11" t="n">
        <v>1</v>
      </c>
      <c r="U23" s="11" t="s">
        <v>27</v>
      </c>
    </row>
    <row r="24" customFormat="false" ht="15" hidden="false" customHeight="false" outlineLevel="0" collapsed="false">
      <c r="A24" s="2" t="s">
        <v>4588</v>
      </c>
      <c r="B24" s="11" t="s">
        <v>2260</v>
      </c>
      <c r="C24" s="11" t="s">
        <v>785</v>
      </c>
      <c r="E24" s="11" t="s">
        <v>4571</v>
      </c>
      <c r="F24" s="11" t="s">
        <v>4572</v>
      </c>
      <c r="G24" s="11" t="s">
        <v>4568</v>
      </c>
      <c r="J24" s="11" t="s">
        <v>4589</v>
      </c>
      <c r="K24" s="11" t="s">
        <v>4564</v>
      </c>
      <c r="L24" s="11" t="s">
        <v>2871</v>
      </c>
      <c r="M24" s="11" t="s">
        <v>1144</v>
      </c>
      <c r="N24" s="11" t="s">
        <v>1145</v>
      </c>
      <c r="O24" s="11" t="s">
        <v>1144</v>
      </c>
      <c r="P24" s="11" t="s">
        <v>1145</v>
      </c>
      <c r="Q24" s="11" t="s">
        <v>766</v>
      </c>
      <c r="R24" s="11" t="n">
        <v>1</v>
      </c>
      <c r="U24" s="11" t="s">
        <v>27</v>
      </c>
    </row>
    <row r="25" customFormat="false" ht="15" hidden="false" customHeight="false" outlineLevel="0" collapsed="false">
      <c r="A25" s="2" t="s">
        <v>4590</v>
      </c>
      <c r="B25" s="11" t="s">
        <v>2265</v>
      </c>
      <c r="C25" s="11" t="s">
        <v>810</v>
      </c>
      <c r="F25" s="11" t="s">
        <v>4572</v>
      </c>
      <c r="G25" s="11" t="s">
        <v>4568</v>
      </c>
      <c r="J25" s="11" t="s">
        <v>4591</v>
      </c>
      <c r="K25" s="11" t="s">
        <v>4564</v>
      </c>
      <c r="L25" s="11" t="s">
        <v>2871</v>
      </c>
      <c r="M25" s="11" t="s">
        <v>1144</v>
      </c>
      <c r="N25" s="11" t="s">
        <v>1145</v>
      </c>
      <c r="O25" s="11" t="s">
        <v>1144</v>
      </c>
      <c r="P25" s="11" t="s">
        <v>1145</v>
      </c>
      <c r="Q25" s="11" t="s">
        <v>766</v>
      </c>
      <c r="R25" s="11" t="n">
        <v>1</v>
      </c>
      <c r="U25" s="11" t="s">
        <v>27</v>
      </c>
    </row>
    <row r="26" customFormat="false" ht="15" hidden="false" customHeight="false" outlineLevel="0" collapsed="false">
      <c r="A26" s="2" t="s">
        <v>4592</v>
      </c>
      <c r="B26" s="11" t="s">
        <v>2345</v>
      </c>
      <c r="C26" s="11" t="s">
        <v>832</v>
      </c>
      <c r="G26" s="11" t="s">
        <v>832</v>
      </c>
      <c r="J26" s="11" t="s">
        <v>4593</v>
      </c>
      <c r="K26" s="11" t="s">
        <v>4564</v>
      </c>
      <c r="L26" s="11" t="s">
        <v>2871</v>
      </c>
      <c r="M26" s="11" t="s">
        <v>1144</v>
      </c>
      <c r="N26" s="11" t="s">
        <v>1145</v>
      </c>
      <c r="O26" s="11" t="s">
        <v>1144</v>
      </c>
      <c r="P26" s="11" t="s">
        <v>1145</v>
      </c>
      <c r="Q26" s="11" t="s">
        <v>766</v>
      </c>
      <c r="R26" s="11" t="n">
        <v>1</v>
      </c>
      <c r="U26" s="11" t="s">
        <v>27</v>
      </c>
    </row>
    <row r="27" customFormat="false" ht="15" hidden="false" customHeight="false" outlineLevel="0" collapsed="false">
      <c r="A27" s="2" t="s">
        <v>4594</v>
      </c>
      <c r="B27" s="11" t="s">
        <v>2352</v>
      </c>
      <c r="C27" s="11" t="s">
        <v>758</v>
      </c>
      <c r="D27" s="11" t="s">
        <v>4566</v>
      </c>
      <c r="E27" s="11" t="s">
        <v>4567</v>
      </c>
      <c r="G27" s="11" t="s">
        <v>4568</v>
      </c>
      <c r="J27" s="11" t="s">
        <v>4595</v>
      </c>
      <c r="K27" s="11" t="s">
        <v>4564</v>
      </c>
      <c r="L27" s="11" t="s">
        <v>2871</v>
      </c>
      <c r="M27" s="11" t="s">
        <v>1144</v>
      </c>
      <c r="N27" s="11" t="s">
        <v>1145</v>
      </c>
      <c r="O27" s="11" t="s">
        <v>1144</v>
      </c>
      <c r="P27" s="11" t="s">
        <v>1145</v>
      </c>
      <c r="Q27" s="11" t="s">
        <v>766</v>
      </c>
      <c r="R27" s="11" t="n">
        <v>1</v>
      </c>
      <c r="U27" s="11" t="s">
        <v>27</v>
      </c>
    </row>
    <row r="28" customFormat="false" ht="15" hidden="false" customHeight="false" outlineLevel="0" collapsed="false">
      <c r="A28" s="2" t="s">
        <v>4596</v>
      </c>
      <c r="B28" s="11" t="s">
        <v>2366</v>
      </c>
      <c r="C28" s="11" t="s">
        <v>785</v>
      </c>
      <c r="E28" s="11" t="s">
        <v>4571</v>
      </c>
      <c r="F28" s="11" t="s">
        <v>4572</v>
      </c>
      <c r="G28" s="11" t="s">
        <v>4568</v>
      </c>
      <c r="J28" s="11" t="s">
        <v>4597</v>
      </c>
      <c r="K28" s="11" t="s">
        <v>4564</v>
      </c>
      <c r="L28" s="11" t="s">
        <v>2871</v>
      </c>
      <c r="M28" s="11" t="s">
        <v>1144</v>
      </c>
      <c r="N28" s="11" t="s">
        <v>1145</v>
      </c>
      <c r="O28" s="11" t="s">
        <v>1144</v>
      </c>
      <c r="P28" s="11" t="s">
        <v>1145</v>
      </c>
      <c r="Q28" s="11" t="s">
        <v>766</v>
      </c>
      <c r="R28" s="11" t="n">
        <v>1</v>
      </c>
      <c r="U28" s="11" t="s">
        <v>27</v>
      </c>
    </row>
    <row r="29" customFormat="false" ht="15" hidden="false" customHeight="false" outlineLevel="0" collapsed="false">
      <c r="A29" s="2" t="s">
        <v>4598</v>
      </c>
      <c r="B29" s="11" t="s">
        <v>2380</v>
      </c>
      <c r="C29" s="11" t="s">
        <v>810</v>
      </c>
      <c r="F29" s="11" t="s">
        <v>4572</v>
      </c>
      <c r="G29" s="11" t="s">
        <v>4568</v>
      </c>
      <c r="J29" s="11" t="s">
        <v>4599</v>
      </c>
      <c r="K29" s="11" t="s">
        <v>4564</v>
      </c>
      <c r="L29" s="11" t="s">
        <v>2871</v>
      </c>
      <c r="M29" s="11" t="s">
        <v>1144</v>
      </c>
      <c r="N29" s="11" t="s">
        <v>1145</v>
      </c>
      <c r="O29" s="11" t="s">
        <v>1144</v>
      </c>
      <c r="P29" s="11" t="s">
        <v>1145</v>
      </c>
      <c r="Q29" s="11" t="s">
        <v>766</v>
      </c>
      <c r="R29" s="11" t="n">
        <v>1</v>
      </c>
      <c r="U29" s="11" t="s">
        <v>27</v>
      </c>
    </row>
    <row r="30" customFormat="false" ht="15" hidden="false" customHeight="false" outlineLevel="0" collapsed="false">
      <c r="A30" s="2" t="s">
        <v>4600</v>
      </c>
      <c r="B30" s="11" t="s">
        <v>2387</v>
      </c>
      <c r="C30" s="11" t="s">
        <v>832</v>
      </c>
      <c r="G30" s="11" t="s">
        <v>832</v>
      </c>
      <c r="J30" s="11" t="s">
        <v>4601</v>
      </c>
      <c r="K30" s="11" t="s">
        <v>4564</v>
      </c>
      <c r="L30" s="11" t="s">
        <v>2871</v>
      </c>
      <c r="M30" s="11" t="s">
        <v>1144</v>
      </c>
      <c r="N30" s="11" t="s">
        <v>1145</v>
      </c>
      <c r="O30" s="11" t="s">
        <v>1144</v>
      </c>
      <c r="P30" s="11" t="s">
        <v>1145</v>
      </c>
      <c r="Q30" s="11" t="s">
        <v>766</v>
      </c>
      <c r="R30" s="11" t="n">
        <v>1</v>
      </c>
      <c r="U30" s="11" t="s">
        <v>27</v>
      </c>
    </row>
    <row r="31" customFormat="false" ht="15" hidden="false" customHeight="false" outlineLevel="0" collapsed="false">
      <c r="A31" s="2" t="s">
        <v>4602</v>
      </c>
      <c r="B31" s="11" t="s">
        <v>2462</v>
      </c>
      <c r="C31" s="11" t="s">
        <v>758</v>
      </c>
      <c r="D31" s="11" t="s">
        <v>4566</v>
      </c>
      <c r="E31" s="11" t="s">
        <v>4567</v>
      </c>
      <c r="G31" s="11" t="s">
        <v>4568</v>
      </c>
      <c r="J31" s="11" t="s">
        <v>4603</v>
      </c>
      <c r="K31" s="11" t="s">
        <v>4564</v>
      </c>
      <c r="L31" s="11" t="s">
        <v>2871</v>
      </c>
      <c r="M31" s="11" t="s">
        <v>1144</v>
      </c>
      <c r="N31" s="11" t="s">
        <v>1145</v>
      </c>
      <c r="O31" s="11" t="s">
        <v>1144</v>
      </c>
      <c r="P31" s="11" t="s">
        <v>1145</v>
      </c>
      <c r="Q31" s="11" t="s">
        <v>766</v>
      </c>
      <c r="R31" s="11" t="n">
        <v>1</v>
      </c>
      <c r="U31" s="11" t="s">
        <v>27</v>
      </c>
    </row>
    <row r="32" customFormat="false" ht="15" hidden="false" customHeight="false" outlineLevel="0" collapsed="false">
      <c r="A32" s="2" t="s">
        <v>4604</v>
      </c>
      <c r="B32" s="11" t="s">
        <v>2479</v>
      </c>
      <c r="C32" s="11" t="s">
        <v>785</v>
      </c>
      <c r="E32" s="11" t="s">
        <v>4571</v>
      </c>
      <c r="F32" s="11" t="s">
        <v>4572</v>
      </c>
      <c r="G32" s="11" t="s">
        <v>4568</v>
      </c>
      <c r="J32" s="11" t="s">
        <v>4605</v>
      </c>
      <c r="K32" s="11" t="s">
        <v>4564</v>
      </c>
      <c r="L32" s="11" t="s">
        <v>2871</v>
      </c>
      <c r="M32" s="11" t="s">
        <v>1144</v>
      </c>
      <c r="N32" s="11" t="s">
        <v>1145</v>
      </c>
      <c r="O32" s="11" t="s">
        <v>1144</v>
      </c>
      <c r="P32" s="11" t="s">
        <v>1145</v>
      </c>
      <c r="Q32" s="11" t="s">
        <v>766</v>
      </c>
      <c r="R32" s="11" t="n">
        <v>1</v>
      </c>
      <c r="U32" s="11" t="s">
        <v>27</v>
      </c>
    </row>
    <row r="33" customFormat="false" ht="15" hidden="false" customHeight="false" outlineLevel="0" collapsed="false">
      <c r="A33" s="2" t="s">
        <v>4606</v>
      </c>
      <c r="B33" s="11" t="s">
        <v>2514</v>
      </c>
      <c r="C33" s="11" t="s">
        <v>810</v>
      </c>
      <c r="F33" s="11" t="s">
        <v>4572</v>
      </c>
      <c r="G33" s="11" t="s">
        <v>4568</v>
      </c>
      <c r="J33" s="11" t="s">
        <v>4607</v>
      </c>
      <c r="K33" s="11" t="s">
        <v>4564</v>
      </c>
      <c r="L33" s="11" t="s">
        <v>2871</v>
      </c>
      <c r="M33" s="11" t="s">
        <v>1144</v>
      </c>
      <c r="N33" s="11" t="s">
        <v>1145</v>
      </c>
      <c r="O33" s="11" t="s">
        <v>1144</v>
      </c>
      <c r="P33" s="11" t="s">
        <v>1145</v>
      </c>
      <c r="Q33" s="11" t="s">
        <v>766</v>
      </c>
      <c r="R33" s="11" t="n">
        <v>1</v>
      </c>
      <c r="U33" s="11" t="s">
        <v>27</v>
      </c>
    </row>
  </sheetData>
  <autoFilter ref="A1:U33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B2:B1033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33" type="list">
      <formula1>Keuzelijsten!$T$5:$T$60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33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6" min="4" style="0" width="40"/>
    <col collapsed="false" customWidth="true" hidden="false" outlineLevel="0" max="11" min="7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379</v>
      </c>
      <c r="B1" s="13" t="s">
        <v>315</v>
      </c>
      <c r="C1" s="13" t="s">
        <v>264</v>
      </c>
      <c r="D1" s="14" t="s">
        <v>319</v>
      </c>
      <c r="E1" s="13" t="s">
        <v>632</v>
      </c>
      <c r="F1" s="14" t="s">
        <v>628</v>
      </c>
      <c r="G1" s="13" t="s">
        <v>285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4608</v>
      </c>
      <c r="B2" s="11" t="s">
        <v>1171</v>
      </c>
      <c r="C2" s="11" t="s">
        <v>4609</v>
      </c>
      <c r="E2" s="11" t="s">
        <v>796</v>
      </c>
      <c r="F2" s="11" t="s">
        <v>4610</v>
      </c>
      <c r="G2" s="11" t="n">
        <v>1</v>
      </c>
      <c r="H2" s="11" t="s">
        <v>985</v>
      </c>
      <c r="I2" s="11" t="s">
        <v>986</v>
      </c>
      <c r="J2" s="11" t="s">
        <v>985</v>
      </c>
      <c r="K2" s="11" t="s">
        <v>986</v>
      </c>
      <c r="L2" s="11" t="s">
        <v>766</v>
      </c>
      <c r="M2" s="11" t="n">
        <v>1</v>
      </c>
      <c r="P2" s="11" t="s">
        <v>4611</v>
      </c>
    </row>
    <row r="3" customFormat="false" ht="15" hidden="false" customHeight="false" outlineLevel="0" collapsed="false">
      <c r="A3" s="2" t="s">
        <v>4612</v>
      </c>
      <c r="B3" s="11" t="s">
        <v>1200</v>
      </c>
      <c r="C3" s="11" t="s">
        <v>4613</v>
      </c>
      <c r="E3" s="11" t="s">
        <v>4614</v>
      </c>
      <c r="F3" s="11" t="s">
        <v>4568</v>
      </c>
      <c r="G3" s="11" t="n">
        <v>2</v>
      </c>
      <c r="H3" s="11" t="s">
        <v>985</v>
      </c>
      <c r="I3" s="11" t="s">
        <v>986</v>
      </c>
      <c r="J3" s="11" t="s">
        <v>985</v>
      </c>
      <c r="K3" s="11" t="s">
        <v>986</v>
      </c>
      <c r="L3" s="11" t="s">
        <v>766</v>
      </c>
      <c r="M3" s="11" t="n">
        <v>1</v>
      </c>
      <c r="P3" s="11" t="s">
        <v>4611</v>
      </c>
    </row>
    <row r="4" customFormat="false" ht="15" hidden="false" customHeight="false" outlineLevel="0" collapsed="false">
      <c r="A4" s="2" t="s">
        <v>4615</v>
      </c>
      <c r="B4" s="11" t="s">
        <v>4616</v>
      </c>
      <c r="C4" s="11" t="s">
        <v>4617</v>
      </c>
      <c r="E4" s="11" t="s">
        <v>4614</v>
      </c>
      <c r="F4" s="11" t="s">
        <v>4568</v>
      </c>
      <c r="G4" s="11" t="n">
        <v>3</v>
      </c>
      <c r="H4" s="11" t="s">
        <v>985</v>
      </c>
      <c r="I4" s="11" t="s">
        <v>986</v>
      </c>
      <c r="J4" s="11" t="s">
        <v>985</v>
      </c>
      <c r="K4" s="11" t="s">
        <v>986</v>
      </c>
      <c r="L4" s="11" t="s">
        <v>766</v>
      </c>
      <c r="M4" s="11" t="n">
        <v>1</v>
      </c>
      <c r="P4" s="11" t="s">
        <v>4611</v>
      </c>
    </row>
    <row r="5" customFormat="false" ht="15" hidden="false" customHeight="false" outlineLevel="0" collapsed="false">
      <c r="A5" s="2" t="s">
        <v>4618</v>
      </c>
      <c r="B5" s="11" t="s">
        <v>1211</v>
      </c>
      <c r="C5" s="11" t="s">
        <v>1672</v>
      </c>
      <c r="E5" s="11" t="s">
        <v>4614</v>
      </c>
      <c r="F5" s="11" t="s">
        <v>4568</v>
      </c>
      <c r="G5" s="11" t="n">
        <v>4</v>
      </c>
      <c r="H5" s="11" t="s">
        <v>985</v>
      </c>
      <c r="I5" s="11" t="s">
        <v>986</v>
      </c>
      <c r="J5" s="11" t="s">
        <v>985</v>
      </c>
      <c r="K5" s="11" t="s">
        <v>986</v>
      </c>
      <c r="L5" s="11" t="s">
        <v>766</v>
      </c>
      <c r="M5" s="11" t="n">
        <v>1</v>
      </c>
      <c r="P5" s="11" t="s">
        <v>4611</v>
      </c>
    </row>
    <row r="6" customFormat="false" ht="15" hidden="false" customHeight="false" outlineLevel="0" collapsed="false">
      <c r="A6" s="2" t="s">
        <v>4619</v>
      </c>
      <c r="B6" s="11" t="s">
        <v>1275</v>
      </c>
      <c r="C6" s="11" t="s">
        <v>1675</v>
      </c>
      <c r="E6" s="11" t="s">
        <v>4614</v>
      </c>
      <c r="F6" s="11" t="s">
        <v>4568</v>
      </c>
      <c r="G6" s="11" t="n">
        <v>5</v>
      </c>
      <c r="H6" s="11" t="s">
        <v>985</v>
      </c>
      <c r="I6" s="11" t="s">
        <v>986</v>
      </c>
      <c r="J6" s="11" t="s">
        <v>985</v>
      </c>
      <c r="K6" s="11" t="s">
        <v>986</v>
      </c>
      <c r="L6" s="11" t="s">
        <v>766</v>
      </c>
      <c r="M6" s="11" t="n">
        <v>1</v>
      </c>
      <c r="P6" s="11" t="s">
        <v>4611</v>
      </c>
    </row>
    <row r="7" customFormat="false" ht="15" hidden="false" customHeight="false" outlineLevel="0" collapsed="false">
      <c r="A7" s="2" t="s">
        <v>4620</v>
      </c>
      <c r="B7" s="11" t="s">
        <v>1222</v>
      </c>
      <c r="C7" s="11" t="s">
        <v>4621</v>
      </c>
      <c r="E7" s="11" t="s">
        <v>4614</v>
      </c>
      <c r="F7" s="11" t="s">
        <v>4622</v>
      </c>
      <c r="G7" s="11" t="n">
        <v>6</v>
      </c>
      <c r="H7" s="11" t="s">
        <v>985</v>
      </c>
      <c r="I7" s="11" t="s">
        <v>986</v>
      </c>
      <c r="J7" s="11" t="s">
        <v>985</v>
      </c>
      <c r="K7" s="11" t="s">
        <v>986</v>
      </c>
      <c r="L7" s="11" t="s">
        <v>766</v>
      </c>
      <c r="M7" s="11" t="n">
        <v>1</v>
      </c>
      <c r="P7" s="11" t="s">
        <v>4611</v>
      </c>
    </row>
    <row r="8" customFormat="false" ht="15" hidden="false" customHeight="false" outlineLevel="0" collapsed="false">
      <c r="A8" s="2" t="s">
        <v>4623</v>
      </c>
      <c r="B8" s="11" t="s">
        <v>1310</v>
      </c>
      <c r="C8" s="11" t="s">
        <v>4624</v>
      </c>
      <c r="E8" s="11" t="s">
        <v>4614</v>
      </c>
      <c r="F8" s="11" t="s">
        <v>4568</v>
      </c>
      <c r="G8" s="11" t="n">
        <v>7</v>
      </c>
      <c r="H8" s="11" t="s">
        <v>985</v>
      </c>
      <c r="I8" s="11" t="s">
        <v>986</v>
      </c>
      <c r="J8" s="11" t="s">
        <v>985</v>
      </c>
      <c r="K8" s="11" t="s">
        <v>986</v>
      </c>
      <c r="L8" s="11" t="s">
        <v>766</v>
      </c>
      <c r="M8" s="11" t="n">
        <v>1</v>
      </c>
      <c r="P8" s="11" t="s">
        <v>4611</v>
      </c>
    </row>
    <row r="9" customFormat="false" ht="15" hidden="false" customHeight="false" outlineLevel="0" collapsed="false">
      <c r="A9" s="2" t="s">
        <v>4625</v>
      </c>
      <c r="B9" s="11" t="s">
        <v>4626</v>
      </c>
      <c r="C9" s="11" t="s">
        <v>4627</v>
      </c>
      <c r="E9" s="11" t="s">
        <v>4628</v>
      </c>
      <c r="F9" s="11" t="s">
        <v>4629</v>
      </c>
      <c r="G9" s="11" t="n">
        <v>8</v>
      </c>
      <c r="H9" s="11" t="s">
        <v>985</v>
      </c>
      <c r="I9" s="11" t="s">
        <v>986</v>
      </c>
      <c r="J9" s="11" t="s">
        <v>985</v>
      </c>
      <c r="K9" s="11" t="s">
        <v>986</v>
      </c>
      <c r="L9" s="11" t="s">
        <v>766</v>
      </c>
      <c r="M9" s="11" t="n">
        <v>1</v>
      </c>
      <c r="P9" s="11" t="s">
        <v>4611</v>
      </c>
    </row>
    <row r="10" customFormat="false" ht="15" hidden="false" customHeight="false" outlineLevel="0" collapsed="false">
      <c r="A10" s="2" t="s">
        <v>4630</v>
      </c>
      <c r="B10" s="11" t="s">
        <v>4631</v>
      </c>
      <c r="C10" s="11" t="s">
        <v>4632</v>
      </c>
      <c r="E10" s="11" t="s">
        <v>4633</v>
      </c>
      <c r="F10" s="11" t="s">
        <v>4568</v>
      </c>
      <c r="G10" s="11" t="n">
        <v>9</v>
      </c>
      <c r="H10" s="11" t="s">
        <v>985</v>
      </c>
      <c r="I10" s="11" t="s">
        <v>986</v>
      </c>
      <c r="J10" s="11" t="s">
        <v>985</v>
      </c>
      <c r="K10" s="11" t="s">
        <v>986</v>
      </c>
      <c r="L10" s="11" t="s">
        <v>766</v>
      </c>
      <c r="M10" s="11" t="n">
        <v>1</v>
      </c>
      <c r="P10" s="11" t="s">
        <v>4611</v>
      </c>
    </row>
    <row r="11" customFormat="false" ht="15" hidden="false" customHeight="false" outlineLevel="0" collapsed="false">
      <c r="A11" s="2" t="s">
        <v>4634</v>
      </c>
      <c r="B11" s="11" t="s">
        <v>1180</v>
      </c>
      <c r="C11" s="11" t="s">
        <v>4635</v>
      </c>
      <c r="E11" s="11" t="s">
        <v>4636</v>
      </c>
      <c r="G11" s="11" t="n">
        <v>10</v>
      </c>
      <c r="H11" s="11" t="s">
        <v>985</v>
      </c>
      <c r="I11" s="11" t="s">
        <v>986</v>
      </c>
      <c r="J11" s="11" t="s">
        <v>985</v>
      </c>
      <c r="K11" s="11" t="s">
        <v>986</v>
      </c>
      <c r="L11" s="11" t="s">
        <v>766</v>
      </c>
      <c r="M11" s="11" t="n">
        <v>1</v>
      </c>
      <c r="P11" s="11" t="s">
        <v>4637</v>
      </c>
    </row>
    <row r="12" customFormat="false" ht="15" hidden="false" customHeight="false" outlineLevel="0" collapsed="false">
      <c r="A12" s="2" t="s">
        <v>4638</v>
      </c>
      <c r="B12" s="11" t="s">
        <v>1239</v>
      </c>
      <c r="C12" s="11" t="s">
        <v>4639</v>
      </c>
      <c r="E12" s="11" t="s">
        <v>4633</v>
      </c>
      <c r="G12" s="11" t="n">
        <v>11</v>
      </c>
      <c r="H12" s="11" t="s">
        <v>985</v>
      </c>
      <c r="I12" s="11" t="s">
        <v>986</v>
      </c>
      <c r="J12" s="11" t="s">
        <v>985</v>
      </c>
      <c r="K12" s="11" t="s">
        <v>986</v>
      </c>
      <c r="L12" s="11" t="s">
        <v>766</v>
      </c>
      <c r="M12" s="11" t="n">
        <v>1</v>
      </c>
      <c r="P12" s="11" t="s">
        <v>4637</v>
      </c>
    </row>
    <row r="13" customFormat="false" ht="15" hidden="false" customHeight="false" outlineLevel="0" collapsed="false">
      <c r="A13" s="2" t="s">
        <v>4640</v>
      </c>
      <c r="B13" s="11" t="s">
        <v>4641</v>
      </c>
      <c r="C13" s="11" t="s">
        <v>4642</v>
      </c>
      <c r="E13" s="11" t="s">
        <v>4643</v>
      </c>
      <c r="G13" s="11" t="n">
        <v>12</v>
      </c>
      <c r="H13" s="11" t="s">
        <v>985</v>
      </c>
      <c r="I13" s="11" t="s">
        <v>986</v>
      </c>
      <c r="J13" s="11" t="s">
        <v>985</v>
      </c>
      <c r="K13" s="11" t="s">
        <v>986</v>
      </c>
      <c r="L13" s="11" t="s">
        <v>766</v>
      </c>
      <c r="M13" s="11" t="n">
        <v>1</v>
      </c>
      <c r="P13" s="11" t="s">
        <v>4637</v>
      </c>
    </row>
    <row r="14" customFormat="false" ht="15" hidden="false" customHeight="false" outlineLevel="0" collapsed="false">
      <c r="A14" s="2" t="s">
        <v>4644</v>
      </c>
      <c r="B14" s="11" t="s">
        <v>4645</v>
      </c>
      <c r="C14" s="11" t="s">
        <v>832</v>
      </c>
      <c r="E14" s="11" t="s">
        <v>832</v>
      </c>
      <c r="G14" s="11" t="n">
        <v>13</v>
      </c>
      <c r="H14" s="11" t="s">
        <v>985</v>
      </c>
      <c r="I14" s="11" t="s">
        <v>986</v>
      </c>
      <c r="J14" s="11" t="s">
        <v>985</v>
      </c>
      <c r="K14" s="11" t="s">
        <v>986</v>
      </c>
      <c r="L14" s="11" t="s">
        <v>766</v>
      </c>
      <c r="M14" s="11" t="n">
        <v>1</v>
      </c>
      <c r="P14" s="11" t="s">
        <v>4637</v>
      </c>
    </row>
  </sheetData>
  <autoFilter ref="A1:P14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L2:L1014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P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6" min="5" style="0" width="14"/>
    <col collapsed="false" customWidth="true" hidden="false" outlineLevel="0" max="7" min="7" style="0" width="40"/>
    <col collapsed="false" customWidth="true" hidden="false" outlineLevel="0" max="11" min="8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633</v>
      </c>
      <c r="B1" s="13" t="s">
        <v>353</v>
      </c>
      <c r="C1" s="13" t="s">
        <v>386</v>
      </c>
      <c r="D1" s="13" t="s">
        <v>634</v>
      </c>
      <c r="E1" s="14" t="s">
        <v>636</v>
      </c>
      <c r="F1" s="14" t="s">
        <v>639</v>
      </c>
      <c r="G1" s="14" t="s">
        <v>410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4646</v>
      </c>
      <c r="B2" s="11" t="s">
        <v>1163</v>
      </c>
      <c r="C2" s="11" t="s">
        <v>1341</v>
      </c>
      <c r="D2" s="11" t="s">
        <v>759</v>
      </c>
      <c r="E2" s="11" t="s">
        <v>760</v>
      </c>
      <c r="F2" s="11" t="n">
        <v>1</v>
      </c>
      <c r="H2" s="11" t="s">
        <v>1144</v>
      </c>
      <c r="I2" s="11" t="s">
        <v>1145</v>
      </c>
      <c r="J2" s="11" t="s">
        <v>1144</v>
      </c>
      <c r="K2" s="11" t="s">
        <v>1145</v>
      </c>
      <c r="L2" s="11" t="s">
        <v>766</v>
      </c>
      <c r="M2" s="11" t="n">
        <v>1</v>
      </c>
      <c r="P2" s="11" t="s">
        <v>27</v>
      </c>
    </row>
    <row r="3" customFormat="false" ht="15" hidden="false" customHeight="false" outlineLevel="0" collapsed="false">
      <c r="A3" s="2" t="s">
        <v>4647</v>
      </c>
      <c r="B3" s="11" t="s">
        <v>1163</v>
      </c>
      <c r="C3" s="11" t="s">
        <v>1385</v>
      </c>
      <c r="D3" s="11" t="s">
        <v>786</v>
      </c>
      <c r="E3" s="11" t="s">
        <v>760</v>
      </c>
      <c r="F3" s="11" t="n">
        <v>2</v>
      </c>
      <c r="H3" s="11" t="s">
        <v>1144</v>
      </c>
      <c r="I3" s="11" t="s">
        <v>1145</v>
      </c>
      <c r="J3" s="11" t="s">
        <v>1144</v>
      </c>
      <c r="K3" s="11" t="s">
        <v>1145</v>
      </c>
      <c r="L3" s="11" t="s">
        <v>766</v>
      </c>
      <c r="M3" s="11" t="n">
        <v>1</v>
      </c>
      <c r="P3" s="11" t="s">
        <v>27</v>
      </c>
    </row>
    <row r="4" customFormat="false" ht="15" hidden="false" customHeight="false" outlineLevel="0" collapsed="false">
      <c r="A4" s="2" t="s">
        <v>4648</v>
      </c>
      <c r="B4" s="11" t="s">
        <v>1163</v>
      </c>
      <c r="C4" s="11" t="s">
        <v>1428</v>
      </c>
      <c r="D4" s="11" t="s">
        <v>865</v>
      </c>
      <c r="E4" s="11" t="s">
        <v>787</v>
      </c>
      <c r="F4" s="11" t="n">
        <v>3</v>
      </c>
      <c r="H4" s="11" t="s">
        <v>1144</v>
      </c>
      <c r="I4" s="11" t="s">
        <v>1145</v>
      </c>
      <c r="J4" s="11" t="s">
        <v>1144</v>
      </c>
      <c r="K4" s="11" t="s">
        <v>1145</v>
      </c>
      <c r="L4" s="11" t="s">
        <v>766</v>
      </c>
      <c r="M4" s="11" t="n">
        <v>1</v>
      </c>
      <c r="P4" s="11" t="s">
        <v>27</v>
      </c>
    </row>
    <row r="5" customFormat="false" ht="15" hidden="false" customHeight="false" outlineLevel="0" collapsed="false">
      <c r="A5" s="2" t="s">
        <v>4649</v>
      </c>
      <c r="B5" s="11" t="s">
        <v>1163</v>
      </c>
      <c r="C5" s="11" t="s">
        <v>1433</v>
      </c>
      <c r="D5" s="11" t="s">
        <v>892</v>
      </c>
      <c r="E5" s="11" t="s">
        <v>834</v>
      </c>
      <c r="F5" s="11" t="n">
        <v>4</v>
      </c>
      <c r="H5" s="11" t="s">
        <v>1144</v>
      </c>
      <c r="I5" s="11" t="s">
        <v>1145</v>
      </c>
      <c r="J5" s="11" t="s">
        <v>1144</v>
      </c>
      <c r="K5" s="11" t="s">
        <v>1145</v>
      </c>
      <c r="L5" s="11" t="s">
        <v>766</v>
      </c>
      <c r="M5" s="11" t="n">
        <v>1</v>
      </c>
      <c r="P5" s="11" t="s">
        <v>27</v>
      </c>
    </row>
    <row r="6" customFormat="false" ht="15" hidden="false" customHeight="false" outlineLevel="0" collapsed="false">
      <c r="A6" s="2" t="s">
        <v>4650</v>
      </c>
      <c r="B6" s="11" t="s">
        <v>1173</v>
      </c>
      <c r="C6" s="11" t="s">
        <v>1348</v>
      </c>
      <c r="D6" s="11" t="s">
        <v>786</v>
      </c>
      <c r="E6" s="11" t="s">
        <v>760</v>
      </c>
      <c r="F6" s="11" t="n">
        <v>1</v>
      </c>
      <c r="H6" s="11" t="s">
        <v>1144</v>
      </c>
      <c r="I6" s="11" t="s">
        <v>1145</v>
      </c>
      <c r="J6" s="11" t="s">
        <v>1144</v>
      </c>
      <c r="K6" s="11" t="s">
        <v>1145</v>
      </c>
      <c r="L6" s="11" t="s">
        <v>766</v>
      </c>
      <c r="M6" s="11" t="n">
        <v>1</v>
      </c>
      <c r="P6" s="11" t="s">
        <v>27</v>
      </c>
    </row>
    <row r="7" customFormat="false" ht="15" hidden="false" customHeight="false" outlineLevel="0" collapsed="false">
      <c r="A7" s="2" t="s">
        <v>4651</v>
      </c>
      <c r="B7" s="11" t="s">
        <v>1173</v>
      </c>
      <c r="C7" s="11" t="s">
        <v>1354</v>
      </c>
      <c r="D7" s="11" t="s">
        <v>811</v>
      </c>
      <c r="E7" s="11" t="s">
        <v>812</v>
      </c>
      <c r="F7" s="11" t="n">
        <v>2</v>
      </c>
      <c r="H7" s="11" t="s">
        <v>1144</v>
      </c>
      <c r="I7" s="11" t="s">
        <v>1145</v>
      </c>
      <c r="J7" s="11" t="s">
        <v>1144</v>
      </c>
      <c r="K7" s="11" t="s">
        <v>1145</v>
      </c>
      <c r="L7" s="11" t="s">
        <v>766</v>
      </c>
      <c r="M7" s="11" t="n">
        <v>1</v>
      </c>
      <c r="P7" s="11" t="s">
        <v>27</v>
      </c>
    </row>
    <row r="8" customFormat="false" ht="15" hidden="false" customHeight="false" outlineLevel="0" collapsed="false">
      <c r="A8" s="2" t="s">
        <v>4652</v>
      </c>
      <c r="B8" s="11" t="s">
        <v>1173</v>
      </c>
      <c r="C8" s="11" t="s">
        <v>1369</v>
      </c>
      <c r="D8" s="11" t="s">
        <v>811</v>
      </c>
      <c r="E8" s="11" t="s">
        <v>812</v>
      </c>
      <c r="F8" s="11" t="n">
        <v>3</v>
      </c>
      <c r="H8" s="11" t="s">
        <v>1144</v>
      </c>
      <c r="I8" s="11" t="s">
        <v>1145</v>
      </c>
      <c r="J8" s="11" t="s">
        <v>1144</v>
      </c>
      <c r="K8" s="11" t="s">
        <v>1145</v>
      </c>
      <c r="L8" s="11" t="s">
        <v>766</v>
      </c>
      <c r="M8" s="11" t="n">
        <v>1</v>
      </c>
      <c r="P8" s="11" t="s">
        <v>27</v>
      </c>
    </row>
    <row r="9" customFormat="false" ht="15" hidden="false" customHeight="false" outlineLevel="0" collapsed="false">
      <c r="A9" s="2" t="s">
        <v>4653</v>
      </c>
      <c r="B9" s="11" t="s">
        <v>1173</v>
      </c>
      <c r="C9" s="11" t="s">
        <v>1395</v>
      </c>
      <c r="D9" s="11" t="s">
        <v>833</v>
      </c>
      <c r="E9" s="11" t="s">
        <v>812</v>
      </c>
      <c r="F9" s="11" t="n">
        <v>4</v>
      </c>
      <c r="H9" s="11" t="s">
        <v>1144</v>
      </c>
      <c r="I9" s="11" t="s">
        <v>1145</v>
      </c>
      <c r="J9" s="11" t="s">
        <v>1144</v>
      </c>
      <c r="K9" s="11" t="s">
        <v>1145</v>
      </c>
      <c r="L9" s="11" t="s">
        <v>766</v>
      </c>
      <c r="M9" s="11" t="n">
        <v>1</v>
      </c>
      <c r="P9" s="11" t="s">
        <v>27</v>
      </c>
    </row>
    <row r="10" customFormat="false" ht="15" hidden="false" customHeight="false" outlineLevel="0" collapsed="false">
      <c r="A10" s="2" t="s">
        <v>4654</v>
      </c>
      <c r="B10" s="11" t="s">
        <v>1182</v>
      </c>
      <c r="C10" s="11" t="s">
        <v>1348</v>
      </c>
      <c r="D10" s="11" t="s">
        <v>786</v>
      </c>
      <c r="E10" s="11" t="s">
        <v>760</v>
      </c>
      <c r="F10" s="11" t="n">
        <v>1</v>
      </c>
      <c r="H10" s="11" t="s">
        <v>1144</v>
      </c>
      <c r="I10" s="11" t="s">
        <v>1145</v>
      </c>
      <c r="J10" s="11" t="s">
        <v>1144</v>
      </c>
      <c r="K10" s="11" t="s">
        <v>1145</v>
      </c>
      <c r="L10" s="11" t="s">
        <v>766</v>
      </c>
      <c r="M10" s="11" t="n">
        <v>1</v>
      </c>
      <c r="P10" s="11" t="s">
        <v>27</v>
      </c>
    </row>
    <row r="11" customFormat="false" ht="15" hidden="false" customHeight="false" outlineLevel="0" collapsed="false">
      <c r="A11" s="2" t="s">
        <v>4655</v>
      </c>
      <c r="B11" s="11" t="s">
        <v>1182</v>
      </c>
      <c r="C11" s="11" t="s">
        <v>1359</v>
      </c>
      <c r="D11" s="11" t="s">
        <v>811</v>
      </c>
      <c r="E11" s="11" t="s">
        <v>812</v>
      </c>
      <c r="F11" s="11" t="n">
        <v>2</v>
      </c>
      <c r="H11" s="11" t="s">
        <v>1144</v>
      </c>
      <c r="I11" s="11" t="s">
        <v>1145</v>
      </c>
      <c r="J11" s="11" t="s">
        <v>1144</v>
      </c>
      <c r="K11" s="11" t="s">
        <v>1145</v>
      </c>
      <c r="L11" s="11" t="s">
        <v>766</v>
      </c>
      <c r="M11" s="11" t="n">
        <v>1</v>
      </c>
      <c r="P11" s="11" t="s">
        <v>27</v>
      </c>
    </row>
    <row r="12" customFormat="false" ht="15" hidden="false" customHeight="false" outlineLevel="0" collapsed="false">
      <c r="A12" s="2" t="s">
        <v>4656</v>
      </c>
      <c r="B12" s="11" t="s">
        <v>1182</v>
      </c>
      <c r="C12" s="11" t="s">
        <v>1379</v>
      </c>
      <c r="D12" s="11" t="s">
        <v>833</v>
      </c>
      <c r="E12" s="11" t="s">
        <v>812</v>
      </c>
      <c r="F12" s="11" t="n">
        <v>3</v>
      </c>
      <c r="H12" s="11" t="s">
        <v>1144</v>
      </c>
      <c r="I12" s="11" t="s">
        <v>1145</v>
      </c>
      <c r="J12" s="11" t="s">
        <v>1144</v>
      </c>
      <c r="K12" s="11" t="s">
        <v>1145</v>
      </c>
      <c r="L12" s="11" t="s">
        <v>766</v>
      </c>
      <c r="M12" s="11" t="n">
        <v>1</v>
      </c>
      <c r="P12" s="11" t="s">
        <v>27</v>
      </c>
    </row>
    <row r="13" customFormat="false" ht="15" hidden="false" customHeight="false" outlineLevel="0" collapsed="false">
      <c r="A13" s="2" t="s">
        <v>4657</v>
      </c>
      <c r="B13" s="11" t="s">
        <v>1182</v>
      </c>
      <c r="C13" s="11" t="s">
        <v>1395</v>
      </c>
      <c r="D13" s="11" t="s">
        <v>833</v>
      </c>
      <c r="E13" s="11" t="s">
        <v>812</v>
      </c>
      <c r="F13" s="11" t="n">
        <v>4</v>
      </c>
      <c r="H13" s="11" t="s">
        <v>1144</v>
      </c>
      <c r="I13" s="11" t="s">
        <v>1145</v>
      </c>
      <c r="J13" s="11" t="s">
        <v>1144</v>
      </c>
      <c r="K13" s="11" t="s">
        <v>1145</v>
      </c>
      <c r="L13" s="11" t="s">
        <v>766</v>
      </c>
      <c r="M13" s="11" t="n">
        <v>1</v>
      </c>
      <c r="P13" s="11" t="s">
        <v>27</v>
      </c>
    </row>
    <row r="14" customFormat="false" ht="15" hidden="false" customHeight="false" outlineLevel="0" collapsed="false">
      <c r="A14" s="2" t="s">
        <v>4658</v>
      </c>
      <c r="B14" s="11" t="s">
        <v>1182</v>
      </c>
      <c r="C14" s="11" t="s">
        <v>1390</v>
      </c>
      <c r="D14" s="11" t="s">
        <v>892</v>
      </c>
      <c r="E14" s="11" t="s">
        <v>834</v>
      </c>
      <c r="F14" s="11" t="n">
        <v>5</v>
      </c>
      <c r="H14" s="11" t="s">
        <v>1144</v>
      </c>
      <c r="I14" s="11" t="s">
        <v>1145</v>
      </c>
      <c r="J14" s="11" t="s">
        <v>1144</v>
      </c>
      <c r="K14" s="11" t="s">
        <v>1145</v>
      </c>
      <c r="L14" s="11" t="s">
        <v>766</v>
      </c>
      <c r="M14" s="11" t="n">
        <v>1</v>
      </c>
      <c r="P14" s="11" t="s">
        <v>27</v>
      </c>
    </row>
    <row r="15" customFormat="false" ht="15" hidden="false" customHeight="false" outlineLevel="0" collapsed="false">
      <c r="A15" s="2" t="s">
        <v>4659</v>
      </c>
      <c r="B15" s="11" t="s">
        <v>1191</v>
      </c>
      <c r="C15" s="11" t="s">
        <v>1390</v>
      </c>
      <c r="D15" s="11" t="s">
        <v>786</v>
      </c>
      <c r="E15" s="11" t="s">
        <v>760</v>
      </c>
      <c r="F15" s="11" t="n">
        <v>1</v>
      </c>
      <c r="H15" s="11" t="s">
        <v>1144</v>
      </c>
      <c r="I15" s="11" t="s">
        <v>1145</v>
      </c>
      <c r="J15" s="11" t="s">
        <v>1144</v>
      </c>
      <c r="K15" s="11" t="s">
        <v>1145</v>
      </c>
      <c r="L15" s="11" t="s">
        <v>766</v>
      </c>
      <c r="M15" s="11" t="n">
        <v>1</v>
      </c>
      <c r="P15" s="11" t="s">
        <v>27</v>
      </c>
    </row>
    <row r="16" customFormat="false" ht="15" hidden="false" customHeight="false" outlineLevel="0" collapsed="false">
      <c r="A16" s="2" t="s">
        <v>4660</v>
      </c>
      <c r="B16" s="11" t="s">
        <v>1191</v>
      </c>
      <c r="C16" s="11" t="s">
        <v>1401</v>
      </c>
      <c r="D16" s="11" t="s">
        <v>850</v>
      </c>
      <c r="E16" s="11" t="s">
        <v>812</v>
      </c>
      <c r="F16" s="11" t="n">
        <v>2</v>
      </c>
      <c r="H16" s="11" t="s">
        <v>1144</v>
      </c>
      <c r="I16" s="11" t="s">
        <v>1145</v>
      </c>
      <c r="J16" s="11" t="s">
        <v>1144</v>
      </c>
      <c r="K16" s="11" t="s">
        <v>1145</v>
      </c>
      <c r="L16" s="11" t="s">
        <v>766</v>
      </c>
      <c r="M16" s="11" t="n">
        <v>1</v>
      </c>
      <c r="P16" s="11" t="s">
        <v>27</v>
      </c>
    </row>
    <row r="17" customFormat="false" ht="15" hidden="false" customHeight="false" outlineLevel="0" collapsed="false">
      <c r="A17" s="2" t="s">
        <v>4661</v>
      </c>
      <c r="B17" s="11" t="s">
        <v>1191</v>
      </c>
      <c r="C17" s="11" t="s">
        <v>1428</v>
      </c>
      <c r="D17" s="11" t="s">
        <v>865</v>
      </c>
      <c r="E17" s="11" t="s">
        <v>787</v>
      </c>
      <c r="F17" s="11" t="n">
        <v>3</v>
      </c>
      <c r="H17" s="11" t="s">
        <v>1144</v>
      </c>
      <c r="I17" s="11" t="s">
        <v>1145</v>
      </c>
      <c r="J17" s="11" t="s">
        <v>1144</v>
      </c>
      <c r="K17" s="11" t="s">
        <v>1145</v>
      </c>
      <c r="L17" s="11" t="s">
        <v>766</v>
      </c>
      <c r="M17" s="11" t="n">
        <v>1</v>
      </c>
      <c r="P17" s="11" t="s">
        <v>27</v>
      </c>
    </row>
    <row r="18" customFormat="false" ht="15" hidden="false" customHeight="false" outlineLevel="0" collapsed="false">
      <c r="A18" s="2" t="s">
        <v>4662</v>
      </c>
      <c r="B18" s="11" t="s">
        <v>1191</v>
      </c>
      <c r="C18" s="11" t="s">
        <v>1433</v>
      </c>
      <c r="D18" s="11" t="s">
        <v>892</v>
      </c>
      <c r="E18" s="11" t="s">
        <v>834</v>
      </c>
      <c r="F18" s="11" t="n">
        <v>4</v>
      </c>
      <c r="H18" s="11" t="s">
        <v>1144</v>
      </c>
      <c r="I18" s="11" t="s">
        <v>1145</v>
      </c>
      <c r="J18" s="11" t="s">
        <v>1144</v>
      </c>
      <c r="K18" s="11" t="s">
        <v>1145</v>
      </c>
      <c r="L18" s="11" t="s">
        <v>766</v>
      </c>
      <c r="M18" s="11" t="n">
        <v>1</v>
      </c>
      <c r="P18" s="11" t="s">
        <v>27</v>
      </c>
    </row>
    <row r="19" customFormat="false" ht="15" hidden="false" customHeight="false" outlineLevel="0" collapsed="false">
      <c r="A19" s="2" t="s">
        <v>4663</v>
      </c>
      <c r="B19" s="11" t="s">
        <v>1202</v>
      </c>
      <c r="C19" s="11" t="s">
        <v>1390</v>
      </c>
      <c r="D19" s="11" t="s">
        <v>876</v>
      </c>
      <c r="E19" s="11" t="s">
        <v>760</v>
      </c>
      <c r="F19" s="11" t="n">
        <v>1</v>
      </c>
      <c r="H19" s="11" t="s">
        <v>1144</v>
      </c>
      <c r="I19" s="11" t="s">
        <v>1145</v>
      </c>
      <c r="J19" s="11" t="s">
        <v>1144</v>
      </c>
      <c r="K19" s="11" t="s">
        <v>1145</v>
      </c>
      <c r="L19" s="11" t="s">
        <v>766</v>
      </c>
      <c r="M19" s="11" t="n">
        <v>1</v>
      </c>
      <c r="P19" s="11" t="s">
        <v>27</v>
      </c>
    </row>
    <row r="20" customFormat="false" ht="15" hidden="false" customHeight="false" outlineLevel="0" collapsed="false">
      <c r="A20" s="2" t="s">
        <v>4664</v>
      </c>
      <c r="B20" s="11" t="s">
        <v>1202</v>
      </c>
      <c r="C20" s="11" t="s">
        <v>1395</v>
      </c>
      <c r="D20" s="11" t="s">
        <v>833</v>
      </c>
      <c r="E20" s="11" t="s">
        <v>812</v>
      </c>
      <c r="F20" s="11" t="n">
        <v>2</v>
      </c>
      <c r="H20" s="11" t="s">
        <v>1144</v>
      </c>
      <c r="I20" s="11" t="s">
        <v>1145</v>
      </c>
      <c r="J20" s="11" t="s">
        <v>1144</v>
      </c>
      <c r="K20" s="11" t="s">
        <v>1145</v>
      </c>
      <c r="L20" s="11" t="s">
        <v>766</v>
      </c>
      <c r="M20" s="11" t="n">
        <v>1</v>
      </c>
      <c r="P20" s="11" t="s">
        <v>27</v>
      </c>
    </row>
    <row r="21" customFormat="false" ht="15" hidden="false" customHeight="false" outlineLevel="0" collapsed="false">
      <c r="A21" s="2" t="s">
        <v>4665</v>
      </c>
      <c r="B21" s="11" t="s">
        <v>1202</v>
      </c>
      <c r="C21" s="11" t="s">
        <v>1401</v>
      </c>
      <c r="D21" s="11" t="s">
        <v>850</v>
      </c>
      <c r="E21" s="11" t="s">
        <v>812</v>
      </c>
      <c r="F21" s="11" t="n">
        <v>3</v>
      </c>
      <c r="H21" s="11" t="s">
        <v>1144</v>
      </c>
      <c r="I21" s="11" t="s">
        <v>1145</v>
      </c>
      <c r="J21" s="11" t="s">
        <v>1144</v>
      </c>
      <c r="K21" s="11" t="s">
        <v>1145</v>
      </c>
      <c r="L21" s="11" t="s">
        <v>766</v>
      </c>
      <c r="M21" s="11" t="n">
        <v>1</v>
      </c>
      <c r="P21" s="11" t="s">
        <v>27</v>
      </c>
    </row>
    <row r="22" customFormat="false" ht="15" hidden="false" customHeight="false" outlineLevel="0" collapsed="false">
      <c r="A22" s="2" t="s">
        <v>4666</v>
      </c>
      <c r="B22" s="11" t="s">
        <v>1202</v>
      </c>
      <c r="C22" s="11" t="s">
        <v>1423</v>
      </c>
      <c r="D22" s="11" t="s">
        <v>865</v>
      </c>
      <c r="E22" s="11" t="s">
        <v>787</v>
      </c>
      <c r="F22" s="11" t="n">
        <v>4</v>
      </c>
      <c r="H22" s="11" t="s">
        <v>1144</v>
      </c>
      <c r="I22" s="11" t="s">
        <v>1145</v>
      </c>
      <c r="J22" s="11" t="s">
        <v>1144</v>
      </c>
      <c r="K22" s="11" t="s">
        <v>1145</v>
      </c>
      <c r="L22" s="11" t="s">
        <v>766</v>
      </c>
      <c r="M22" s="11" t="n">
        <v>1</v>
      </c>
      <c r="P22" s="11" t="s">
        <v>27</v>
      </c>
    </row>
    <row r="23" customFormat="false" ht="15" hidden="false" customHeight="false" outlineLevel="0" collapsed="false">
      <c r="A23" s="2" t="s">
        <v>4667</v>
      </c>
      <c r="B23" s="11" t="s">
        <v>1202</v>
      </c>
      <c r="C23" s="11" t="s">
        <v>1406</v>
      </c>
      <c r="D23" s="11" t="s">
        <v>811</v>
      </c>
      <c r="E23" s="11" t="s">
        <v>812</v>
      </c>
      <c r="F23" s="11" t="n">
        <v>5</v>
      </c>
      <c r="H23" s="11" t="s">
        <v>1144</v>
      </c>
      <c r="I23" s="11" t="s">
        <v>1145</v>
      </c>
      <c r="J23" s="11" t="s">
        <v>1144</v>
      </c>
      <c r="K23" s="11" t="s">
        <v>1145</v>
      </c>
      <c r="L23" s="11" t="s">
        <v>766</v>
      </c>
      <c r="M23" s="11" t="n">
        <v>1</v>
      </c>
      <c r="P23" s="11" t="s">
        <v>27</v>
      </c>
    </row>
    <row r="24" customFormat="false" ht="15" hidden="false" customHeight="false" outlineLevel="0" collapsed="false">
      <c r="A24" s="2" t="s">
        <v>4668</v>
      </c>
      <c r="B24" s="11" t="s">
        <v>1213</v>
      </c>
      <c r="C24" s="11" t="s">
        <v>1348</v>
      </c>
      <c r="D24" s="11" t="s">
        <v>884</v>
      </c>
      <c r="E24" s="11" t="s">
        <v>812</v>
      </c>
      <c r="F24" s="11" t="n">
        <v>1</v>
      </c>
      <c r="H24" s="11" t="s">
        <v>1144</v>
      </c>
      <c r="I24" s="11" t="s">
        <v>1145</v>
      </c>
      <c r="J24" s="11" t="s">
        <v>1144</v>
      </c>
      <c r="K24" s="11" t="s">
        <v>1145</v>
      </c>
      <c r="L24" s="11" t="s">
        <v>766</v>
      </c>
      <c r="M24" s="11" t="n">
        <v>1</v>
      </c>
      <c r="P24" s="11" t="s">
        <v>27</v>
      </c>
    </row>
    <row r="25" customFormat="false" ht="15" hidden="false" customHeight="false" outlineLevel="0" collapsed="false">
      <c r="A25" s="2" t="s">
        <v>4669</v>
      </c>
      <c r="B25" s="11" t="s">
        <v>1213</v>
      </c>
      <c r="C25" s="11" t="s">
        <v>1379</v>
      </c>
      <c r="D25" s="11" t="s">
        <v>833</v>
      </c>
      <c r="E25" s="11" t="s">
        <v>812</v>
      </c>
      <c r="F25" s="11" t="n">
        <v>2</v>
      </c>
      <c r="H25" s="11" t="s">
        <v>1144</v>
      </c>
      <c r="I25" s="11" t="s">
        <v>1145</v>
      </c>
      <c r="J25" s="11" t="s">
        <v>1144</v>
      </c>
      <c r="K25" s="11" t="s">
        <v>1145</v>
      </c>
      <c r="L25" s="11" t="s">
        <v>766</v>
      </c>
      <c r="M25" s="11" t="n">
        <v>1</v>
      </c>
      <c r="P25" s="11" t="s">
        <v>27</v>
      </c>
    </row>
    <row r="26" customFormat="false" ht="15" hidden="false" customHeight="false" outlineLevel="0" collapsed="false">
      <c r="A26" s="2" t="s">
        <v>4670</v>
      </c>
      <c r="B26" s="11" t="s">
        <v>1213</v>
      </c>
      <c r="C26" s="11" t="s">
        <v>1401</v>
      </c>
      <c r="D26" s="11" t="s">
        <v>850</v>
      </c>
      <c r="E26" s="11" t="s">
        <v>812</v>
      </c>
      <c r="F26" s="11" t="n">
        <v>3</v>
      </c>
      <c r="H26" s="11" t="s">
        <v>1144</v>
      </c>
      <c r="I26" s="11" t="s">
        <v>1145</v>
      </c>
      <c r="J26" s="11" t="s">
        <v>1144</v>
      </c>
      <c r="K26" s="11" t="s">
        <v>1145</v>
      </c>
      <c r="L26" s="11" t="s">
        <v>766</v>
      </c>
      <c r="M26" s="11" t="n">
        <v>1</v>
      </c>
      <c r="P26" s="11" t="s">
        <v>27</v>
      </c>
    </row>
    <row r="27" customFormat="false" ht="15" hidden="false" customHeight="false" outlineLevel="0" collapsed="false">
      <c r="A27" s="2" t="s">
        <v>4671</v>
      </c>
      <c r="B27" s="11" t="s">
        <v>1224</v>
      </c>
      <c r="C27" s="11" t="s">
        <v>1385</v>
      </c>
      <c r="D27" s="11" t="s">
        <v>786</v>
      </c>
      <c r="E27" s="11" t="s">
        <v>760</v>
      </c>
      <c r="F27" s="11" t="n">
        <v>1</v>
      </c>
      <c r="H27" s="11" t="s">
        <v>1144</v>
      </c>
      <c r="I27" s="11" t="s">
        <v>1145</v>
      </c>
      <c r="J27" s="11" t="s">
        <v>1144</v>
      </c>
      <c r="K27" s="11" t="s">
        <v>1145</v>
      </c>
      <c r="L27" s="11" t="s">
        <v>766</v>
      </c>
      <c r="M27" s="11" t="n">
        <v>1</v>
      </c>
      <c r="P27" s="11" t="s">
        <v>27</v>
      </c>
    </row>
    <row r="28" customFormat="false" ht="15" hidden="false" customHeight="false" outlineLevel="0" collapsed="false">
      <c r="A28" s="2" t="s">
        <v>4672</v>
      </c>
      <c r="B28" s="11" t="s">
        <v>1224</v>
      </c>
      <c r="C28" s="11" t="s">
        <v>1341</v>
      </c>
      <c r="D28" s="11" t="s">
        <v>759</v>
      </c>
      <c r="E28" s="11" t="s">
        <v>760</v>
      </c>
      <c r="F28" s="11" t="n">
        <v>2</v>
      </c>
      <c r="H28" s="11" t="s">
        <v>1144</v>
      </c>
      <c r="I28" s="11" t="s">
        <v>1145</v>
      </c>
      <c r="J28" s="11" t="s">
        <v>1144</v>
      </c>
      <c r="K28" s="11" t="s">
        <v>1145</v>
      </c>
      <c r="L28" s="11" t="s">
        <v>766</v>
      </c>
      <c r="M28" s="11" t="n">
        <v>1</v>
      </c>
      <c r="P28" s="11" t="s">
        <v>27</v>
      </c>
    </row>
    <row r="29" customFormat="false" ht="15" hidden="false" customHeight="false" outlineLevel="0" collapsed="false">
      <c r="A29" s="2" t="s">
        <v>4673</v>
      </c>
      <c r="B29" s="11" t="s">
        <v>1224</v>
      </c>
      <c r="C29" s="11" t="s">
        <v>1428</v>
      </c>
      <c r="D29" s="11" t="s">
        <v>865</v>
      </c>
      <c r="E29" s="11" t="s">
        <v>787</v>
      </c>
      <c r="F29" s="11" t="n">
        <v>3</v>
      </c>
      <c r="H29" s="11" t="s">
        <v>1144</v>
      </c>
      <c r="I29" s="11" t="s">
        <v>1145</v>
      </c>
      <c r="J29" s="11" t="s">
        <v>1144</v>
      </c>
      <c r="K29" s="11" t="s">
        <v>1145</v>
      </c>
      <c r="L29" s="11" t="s">
        <v>766</v>
      </c>
      <c r="M29" s="11" t="n">
        <v>1</v>
      </c>
      <c r="P29" s="11" t="s">
        <v>27</v>
      </c>
    </row>
    <row r="30" customFormat="false" ht="15" hidden="false" customHeight="false" outlineLevel="0" collapsed="false">
      <c r="A30" s="2" t="s">
        <v>4674</v>
      </c>
      <c r="B30" s="11" t="s">
        <v>1224</v>
      </c>
      <c r="C30" s="11" t="s">
        <v>1433</v>
      </c>
      <c r="D30" s="11" t="s">
        <v>892</v>
      </c>
      <c r="E30" s="11" t="s">
        <v>834</v>
      </c>
      <c r="F30" s="11" t="n">
        <v>4</v>
      </c>
      <c r="H30" s="11" t="s">
        <v>1144</v>
      </c>
      <c r="I30" s="11" t="s">
        <v>1145</v>
      </c>
      <c r="J30" s="11" t="s">
        <v>1144</v>
      </c>
      <c r="K30" s="11" t="s">
        <v>1145</v>
      </c>
      <c r="L30" s="11" t="s">
        <v>766</v>
      </c>
      <c r="M30" s="11" t="n">
        <v>1</v>
      </c>
      <c r="P30" s="11" t="s">
        <v>27</v>
      </c>
    </row>
    <row r="31" customFormat="false" ht="15" hidden="false" customHeight="false" outlineLevel="0" collapsed="false">
      <c r="A31" s="2" t="s">
        <v>4675</v>
      </c>
      <c r="B31" s="11" t="s">
        <v>1233</v>
      </c>
      <c r="C31" s="11" t="s">
        <v>1354</v>
      </c>
      <c r="D31" s="11" t="s">
        <v>759</v>
      </c>
      <c r="E31" s="11" t="s">
        <v>760</v>
      </c>
      <c r="F31" s="11" t="n">
        <v>1</v>
      </c>
      <c r="H31" s="11" t="s">
        <v>1144</v>
      </c>
      <c r="I31" s="11" t="s">
        <v>1145</v>
      </c>
      <c r="J31" s="11" t="s">
        <v>1144</v>
      </c>
      <c r="K31" s="11" t="s">
        <v>1145</v>
      </c>
      <c r="L31" s="11" t="s">
        <v>766</v>
      </c>
      <c r="M31" s="11" t="n">
        <v>1</v>
      </c>
      <c r="P31" s="11" t="s">
        <v>27</v>
      </c>
    </row>
    <row r="32" customFormat="false" ht="15" hidden="false" customHeight="false" outlineLevel="0" collapsed="false">
      <c r="A32" s="2" t="s">
        <v>4676</v>
      </c>
      <c r="B32" s="11" t="s">
        <v>1233</v>
      </c>
      <c r="C32" s="11" t="s">
        <v>1369</v>
      </c>
      <c r="D32" s="11" t="s">
        <v>811</v>
      </c>
      <c r="E32" s="11" t="s">
        <v>812</v>
      </c>
      <c r="F32" s="11" t="n">
        <v>2</v>
      </c>
      <c r="H32" s="11" t="s">
        <v>1144</v>
      </c>
      <c r="I32" s="11" t="s">
        <v>1145</v>
      </c>
      <c r="J32" s="11" t="s">
        <v>1144</v>
      </c>
      <c r="K32" s="11" t="s">
        <v>1145</v>
      </c>
      <c r="L32" s="11" t="s">
        <v>766</v>
      </c>
      <c r="M32" s="11" t="n">
        <v>1</v>
      </c>
      <c r="P32" s="11" t="s">
        <v>27</v>
      </c>
    </row>
    <row r="33" customFormat="false" ht="15" hidden="false" customHeight="false" outlineLevel="0" collapsed="false">
      <c r="A33" s="2" t="s">
        <v>4677</v>
      </c>
      <c r="B33" s="11" t="s">
        <v>1233</v>
      </c>
      <c r="C33" s="11" t="s">
        <v>1438</v>
      </c>
      <c r="D33" s="11" t="s">
        <v>811</v>
      </c>
      <c r="E33" s="11" t="s">
        <v>812</v>
      </c>
      <c r="F33" s="11" t="n">
        <v>3</v>
      </c>
      <c r="H33" s="11" t="s">
        <v>1144</v>
      </c>
      <c r="I33" s="11" t="s">
        <v>1145</v>
      </c>
      <c r="J33" s="11" t="s">
        <v>1144</v>
      </c>
      <c r="K33" s="11" t="s">
        <v>1145</v>
      </c>
      <c r="L33" s="11" t="s">
        <v>766</v>
      </c>
      <c r="M33" s="11" t="n">
        <v>1</v>
      </c>
      <c r="P33" s="11" t="s">
        <v>27</v>
      </c>
    </row>
    <row r="34" customFormat="false" ht="15" hidden="false" customHeight="false" outlineLevel="0" collapsed="false">
      <c r="A34" s="2" t="s">
        <v>4678</v>
      </c>
      <c r="B34" s="11" t="s">
        <v>1233</v>
      </c>
      <c r="C34" s="11" t="s">
        <v>1379</v>
      </c>
      <c r="D34" s="11" t="s">
        <v>833</v>
      </c>
      <c r="E34" s="11" t="s">
        <v>812</v>
      </c>
      <c r="F34" s="11" t="n">
        <v>4</v>
      </c>
      <c r="H34" s="11" t="s">
        <v>1144</v>
      </c>
      <c r="I34" s="11" t="s">
        <v>1145</v>
      </c>
      <c r="J34" s="11" t="s">
        <v>1144</v>
      </c>
      <c r="K34" s="11" t="s">
        <v>1145</v>
      </c>
      <c r="L34" s="11" t="s">
        <v>766</v>
      </c>
      <c r="M34" s="11" t="n">
        <v>1</v>
      </c>
      <c r="P34" s="11" t="s">
        <v>27</v>
      </c>
    </row>
    <row r="35" customFormat="false" ht="15" hidden="false" customHeight="false" outlineLevel="0" collapsed="false">
      <c r="A35" s="2" t="s">
        <v>4679</v>
      </c>
      <c r="B35" s="11" t="s">
        <v>1241</v>
      </c>
      <c r="C35" s="11" t="s">
        <v>1364</v>
      </c>
      <c r="D35" s="11" t="s">
        <v>786</v>
      </c>
      <c r="E35" s="11" t="s">
        <v>760</v>
      </c>
      <c r="F35" s="11" t="n">
        <v>1</v>
      </c>
      <c r="H35" s="11" t="s">
        <v>1144</v>
      </c>
      <c r="I35" s="11" t="s">
        <v>1145</v>
      </c>
      <c r="J35" s="11" t="s">
        <v>1144</v>
      </c>
      <c r="K35" s="11" t="s">
        <v>1145</v>
      </c>
      <c r="L35" s="11" t="s">
        <v>766</v>
      </c>
      <c r="M35" s="11" t="n">
        <v>1</v>
      </c>
      <c r="P35" s="11" t="s">
        <v>27</v>
      </c>
    </row>
    <row r="36" customFormat="false" ht="15" hidden="false" customHeight="false" outlineLevel="0" collapsed="false">
      <c r="A36" s="2" t="s">
        <v>4680</v>
      </c>
      <c r="B36" s="11" t="s">
        <v>1241</v>
      </c>
      <c r="C36" s="11" t="s">
        <v>1395</v>
      </c>
      <c r="D36" s="11" t="s">
        <v>833</v>
      </c>
      <c r="E36" s="11" t="s">
        <v>812</v>
      </c>
      <c r="F36" s="11" t="n">
        <v>2</v>
      </c>
      <c r="H36" s="11" t="s">
        <v>1144</v>
      </c>
      <c r="I36" s="11" t="s">
        <v>1145</v>
      </c>
      <c r="J36" s="11" t="s">
        <v>1144</v>
      </c>
      <c r="K36" s="11" t="s">
        <v>1145</v>
      </c>
      <c r="L36" s="11" t="s">
        <v>766</v>
      </c>
      <c r="M36" s="11" t="n">
        <v>1</v>
      </c>
      <c r="P36" s="11" t="s">
        <v>27</v>
      </c>
    </row>
    <row r="37" customFormat="false" ht="15" hidden="false" customHeight="false" outlineLevel="0" collapsed="false">
      <c r="A37" s="2" t="s">
        <v>4681</v>
      </c>
      <c r="B37" s="11" t="s">
        <v>1241</v>
      </c>
      <c r="C37" s="11" t="s">
        <v>1412</v>
      </c>
      <c r="D37" s="11" t="s">
        <v>833</v>
      </c>
      <c r="E37" s="11" t="s">
        <v>812</v>
      </c>
      <c r="F37" s="11" t="n">
        <v>3</v>
      </c>
      <c r="H37" s="11" t="s">
        <v>1144</v>
      </c>
      <c r="I37" s="11" t="s">
        <v>1145</v>
      </c>
      <c r="J37" s="11" t="s">
        <v>1144</v>
      </c>
      <c r="K37" s="11" t="s">
        <v>1145</v>
      </c>
      <c r="L37" s="11" t="s">
        <v>766</v>
      </c>
      <c r="M37" s="11" t="n">
        <v>1</v>
      </c>
      <c r="P37" s="11" t="s">
        <v>27</v>
      </c>
    </row>
    <row r="38" customFormat="false" ht="15" hidden="false" customHeight="false" outlineLevel="0" collapsed="false">
      <c r="A38" s="2" t="s">
        <v>4682</v>
      </c>
      <c r="B38" s="11" t="s">
        <v>1241</v>
      </c>
      <c r="C38" s="11" t="s">
        <v>1455</v>
      </c>
      <c r="D38" s="11" t="s">
        <v>811</v>
      </c>
      <c r="E38" s="11" t="s">
        <v>812</v>
      </c>
      <c r="F38" s="11" t="n">
        <v>4</v>
      </c>
      <c r="H38" s="11" t="s">
        <v>1144</v>
      </c>
      <c r="I38" s="11" t="s">
        <v>1145</v>
      </c>
      <c r="J38" s="11" t="s">
        <v>1144</v>
      </c>
      <c r="K38" s="11" t="s">
        <v>1145</v>
      </c>
      <c r="L38" s="11" t="s">
        <v>766</v>
      </c>
      <c r="M38" s="11" t="n">
        <v>1</v>
      </c>
      <c r="P38" s="11" t="s">
        <v>27</v>
      </c>
    </row>
    <row r="39" customFormat="false" ht="15" hidden="false" customHeight="false" outlineLevel="0" collapsed="false">
      <c r="A39" s="2" t="s">
        <v>4683</v>
      </c>
      <c r="B39" s="11" t="s">
        <v>1249</v>
      </c>
      <c r="C39" s="11" t="s">
        <v>1364</v>
      </c>
      <c r="D39" s="11" t="s">
        <v>786</v>
      </c>
      <c r="E39" s="11" t="s">
        <v>760</v>
      </c>
      <c r="F39" s="11" t="n">
        <v>1</v>
      </c>
      <c r="H39" s="11" t="s">
        <v>1144</v>
      </c>
      <c r="I39" s="11" t="s">
        <v>1145</v>
      </c>
      <c r="J39" s="11" t="s">
        <v>1144</v>
      </c>
      <c r="K39" s="11" t="s">
        <v>1145</v>
      </c>
      <c r="L39" s="11" t="s">
        <v>766</v>
      </c>
      <c r="M39" s="11" t="n">
        <v>1</v>
      </c>
      <c r="P39" s="11" t="s">
        <v>27</v>
      </c>
    </row>
    <row r="40" customFormat="false" ht="15" hidden="false" customHeight="false" outlineLevel="0" collapsed="false">
      <c r="A40" s="2" t="s">
        <v>4684</v>
      </c>
      <c r="B40" s="11" t="s">
        <v>1249</v>
      </c>
      <c r="C40" s="11" t="s">
        <v>1354</v>
      </c>
      <c r="D40" s="11" t="s">
        <v>833</v>
      </c>
      <c r="E40" s="11" t="s">
        <v>812</v>
      </c>
      <c r="F40" s="11" t="n">
        <v>2</v>
      </c>
      <c r="H40" s="11" t="s">
        <v>1144</v>
      </c>
      <c r="I40" s="11" t="s">
        <v>1145</v>
      </c>
      <c r="J40" s="11" t="s">
        <v>1144</v>
      </c>
      <c r="K40" s="11" t="s">
        <v>1145</v>
      </c>
      <c r="L40" s="11" t="s">
        <v>766</v>
      </c>
      <c r="M40" s="11" t="n">
        <v>1</v>
      </c>
      <c r="P40" s="11" t="s">
        <v>27</v>
      </c>
    </row>
    <row r="41" customFormat="false" ht="15" hidden="false" customHeight="false" outlineLevel="0" collapsed="false">
      <c r="A41" s="2" t="s">
        <v>4685</v>
      </c>
      <c r="B41" s="11" t="s">
        <v>1249</v>
      </c>
      <c r="C41" s="11" t="s">
        <v>1423</v>
      </c>
      <c r="D41" s="11" t="s">
        <v>865</v>
      </c>
      <c r="E41" s="11" t="s">
        <v>787</v>
      </c>
      <c r="F41" s="11" t="n">
        <v>3</v>
      </c>
      <c r="H41" s="11" t="s">
        <v>1144</v>
      </c>
      <c r="I41" s="11" t="s">
        <v>1145</v>
      </c>
      <c r="J41" s="11" t="s">
        <v>1144</v>
      </c>
      <c r="K41" s="11" t="s">
        <v>1145</v>
      </c>
      <c r="L41" s="11" t="s">
        <v>766</v>
      </c>
      <c r="M41" s="11" t="n">
        <v>1</v>
      </c>
      <c r="P41" s="11" t="s">
        <v>27</v>
      </c>
    </row>
    <row r="42" customFormat="false" ht="15" hidden="false" customHeight="false" outlineLevel="0" collapsed="false">
      <c r="A42" s="2" t="s">
        <v>4686</v>
      </c>
      <c r="B42" s="11" t="s">
        <v>1249</v>
      </c>
      <c r="C42" s="11" t="s">
        <v>1438</v>
      </c>
      <c r="D42" s="11" t="s">
        <v>833</v>
      </c>
      <c r="E42" s="11" t="s">
        <v>812</v>
      </c>
      <c r="F42" s="11" t="n">
        <v>4</v>
      </c>
      <c r="H42" s="11" t="s">
        <v>1144</v>
      </c>
      <c r="I42" s="11" t="s">
        <v>1145</v>
      </c>
      <c r="J42" s="11" t="s">
        <v>1144</v>
      </c>
      <c r="K42" s="11" t="s">
        <v>1145</v>
      </c>
      <c r="L42" s="11" t="s">
        <v>766</v>
      </c>
      <c r="M42" s="11" t="n">
        <v>1</v>
      </c>
      <c r="P42" s="11" t="s">
        <v>27</v>
      </c>
    </row>
    <row r="43" customFormat="false" ht="15" hidden="false" customHeight="false" outlineLevel="0" collapsed="false">
      <c r="A43" s="2" t="s">
        <v>4687</v>
      </c>
      <c r="B43" s="11" t="s">
        <v>1257</v>
      </c>
      <c r="C43" s="11" t="s">
        <v>1364</v>
      </c>
      <c r="D43" s="11" t="s">
        <v>786</v>
      </c>
      <c r="E43" s="11" t="s">
        <v>760</v>
      </c>
      <c r="F43" s="11" t="n">
        <v>1</v>
      </c>
      <c r="H43" s="11" t="s">
        <v>1144</v>
      </c>
      <c r="I43" s="11" t="s">
        <v>1145</v>
      </c>
      <c r="J43" s="11" t="s">
        <v>1144</v>
      </c>
      <c r="K43" s="11" t="s">
        <v>1145</v>
      </c>
      <c r="L43" s="11" t="s">
        <v>766</v>
      </c>
      <c r="M43" s="11" t="n">
        <v>1</v>
      </c>
      <c r="P43" s="11" t="s">
        <v>27</v>
      </c>
    </row>
    <row r="44" customFormat="false" ht="15" hidden="false" customHeight="false" outlineLevel="0" collapsed="false">
      <c r="A44" s="2" t="s">
        <v>4688</v>
      </c>
      <c r="B44" s="11" t="s">
        <v>1257</v>
      </c>
      <c r="C44" s="11" t="s">
        <v>1395</v>
      </c>
      <c r="D44" s="11" t="s">
        <v>850</v>
      </c>
      <c r="E44" s="11" t="s">
        <v>812</v>
      </c>
      <c r="F44" s="11" t="n">
        <v>2</v>
      </c>
      <c r="H44" s="11" t="s">
        <v>1144</v>
      </c>
      <c r="I44" s="11" t="s">
        <v>1145</v>
      </c>
      <c r="J44" s="11" t="s">
        <v>1144</v>
      </c>
      <c r="K44" s="11" t="s">
        <v>1145</v>
      </c>
      <c r="L44" s="11" t="s">
        <v>766</v>
      </c>
      <c r="M44" s="11" t="n">
        <v>1</v>
      </c>
      <c r="P44" s="11" t="s">
        <v>27</v>
      </c>
    </row>
    <row r="45" customFormat="false" ht="15" hidden="false" customHeight="false" outlineLevel="0" collapsed="false">
      <c r="A45" s="2" t="s">
        <v>4689</v>
      </c>
      <c r="B45" s="11" t="s">
        <v>1257</v>
      </c>
      <c r="C45" s="11" t="s">
        <v>1401</v>
      </c>
      <c r="D45" s="11" t="s">
        <v>850</v>
      </c>
      <c r="E45" s="11" t="s">
        <v>812</v>
      </c>
      <c r="F45" s="11" t="n">
        <v>3</v>
      </c>
      <c r="H45" s="11" t="s">
        <v>1144</v>
      </c>
      <c r="I45" s="11" t="s">
        <v>1145</v>
      </c>
      <c r="J45" s="11" t="s">
        <v>1144</v>
      </c>
      <c r="K45" s="11" t="s">
        <v>1145</v>
      </c>
      <c r="L45" s="11" t="s">
        <v>766</v>
      </c>
      <c r="M45" s="11" t="n">
        <v>1</v>
      </c>
      <c r="P45" s="11" t="s">
        <v>27</v>
      </c>
    </row>
    <row r="46" customFormat="false" ht="15" hidden="false" customHeight="false" outlineLevel="0" collapsed="false">
      <c r="A46" s="2" t="s">
        <v>4690</v>
      </c>
      <c r="B46" s="11" t="s">
        <v>1257</v>
      </c>
      <c r="C46" s="11" t="s">
        <v>1418</v>
      </c>
      <c r="D46" s="11" t="s">
        <v>833</v>
      </c>
      <c r="E46" s="11" t="s">
        <v>812</v>
      </c>
      <c r="F46" s="11" t="n">
        <v>4</v>
      </c>
      <c r="H46" s="11" t="s">
        <v>1144</v>
      </c>
      <c r="I46" s="11" t="s">
        <v>1145</v>
      </c>
      <c r="J46" s="11" t="s">
        <v>1144</v>
      </c>
      <c r="K46" s="11" t="s">
        <v>1145</v>
      </c>
      <c r="L46" s="11" t="s">
        <v>766</v>
      </c>
      <c r="M46" s="11" t="n">
        <v>1</v>
      </c>
      <c r="P46" s="11" t="s">
        <v>27</v>
      </c>
    </row>
    <row r="47" customFormat="false" ht="15" hidden="false" customHeight="false" outlineLevel="0" collapsed="false">
      <c r="A47" s="2" t="s">
        <v>4691</v>
      </c>
      <c r="B47" s="11" t="s">
        <v>1266</v>
      </c>
      <c r="C47" s="11" t="s">
        <v>1364</v>
      </c>
      <c r="D47" s="11" t="s">
        <v>786</v>
      </c>
      <c r="E47" s="11" t="s">
        <v>760</v>
      </c>
      <c r="F47" s="11" t="n">
        <v>1</v>
      </c>
      <c r="H47" s="11" t="s">
        <v>1144</v>
      </c>
      <c r="I47" s="11" t="s">
        <v>1145</v>
      </c>
      <c r="J47" s="11" t="s">
        <v>1144</v>
      </c>
      <c r="K47" s="11" t="s">
        <v>1145</v>
      </c>
      <c r="L47" s="11" t="s">
        <v>766</v>
      </c>
      <c r="M47" s="11" t="n">
        <v>1</v>
      </c>
      <c r="P47" s="11" t="s">
        <v>27</v>
      </c>
    </row>
    <row r="48" customFormat="false" ht="15" hidden="false" customHeight="false" outlineLevel="0" collapsed="false">
      <c r="A48" s="2" t="s">
        <v>4692</v>
      </c>
      <c r="B48" s="11" t="s">
        <v>1266</v>
      </c>
      <c r="C48" s="11" t="s">
        <v>1395</v>
      </c>
      <c r="D48" s="11" t="s">
        <v>833</v>
      </c>
      <c r="E48" s="11" t="s">
        <v>812</v>
      </c>
      <c r="F48" s="11" t="n">
        <v>2</v>
      </c>
      <c r="H48" s="11" t="s">
        <v>1144</v>
      </c>
      <c r="I48" s="11" t="s">
        <v>1145</v>
      </c>
      <c r="J48" s="11" t="s">
        <v>1144</v>
      </c>
      <c r="K48" s="11" t="s">
        <v>1145</v>
      </c>
      <c r="L48" s="11" t="s">
        <v>766</v>
      </c>
      <c r="M48" s="11" t="n">
        <v>1</v>
      </c>
      <c r="P48" s="11" t="s">
        <v>27</v>
      </c>
    </row>
    <row r="49" customFormat="false" ht="15" hidden="false" customHeight="false" outlineLevel="0" collapsed="false">
      <c r="A49" s="2" t="s">
        <v>4693</v>
      </c>
      <c r="B49" s="11" t="s">
        <v>1266</v>
      </c>
      <c r="C49" s="11" t="s">
        <v>1428</v>
      </c>
      <c r="D49" s="11" t="s">
        <v>865</v>
      </c>
      <c r="E49" s="11" t="s">
        <v>787</v>
      </c>
      <c r="F49" s="11" t="n">
        <v>3</v>
      </c>
      <c r="H49" s="11" t="s">
        <v>1144</v>
      </c>
      <c r="I49" s="11" t="s">
        <v>1145</v>
      </c>
      <c r="J49" s="11" t="s">
        <v>1144</v>
      </c>
      <c r="K49" s="11" t="s">
        <v>1145</v>
      </c>
      <c r="L49" s="11" t="s">
        <v>766</v>
      </c>
      <c r="M49" s="11" t="n">
        <v>1</v>
      </c>
      <c r="P49" s="11" t="s">
        <v>27</v>
      </c>
    </row>
    <row r="50" customFormat="false" ht="15" hidden="false" customHeight="false" outlineLevel="0" collapsed="false">
      <c r="A50" s="2" t="s">
        <v>4694</v>
      </c>
      <c r="B50" s="11" t="s">
        <v>1266</v>
      </c>
      <c r="C50" s="11" t="s">
        <v>1433</v>
      </c>
      <c r="D50" s="11" t="s">
        <v>892</v>
      </c>
      <c r="E50" s="11" t="s">
        <v>834</v>
      </c>
      <c r="F50" s="11" t="n">
        <v>4</v>
      </c>
      <c r="H50" s="11" t="s">
        <v>1144</v>
      </c>
      <c r="I50" s="11" t="s">
        <v>1145</v>
      </c>
      <c r="J50" s="11" t="s">
        <v>1144</v>
      </c>
      <c r="K50" s="11" t="s">
        <v>1145</v>
      </c>
      <c r="L50" s="11" t="s">
        <v>766</v>
      </c>
      <c r="M50" s="11" t="n">
        <v>1</v>
      </c>
      <c r="P50" s="11" t="s">
        <v>27</v>
      </c>
    </row>
    <row r="51" customFormat="false" ht="15" hidden="false" customHeight="false" outlineLevel="0" collapsed="false">
      <c r="A51" s="2" t="s">
        <v>4695</v>
      </c>
      <c r="B51" s="11" t="s">
        <v>1277</v>
      </c>
      <c r="C51" s="11" t="s">
        <v>1395</v>
      </c>
      <c r="D51" s="11" t="s">
        <v>786</v>
      </c>
      <c r="E51" s="11" t="s">
        <v>760</v>
      </c>
      <c r="F51" s="11" t="n">
        <v>1</v>
      </c>
      <c r="H51" s="11" t="s">
        <v>1144</v>
      </c>
      <c r="I51" s="11" t="s">
        <v>1145</v>
      </c>
      <c r="J51" s="11" t="s">
        <v>1144</v>
      </c>
      <c r="K51" s="11" t="s">
        <v>1145</v>
      </c>
      <c r="L51" s="11" t="s">
        <v>766</v>
      </c>
      <c r="M51" s="11" t="n">
        <v>1</v>
      </c>
      <c r="P51" s="11" t="s">
        <v>27</v>
      </c>
    </row>
    <row r="52" customFormat="false" ht="15" hidden="false" customHeight="false" outlineLevel="0" collapsed="false">
      <c r="A52" s="2" t="s">
        <v>4696</v>
      </c>
      <c r="B52" s="11" t="s">
        <v>1277</v>
      </c>
      <c r="C52" s="11" t="s">
        <v>1401</v>
      </c>
      <c r="D52" s="11" t="s">
        <v>850</v>
      </c>
      <c r="E52" s="11" t="s">
        <v>812</v>
      </c>
      <c r="F52" s="11" t="n">
        <v>2</v>
      </c>
      <c r="H52" s="11" t="s">
        <v>1144</v>
      </c>
      <c r="I52" s="11" t="s">
        <v>1145</v>
      </c>
      <c r="J52" s="11" t="s">
        <v>1144</v>
      </c>
      <c r="K52" s="11" t="s">
        <v>1145</v>
      </c>
      <c r="L52" s="11" t="s">
        <v>766</v>
      </c>
      <c r="M52" s="11" t="n">
        <v>1</v>
      </c>
      <c r="P52" s="11" t="s">
        <v>27</v>
      </c>
    </row>
    <row r="53" customFormat="false" ht="15" hidden="false" customHeight="false" outlineLevel="0" collapsed="false">
      <c r="A53" s="2" t="s">
        <v>4697</v>
      </c>
      <c r="B53" s="11" t="s">
        <v>1277</v>
      </c>
      <c r="C53" s="11" t="s">
        <v>1433</v>
      </c>
      <c r="D53" s="11" t="s">
        <v>865</v>
      </c>
      <c r="E53" s="11" t="s">
        <v>787</v>
      </c>
      <c r="F53" s="11" t="n">
        <v>3</v>
      </c>
      <c r="H53" s="11" t="s">
        <v>1144</v>
      </c>
      <c r="I53" s="11" t="s">
        <v>1145</v>
      </c>
      <c r="J53" s="11" t="s">
        <v>1144</v>
      </c>
      <c r="K53" s="11" t="s">
        <v>1145</v>
      </c>
      <c r="L53" s="11" t="s">
        <v>766</v>
      </c>
      <c r="M53" s="11" t="n">
        <v>1</v>
      </c>
      <c r="P53" s="11" t="s">
        <v>27</v>
      </c>
    </row>
    <row r="54" customFormat="false" ht="15" hidden="false" customHeight="false" outlineLevel="0" collapsed="false">
      <c r="A54" s="2" t="s">
        <v>4698</v>
      </c>
      <c r="B54" s="11" t="s">
        <v>1285</v>
      </c>
      <c r="C54" s="11" t="s">
        <v>1364</v>
      </c>
      <c r="D54" s="11" t="s">
        <v>876</v>
      </c>
      <c r="E54" s="11" t="s">
        <v>760</v>
      </c>
      <c r="F54" s="11" t="n">
        <v>1</v>
      </c>
      <c r="H54" s="11" t="s">
        <v>1144</v>
      </c>
      <c r="I54" s="11" t="s">
        <v>1145</v>
      </c>
      <c r="J54" s="11" t="s">
        <v>1144</v>
      </c>
      <c r="K54" s="11" t="s">
        <v>1145</v>
      </c>
      <c r="L54" s="11" t="s">
        <v>766</v>
      </c>
      <c r="M54" s="11" t="n">
        <v>1</v>
      </c>
      <c r="P54" s="11" t="s">
        <v>27</v>
      </c>
    </row>
    <row r="55" customFormat="false" ht="15" hidden="false" customHeight="false" outlineLevel="0" collapsed="false">
      <c r="A55" s="2" t="s">
        <v>4699</v>
      </c>
      <c r="B55" s="11" t="s">
        <v>1285</v>
      </c>
      <c r="C55" s="11" t="s">
        <v>1406</v>
      </c>
      <c r="D55" s="11" t="s">
        <v>786</v>
      </c>
      <c r="E55" s="11" t="s">
        <v>760</v>
      </c>
      <c r="F55" s="11" t="n">
        <v>2</v>
      </c>
      <c r="H55" s="11" t="s">
        <v>1144</v>
      </c>
      <c r="I55" s="11" t="s">
        <v>1145</v>
      </c>
      <c r="J55" s="11" t="s">
        <v>1144</v>
      </c>
      <c r="K55" s="11" t="s">
        <v>1145</v>
      </c>
      <c r="L55" s="11" t="s">
        <v>766</v>
      </c>
      <c r="M55" s="11" t="n">
        <v>1</v>
      </c>
      <c r="P55" s="11" t="s">
        <v>27</v>
      </c>
    </row>
    <row r="56" customFormat="false" ht="15" hidden="false" customHeight="false" outlineLevel="0" collapsed="false">
      <c r="A56" s="2" t="s">
        <v>4700</v>
      </c>
      <c r="B56" s="11" t="s">
        <v>1285</v>
      </c>
      <c r="C56" s="11" t="s">
        <v>1412</v>
      </c>
      <c r="D56" s="11" t="s">
        <v>850</v>
      </c>
      <c r="E56" s="11" t="s">
        <v>812</v>
      </c>
      <c r="F56" s="11" t="n">
        <v>3</v>
      </c>
      <c r="H56" s="11" t="s">
        <v>1144</v>
      </c>
      <c r="I56" s="11" t="s">
        <v>1145</v>
      </c>
      <c r="J56" s="11" t="s">
        <v>1144</v>
      </c>
      <c r="K56" s="11" t="s">
        <v>1145</v>
      </c>
      <c r="L56" s="11" t="s">
        <v>766</v>
      </c>
      <c r="M56" s="11" t="n">
        <v>1</v>
      </c>
      <c r="P56" s="11" t="s">
        <v>27</v>
      </c>
    </row>
    <row r="57" customFormat="false" ht="15" hidden="false" customHeight="false" outlineLevel="0" collapsed="false">
      <c r="A57" s="2" t="s">
        <v>4701</v>
      </c>
      <c r="B57" s="11" t="s">
        <v>1285</v>
      </c>
      <c r="C57" s="11" t="s">
        <v>1449</v>
      </c>
      <c r="D57" s="11" t="s">
        <v>811</v>
      </c>
      <c r="E57" s="11" t="s">
        <v>812</v>
      </c>
      <c r="F57" s="11" t="n">
        <v>4</v>
      </c>
      <c r="H57" s="11" t="s">
        <v>1144</v>
      </c>
      <c r="I57" s="11" t="s">
        <v>1145</v>
      </c>
      <c r="J57" s="11" t="s">
        <v>1144</v>
      </c>
      <c r="K57" s="11" t="s">
        <v>1145</v>
      </c>
      <c r="L57" s="11" t="s">
        <v>766</v>
      </c>
      <c r="M57" s="11" t="n">
        <v>1</v>
      </c>
      <c r="P57" s="11" t="s">
        <v>27</v>
      </c>
    </row>
    <row r="58" customFormat="false" ht="15" hidden="false" customHeight="false" outlineLevel="0" collapsed="false">
      <c r="A58" s="2" t="s">
        <v>4702</v>
      </c>
      <c r="B58" s="11" t="s">
        <v>1295</v>
      </c>
      <c r="C58" s="11" t="s">
        <v>1364</v>
      </c>
      <c r="D58" s="11" t="s">
        <v>876</v>
      </c>
      <c r="E58" s="11" t="s">
        <v>760</v>
      </c>
      <c r="F58" s="11" t="n">
        <v>1</v>
      </c>
      <c r="H58" s="11" t="s">
        <v>1144</v>
      </c>
      <c r="I58" s="11" t="s">
        <v>1145</v>
      </c>
      <c r="J58" s="11" t="s">
        <v>1144</v>
      </c>
      <c r="K58" s="11" t="s">
        <v>1145</v>
      </c>
      <c r="L58" s="11" t="s">
        <v>766</v>
      </c>
      <c r="M58" s="11" t="n">
        <v>1</v>
      </c>
      <c r="P58" s="11" t="s">
        <v>27</v>
      </c>
    </row>
    <row r="59" customFormat="false" ht="15" hidden="false" customHeight="false" outlineLevel="0" collapsed="false">
      <c r="A59" s="2" t="s">
        <v>4703</v>
      </c>
      <c r="B59" s="11" t="s">
        <v>1295</v>
      </c>
      <c r="C59" s="11" t="s">
        <v>1369</v>
      </c>
      <c r="D59" s="11" t="s">
        <v>850</v>
      </c>
      <c r="E59" s="11" t="s">
        <v>812</v>
      </c>
      <c r="F59" s="11" t="n">
        <v>2</v>
      </c>
      <c r="H59" s="11" t="s">
        <v>1144</v>
      </c>
      <c r="I59" s="11" t="s">
        <v>1145</v>
      </c>
      <c r="J59" s="11" t="s">
        <v>1144</v>
      </c>
      <c r="K59" s="11" t="s">
        <v>1145</v>
      </c>
      <c r="L59" s="11" t="s">
        <v>766</v>
      </c>
      <c r="M59" s="11" t="n">
        <v>1</v>
      </c>
      <c r="P59" s="11" t="s">
        <v>27</v>
      </c>
    </row>
    <row r="60" customFormat="false" ht="15" hidden="false" customHeight="false" outlineLevel="0" collapsed="false">
      <c r="A60" s="2" t="s">
        <v>4704</v>
      </c>
      <c r="B60" s="11" t="s">
        <v>1295</v>
      </c>
      <c r="C60" s="11" t="s">
        <v>1374</v>
      </c>
      <c r="D60" s="11" t="s">
        <v>892</v>
      </c>
      <c r="E60" s="11" t="s">
        <v>834</v>
      </c>
      <c r="F60" s="11" t="n">
        <v>3</v>
      </c>
      <c r="H60" s="11" t="s">
        <v>1144</v>
      </c>
      <c r="I60" s="11" t="s">
        <v>1145</v>
      </c>
      <c r="J60" s="11" t="s">
        <v>1144</v>
      </c>
      <c r="K60" s="11" t="s">
        <v>1145</v>
      </c>
      <c r="L60" s="11" t="s">
        <v>766</v>
      </c>
      <c r="M60" s="11" t="n">
        <v>1</v>
      </c>
      <c r="P60" s="11" t="s">
        <v>27</v>
      </c>
    </row>
    <row r="61" customFormat="false" ht="15" hidden="false" customHeight="false" outlineLevel="0" collapsed="false">
      <c r="A61" s="2" t="s">
        <v>4705</v>
      </c>
      <c r="B61" s="11" t="s">
        <v>1295</v>
      </c>
      <c r="C61" s="11" t="s">
        <v>1354</v>
      </c>
      <c r="D61" s="11" t="s">
        <v>865</v>
      </c>
      <c r="E61" s="11" t="s">
        <v>787</v>
      </c>
      <c r="F61" s="11" t="n">
        <v>4</v>
      </c>
      <c r="H61" s="11" t="s">
        <v>1144</v>
      </c>
      <c r="I61" s="11" t="s">
        <v>1145</v>
      </c>
      <c r="J61" s="11" t="s">
        <v>1144</v>
      </c>
      <c r="K61" s="11" t="s">
        <v>1145</v>
      </c>
      <c r="L61" s="11" t="s">
        <v>766</v>
      </c>
      <c r="M61" s="11" t="n">
        <v>1</v>
      </c>
      <c r="P61" s="11" t="s">
        <v>27</v>
      </c>
    </row>
    <row r="62" customFormat="false" ht="15" hidden="false" customHeight="false" outlineLevel="0" collapsed="false">
      <c r="A62" s="2" t="s">
        <v>4706</v>
      </c>
      <c r="B62" s="11" t="s">
        <v>1303</v>
      </c>
      <c r="C62" s="11" t="s">
        <v>1374</v>
      </c>
      <c r="D62" s="11" t="s">
        <v>876</v>
      </c>
      <c r="E62" s="11" t="s">
        <v>760</v>
      </c>
      <c r="F62" s="11" t="n">
        <v>1</v>
      </c>
      <c r="H62" s="11" t="s">
        <v>1144</v>
      </c>
      <c r="I62" s="11" t="s">
        <v>1145</v>
      </c>
      <c r="J62" s="11" t="s">
        <v>1144</v>
      </c>
      <c r="K62" s="11" t="s">
        <v>1145</v>
      </c>
      <c r="L62" s="11" t="s">
        <v>766</v>
      </c>
      <c r="M62" s="11" t="n">
        <v>1</v>
      </c>
      <c r="P62" s="11" t="s">
        <v>27</v>
      </c>
    </row>
    <row r="63" customFormat="false" ht="15" hidden="false" customHeight="false" outlineLevel="0" collapsed="false">
      <c r="A63" s="2" t="s">
        <v>4707</v>
      </c>
      <c r="B63" s="11" t="s">
        <v>1303</v>
      </c>
      <c r="C63" s="11" t="s">
        <v>1359</v>
      </c>
      <c r="D63" s="11" t="s">
        <v>884</v>
      </c>
      <c r="E63" s="11" t="s">
        <v>812</v>
      </c>
      <c r="F63" s="11" t="n">
        <v>2</v>
      </c>
      <c r="H63" s="11" t="s">
        <v>1144</v>
      </c>
      <c r="I63" s="11" t="s">
        <v>1145</v>
      </c>
      <c r="J63" s="11" t="s">
        <v>1144</v>
      </c>
      <c r="K63" s="11" t="s">
        <v>1145</v>
      </c>
      <c r="L63" s="11" t="s">
        <v>766</v>
      </c>
      <c r="M63" s="11" t="n">
        <v>1</v>
      </c>
      <c r="P63" s="11" t="s">
        <v>27</v>
      </c>
    </row>
    <row r="64" customFormat="false" ht="15" hidden="false" customHeight="false" outlineLevel="0" collapsed="false">
      <c r="A64" s="2" t="s">
        <v>4708</v>
      </c>
      <c r="B64" s="11" t="s">
        <v>1303</v>
      </c>
      <c r="C64" s="11" t="s">
        <v>1401</v>
      </c>
      <c r="D64" s="11" t="s">
        <v>850</v>
      </c>
      <c r="E64" s="11" t="s">
        <v>812</v>
      </c>
      <c r="F64" s="11" t="n">
        <v>3</v>
      </c>
      <c r="H64" s="11" t="s">
        <v>1144</v>
      </c>
      <c r="I64" s="11" t="s">
        <v>1145</v>
      </c>
      <c r="J64" s="11" t="s">
        <v>1144</v>
      </c>
      <c r="K64" s="11" t="s">
        <v>1145</v>
      </c>
      <c r="L64" s="11" t="s">
        <v>766</v>
      </c>
      <c r="M64" s="11" t="n">
        <v>1</v>
      </c>
      <c r="P64" s="11" t="s">
        <v>27</v>
      </c>
    </row>
    <row r="65" customFormat="false" ht="15" hidden="false" customHeight="false" outlineLevel="0" collapsed="false">
      <c r="A65" s="2" t="s">
        <v>4709</v>
      </c>
      <c r="B65" s="11" t="s">
        <v>1303</v>
      </c>
      <c r="C65" s="11" t="s">
        <v>1379</v>
      </c>
      <c r="D65" s="11" t="s">
        <v>892</v>
      </c>
      <c r="E65" s="11" t="s">
        <v>834</v>
      </c>
      <c r="F65" s="11" t="n">
        <v>4</v>
      </c>
      <c r="H65" s="11" t="s">
        <v>1144</v>
      </c>
      <c r="I65" s="11" t="s">
        <v>1145</v>
      </c>
      <c r="J65" s="11" t="s">
        <v>1144</v>
      </c>
      <c r="K65" s="11" t="s">
        <v>1145</v>
      </c>
      <c r="L65" s="11" t="s">
        <v>766</v>
      </c>
      <c r="M65" s="11" t="n">
        <v>1</v>
      </c>
      <c r="P65" s="11" t="s">
        <v>27</v>
      </c>
    </row>
  </sheetData>
  <autoFilter ref="A1:P65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65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65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65" type="list">
      <formula1>Keuzelijsten!$U$5:$U$60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65" type="list">
      <formula1>Keuzelijsten!$V$5:$V$60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6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12" min="9" style="0" width="14"/>
    <col collapsed="false" customWidth="true" hidden="false" outlineLevel="0" max="13" min="13" style="0" width="40"/>
    <col collapsed="false" customWidth="true" hidden="false" outlineLevel="0" max="14" min="14" style="0" width="17"/>
    <col collapsed="false" customWidth="true" hidden="false" outlineLevel="0" max="16" min="15" style="0" width="14"/>
    <col collapsed="false" customWidth="true" hidden="false" outlineLevel="0" max="17" min="17" style="0" width="40"/>
  </cols>
  <sheetData>
    <row r="1" customFormat="false" ht="15" hidden="false" customHeight="false" outlineLevel="0" collapsed="false">
      <c r="A1" s="13" t="s">
        <v>640</v>
      </c>
      <c r="B1" s="13" t="s">
        <v>353</v>
      </c>
      <c r="C1" s="13" t="s">
        <v>427</v>
      </c>
      <c r="D1" s="14" t="s">
        <v>386</v>
      </c>
      <c r="E1" s="13" t="s">
        <v>641</v>
      </c>
      <c r="F1" s="13" t="s">
        <v>642</v>
      </c>
      <c r="G1" s="14" t="s">
        <v>643</v>
      </c>
      <c r="H1" s="14" t="s">
        <v>410</v>
      </c>
      <c r="I1" s="15" t="s">
        <v>292</v>
      </c>
      <c r="J1" s="15" t="s">
        <v>295</v>
      </c>
      <c r="K1" s="15" t="s">
        <v>298</v>
      </c>
      <c r="L1" s="15" t="s">
        <v>300</v>
      </c>
      <c r="M1" s="15" t="s">
        <v>302</v>
      </c>
      <c r="N1" s="15" t="s">
        <v>305</v>
      </c>
      <c r="O1" s="15" t="s">
        <v>307</v>
      </c>
      <c r="P1" s="15" t="s">
        <v>310</v>
      </c>
      <c r="Q1" s="15" t="s">
        <v>312</v>
      </c>
    </row>
    <row r="2" customFormat="false" ht="15" hidden="false" customHeight="false" outlineLevel="0" collapsed="false">
      <c r="A2" s="2" t="s">
        <v>4710</v>
      </c>
      <c r="B2" s="11" t="s">
        <v>1163</v>
      </c>
      <c r="C2" s="11" t="s">
        <v>1713</v>
      </c>
      <c r="E2" s="11" t="s">
        <v>750</v>
      </c>
      <c r="F2" s="11" t="s">
        <v>258</v>
      </c>
      <c r="G2" s="11" t="s">
        <v>4711</v>
      </c>
      <c r="I2" s="11" t="s">
        <v>1144</v>
      </c>
      <c r="J2" s="11" t="s">
        <v>1145</v>
      </c>
      <c r="K2" s="11" t="s">
        <v>1144</v>
      </c>
      <c r="L2" s="11" t="s">
        <v>1145</v>
      </c>
      <c r="M2" s="11" t="s">
        <v>766</v>
      </c>
      <c r="N2" s="11" t="n">
        <v>1</v>
      </c>
      <c r="Q2" s="11" t="s">
        <v>27</v>
      </c>
    </row>
    <row r="3" customFormat="false" ht="15" hidden="false" customHeight="false" outlineLevel="0" collapsed="false">
      <c r="A3" s="2" t="s">
        <v>4712</v>
      </c>
      <c r="B3" s="11" t="s">
        <v>1163</v>
      </c>
      <c r="C3" s="11" t="s">
        <v>1720</v>
      </c>
      <c r="E3" s="11" t="s">
        <v>750</v>
      </c>
      <c r="F3" s="11" t="s">
        <v>258</v>
      </c>
      <c r="G3" s="11" t="s">
        <v>4711</v>
      </c>
      <c r="I3" s="11" t="s">
        <v>1144</v>
      </c>
      <c r="J3" s="11" t="s">
        <v>1145</v>
      </c>
      <c r="K3" s="11" t="s">
        <v>1144</v>
      </c>
      <c r="L3" s="11" t="s">
        <v>1145</v>
      </c>
      <c r="M3" s="11" t="s">
        <v>766</v>
      </c>
      <c r="N3" s="11" t="n">
        <v>1</v>
      </c>
      <c r="Q3" s="11" t="s">
        <v>27</v>
      </c>
    </row>
    <row r="4" customFormat="false" ht="15" hidden="false" customHeight="false" outlineLevel="0" collapsed="false">
      <c r="A4" s="2" t="s">
        <v>4713</v>
      </c>
      <c r="B4" s="11" t="s">
        <v>1173</v>
      </c>
      <c r="C4" s="11" t="s">
        <v>1720</v>
      </c>
      <c r="E4" s="11" t="s">
        <v>750</v>
      </c>
      <c r="F4" s="11" t="s">
        <v>258</v>
      </c>
      <c r="G4" s="11" t="s">
        <v>4711</v>
      </c>
      <c r="I4" s="11" t="s">
        <v>1144</v>
      </c>
      <c r="J4" s="11" t="s">
        <v>1145</v>
      </c>
      <c r="K4" s="11" t="s">
        <v>1144</v>
      </c>
      <c r="L4" s="11" t="s">
        <v>1145</v>
      </c>
      <c r="M4" s="11" t="s">
        <v>766</v>
      </c>
      <c r="N4" s="11" t="n">
        <v>1</v>
      </c>
      <c r="Q4" s="11" t="s">
        <v>27</v>
      </c>
    </row>
    <row r="5" customFormat="false" ht="15" hidden="false" customHeight="false" outlineLevel="0" collapsed="false">
      <c r="A5" s="2" t="s">
        <v>4714</v>
      </c>
      <c r="B5" s="11" t="s">
        <v>1173</v>
      </c>
      <c r="C5" s="11" t="s">
        <v>1725</v>
      </c>
      <c r="E5" s="11" t="s">
        <v>750</v>
      </c>
      <c r="F5" s="11" t="s">
        <v>258</v>
      </c>
      <c r="G5" s="11" t="s">
        <v>4711</v>
      </c>
      <c r="I5" s="11" t="s">
        <v>1144</v>
      </c>
      <c r="J5" s="11" t="s">
        <v>1145</v>
      </c>
      <c r="K5" s="11" t="s">
        <v>1144</v>
      </c>
      <c r="L5" s="11" t="s">
        <v>1145</v>
      </c>
      <c r="M5" s="11" t="s">
        <v>766</v>
      </c>
      <c r="N5" s="11" t="n">
        <v>1</v>
      </c>
      <c r="Q5" s="11" t="s">
        <v>27</v>
      </c>
    </row>
    <row r="6" customFormat="false" ht="15" hidden="false" customHeight="false" outlineLevel="0" collapsed="false">
      <c r="A6" s="2" t="s">
        <v>4715</v>
      </c>
      <c r="B6" s="11" t="s">
        <v>1173</v>
      </c>
      <c r="C6" s="11" t="s">
        <v>1731</v>
      </c>
      <c r="E6" s="11" t="s">
        <v>776</v>
      </c>
      <c r="F6" s="11" t="s">
        <v>258</v>
      </c>
      <c r="G6" s="11" t="s">
        <v>4711</v>
      </c>
      <c r="I6" s="11" t="s">
        <v>1144</v>
      </c>
      <c r="J6" s="11" t="s">
        <v>1145</v>
      </c>
      <c r="K6" s="11" t="s">
        <v>1144</v>
      </c>
      <c r="L6" s="11" t="s">
        <v>1145</v>
      </c>
      <c r="M6" s="11" t="s">
        <v>766</v>
      </c>
      <c r="N6" s="11" t="n">
        <v>1</v>
      </c>
      <c r="Q6" s="11" t="s">
        <v>27</v>
      </c>
    </row>
    <row r="7" customFormat="false" ht="15" hidden="false" customHeight="false" outlineLevel="0" collapsed="false">
      <c r="A7" s="2" t="s">
        <v>4716</v>
      </c>
      <c r="B7" s="11" t="s">
        <v>1173</v>
      </c>
      <c r="C7" s="11" t="s">
        <v>1736</v>
      </c>
      <c r="E7" s="11" t="s">
        <v>776</v>
      </c>
      <c r="F7" s="11" t="s">
        <v>272</v>
      </c>
      <c r="G7" s="11" t="s">
        <v>4711</v>
      </c>
      <c r="I7" s="11" t="s">
        <v>1144</v>
      </c>
      <c r="J7" s="11" t="s">
        <v>1145</v>
      </c>
      <c r="K7" s="11" t="s">
        <v>1144</v>
      </c>
      <c r="L7" s="11" t="s">
        <v>1145</v>
      </c>
      <c r="M7" s="11" t="s">
        <v>766</v>
      </c>
      <c r="N7" s="11" t="n">
        <v>1</v>
      </c>
      <c r="Q7" s="11" t="s">
        <v>27</v>
      </c>
    </row>
    <row r="8" customFormat="false" ht="15" hidden="false" customHeight="false" outlineLevel="0" collapsed="false">
      <c r="A8" s="2" t="s">
        <v>4717</v>
      </c>
      <c r="B8" s="11" t="s">
        <v>1182</v>
      </c>
      <c r="C8" s="11" t="s">
        <v>1720</v>
      </c>
      <c r="E8" s="11" t="s">
        <v>750</v>
      </c>
      <c r="F8" s="11" t="s">
        <v>258</v>
      </c>
      <c r="G8" s="11" t="s">
        <v>4711</v>
      </c>
      <c r="I8" s="11" t="s">
        <v>1144</v>
      </c>
      <c r="J8" s="11" t="s">
        <v>1145</v>
      </c>
      <c r="K8" s="11" t="s">
        <v>1144</v>
      </c>
      <c r="L8" s="11" t="s">
        <v>1145</v>
      </c>
      <c r="M8" s="11" t="s">
        <v>766</v>
      </c>
      <c r="N8" s="11" t="n">
        <v>1</v>
      </c>
      <c r="Q8" s="11" t="s">
        <v>27</v>
      </c>
    </row>
    <row r="9" customFormat="false" ht="15" hidden="false" customHeight="false" outlineLevel="0" collapsed="false">
      <c r="A9" s="2" t="s">
        <v>4718</v>
      </c>
      <c r="B9" s="11" t="s">
        <v>1182</v>
      </c>
      <c r="C9" s="11" t="s">
        <v>1776</v>
      </c>
      <c r="E9" s="11" t="s">
        <v>750</v>
      </c>
      <c r="F9" s="11" t="s">
        <v>272</v>
      </c>
      <c r="G9" s="11" t="s">
        <v>4711</v>
      </c>
      <c r="I9" s="11" t="s">
        <v>1144</v>
      </c>
      <c r="J9" s="11" t="s">
        <v>1145</v>
      </c>
      <c r="K9" s="11" t="s">
        <v>1144</v>
      </c>
      <c r="L9" s="11" t="s">
        <v>1145</v>
      </c>
      <c r="M9" s="11" t="s">
        <v>766</v>
      </c>
      <c r="N9" s="11" t="n">
        <v>1</v>
      </c>
      <c r="Q9" s="11" t="s">
        <v>27</v>
      </c>
    </row>
    <row r="10" customFormat="false" ht="15" hidden="false" customHeight="false" outlineLevel="0" collapsed="false">
      <c r="A10" s="2" t="s">
        <v>4719</v>
      </c>
      <c r="B10" s="11" t="s">
        <v>1182</v>
      </c>
      <c r="C10" s="11" t="s">
        <v>1713</v>
      </c>
      <c r="E10" s="11" t="s">
        <v>776</v>
      </c>
      <c r="F10" s="11" t="s">
        <v>258</v>
      </c>
      <c r="G10" s="11" t="s">
        <v>4711</v>
      </c>
      <c r="I10" s="11" t="s">
        <v>1144</v>
      </c>
      <c r="J10" s="11" t="s">
        <v>1145</v>
      </c>
      <c r="K10" s="11" t="s">
        <v>1144</v>
      </c>
      <c r="L10" s="11" t="s">
        <v>1145</v>
      </c>
      <c r="M10" s="11" t="s">
        <v>766</v>
      </c>
      <c r="N10" s="11" t="n">
        <v>1</v>
      </c>
      <c r="Q10" s="11" t="s">
        <v>27</v>
      </c>
    </row>
    <row r="11" customFormat="false" ht="15" hidden="false" customHeight="false" outlineLevel="0" collapsed="false">
      <c r="A11" s="2" t="s">
        <v>4720</v>
      </c>
      <c r="B11" s="11" t="s">
        <v>1191</v>
      </c>
      <c r="C11" s="11" t="s">
        <v>1751</v>
      </c>
      <c r="E11" s="11" t="s">
        <v>750</v>
      </c>
      <c r="F11" s="11" t="s">
        <v>258</v>
      </c>
      <c r="G11" s="11" t="s">
        <v>4711</v>
      </c>
      <c r="I11" s="11" t="s">
        <v>1144</v>
      </c>
      <c r="J11" s="11" t="s">
        <v>1145</v>
      </c>
      <c r="K11" s="11" t="s">
        <v>1144</v>
      </c>
      <c r="L11" s="11" t="s">
        <v>1145</v>
      </c>
      <c r="M11" s="11" t="s">
        <v>766</v>
      </c>
      <c r="N11" s="11" t="n">
        <v>1</v>
      </c>
      <c r="Q11" s="11" t="s">
        <v>27</v>
      </c>
    </row>
    <row r="12" customFormat="false" ht="15" hidden="false" customHeight="false" outlineLevel="0" collapsed="false">
      <c r="A12" s="2" t="s">
        <v>4721</v>
      </c>
      <c r="B12" s="11" t="s">
        <v>1191</v>
      </c>
      <c r="C12" s="11" t="s">
        <v>1756</v>
      </c>
      <c r="E12" s="11" t="s">
        <v>750</v>
      </c>
      <c r="F12" s="11" t="s">
        <v>258</v>
      </c>
      <c r="G12" s="11" t="s">
        <v>4711</v>
      </c>
      <c r="I12" s="11" t="s">
        <v>1144</v>
      </c>
      <c r="J12" s="11" t="s">
        <v>1145</v>
      </c>
      <c r="K12" s="11" t="s">
        <v>1144</v>
      </c>
      <c r="L12" s="11" t="s">
        <v>1145</v>
      </c>
      <c r="M12" s="11" t="s">
        <v>766</v>
      </c>
      <c r="N12" s="11" t="n">
        <v>1</v>
      </c>
      <c r="Q12" s="11" t="s">
        <v>27</v>
      </c>
    </row>
    <row r="13" customFormat="false" ht="15" hidden="false" customHeight="false" outlineLevel="0" collapsed="false">
      <c r="A13" s="2" t="s">
        <v>4722</v>
      </c>
      <c r="B13" s="11" t="s">
        <v>1191</v>
      </c>
      <c r="C13" s="11" t="s">
        <v>1741</v>
      </c>
      <c r="E13" s="11" t="s">
        <v>776</v>
      </c>
      <c r="F13" s="11" t="s">
        <v>258</v>
      </c>
      <c r="G13" s="11" t="s">
        <v>4711</v>
      </c>
      <c r="I13" s="11" t="s">
        <v>1144</v>
      </c>
      <c r="J13" s="11" t="s">
        <v>1145</v>
      </c>
      <c r="K13" s="11" t="s">
        <v>1144</v>
      </c>
      <c r="L13" s="11" t="s">
        <v>1145</v>
      </c>
      <c r="M13" s="11" t="s">
        <v>766</v>
      </c>
      <c r="N13" s="11" t="n">
        <v>1</v>
      </c>
      <c r="Q13" s="11" t="s">
        <v>27</v>
      </c>
    </row>
    <row r="14" customFormat="false" ht="15" hidden="false" customHeight="false" outlineLevel="0" collapsed="false">
      <c r="A14" s="2" t="s">
        <v>4723</v>
      </c>
      <c r="B14" s="11" t="s">
        <v>1202</v>
      </c>
      <c r="C14" s="11" t="s">
        <v>1751</v>
      </c>
      <c r="E14" s="11" t="s">
        <v>750</v>
      </c>
      <c r="F14" s="11" t="s">
        <v>258</v>
      </c>
      <c r="G14" s="11" t="s">
        <v>4711</v>
      </c>
      <c r="I14" s="11" t="s">
        <v>1144</v>
      </c>
      <c r="J14" s="11" t="s">
        <v>1145</v>
      </c>
      <c r="K14" s="11" t="s">
        <v>1144</v>
      </c>
      <c r="L14" s="11" t="s">
        <v>1145</v>
      </c>
      <c r="M14" s="11" t="s">
        <v>766</v>
      </c>
      <c r="N14" s="11" t="n">
        <v>1</v>
      </c>
      <c r="Q14" s="11" t="s">
        <v>27</v>
      </c>
    </row>
    <row r="15" customFormat="false" ht="15" hidden="false" customHeight="false" outlineLevel="0" collapsed="false">
      <c r="A15" s="2" t="s">
        <v>4724</v>
      </c>
      <c r="B15" s="11" t="s">
        <v>1202</v>
      </c>
      <c r="C15" s="11" t="s">
        <v>1741</v>
      </c>
      <c r="E15" s="11" t="s">
        <v>750</v>
      </c>
      <c r="F15" s="11" t="s">
        <v>258</v>
      </c>
      <c r="G15" s="11" t="s">
        <v>4711</v>
      </c>
      <c r="I15" s="11" t="s">
        <v>1144</v>
      </c>
      <c r="J15" s="11" t="s">
        <v>1145</v>
      </c>
      <c r="K15" s="11" t="s">
        <v>1144</v>
      </c>
      <c r="L15" s="11" t="s">
        <v>1145</v>
      </c>
      <c r="M15" s="11" t="s">
        <v>766</v>
      </c>
      <c r="N15" s="11" t="n">
        <v>1</v>
      </c>
      <c r="Q15" s="11" t="s">
        <v>27</v>
      </c>
    </row>
    <row r="16" customFormat="false" ht="15" hidden="false" customHeight="false" outlineLevel="0" collapsed="false">
      <c r="A16" s="2" t="s">
        <v>4725</v>
      </c>
      <c r="B16" s="11" t="s">
        <v>1213</v>
      </c>
      <c r="C16" s="11" t="s">
        <v>1786</v>
      </c>
      <c r="E16" s="11" t="s">
        <v>750</v>
      </c>
      <c r="F16" s="11" t="s">
        <v>258</v>
      </c>
      <c r="G16" s="11" t="s">
        <v>4711</v>
      </c>
      <c r="I16" s="11" t="s">
        <v>1144</v>
      </c>
      <c r="J16" s="11" t="s">
        <v>1145</v>
      </c>
      <c r="K16" s="11" t="s">
        <v>1144</v>
      </c>
      <c r="L16" s="11" t="s">
        <v>1145</v>
      </c>
      <c r="M16" s="11" t="s">
        <v>766</v>
      </c>
      <c r="N16" s="11" t="n">
        <v>1</v>
      </c>
      <c r="Q16" s="11" t="s">
        <v>27</v>
      </c>
    </row>
    <row r="17" customFormat="false" ht="15" hidden="false" customHeight="false" outlineLevel="0" collapsed="false">
      <c r="A17" s="2" t="s">
        <v>4726</v>
      </c>
      <c r="B17" s="11" t="s">
        <v>1213</v>
      </c>
      <c r="C17" s="11" t="s">
        <v>1736</v>
      </c>
      <c r="E17" s="11" t="s">
        <v>750</v>
      </c>
      <c r="F17" s="11" t="s">
        <v>272</v>
      </c>
      <c r="G17" s="11" t="s">
        <v>4711</v>
      </c>
      <c r="I17" s="11" t="s">
        <v>1144</v>
      </c>
      <c r="J17" s="11" t="s">
        <v>1145</v>
      </c>
      <c r="K17" s="11" t="s">
        <v>1144</v>
      </c>
      <c r="L17" s="11" t="s">
        <v>1145</v>
      </c>
      <c r="M17" s="11" t="s">
        <v>766</v>
      </c>
      <c r="N17" s="11" t="n">
        <v>1</v>
      </c>
      <c r="Q17" s="11" t="s">
        <v>27</v>
      </c>
    </row>
    <row r="18" customFormat="false" ht="15" hidden="false" customHeight="false" outlineLevel="0" collapsed="false">
      <c r="A18" s="2" t="s">
        <v>4727</v>
      </c>
      <c r="B18" s="11" t="s">
        <v>1224</v>
      </c>
      <c r="C18" s="11" t="s">
        <v>1713</v>
      </c>
      <c r="E18" s="11" t="s">
        <v>750</v>
      </c>
      <c r="F18" s="11" t="s">
        <v>258</v>
      </c>
      <c r="G18" s="11" t="s">
        <v>4711</v>
      </c>
      <c r="I18" s="11" t="s">
        <v>1144</v>
      </c>
      <c r="J18" s="11" t="s">
        <v>1145</v>
      </c>
      <c r="K18" s="11" t="s">
        <v>1144</v>
      </c>
      <c r="L18" s="11" t="s">
        <v>1145</v>
      </c>
      <c r="M18" s="11" t="s">
        <v>766</v>
      </c>
      <c r="N18" s="11" t="n">
        <v>1</v>
      </c>
      <c r="Q18" s="11" t="s">
        <v>27</v>
      </c>
    </row>
    <row r="19" customFormat="false" ht="15" hidden="false" customHeight="false" outlineLevel="0" collapsed="false">
      <c r="A19" s="2" t="s">
        <v>4728</v>
      </c>
      <c r="B19" s="11" t="s">
        <v>1224</v>
      </c>
      <c r="C19" s="11" t="s">
        <v>1786</v>
      </c>
      <c r="E19" s="11" t="s">
        <v>750</v>
      </c>
      <c r="F19" s="11" t="s">
        <v>258</v>
      </c>
      <c r="G19" s="11" t="s">
        <v>4711</v>
      </c>
      <c r="I19" s="11" t="s">
        <v>1144</v>
      </c>
      <c r="J19" s="11" t="s">
        <v>1145</v>
      </c>
      <c r="K19" s="11" t="s">
        <v>1144</v>
      </c>
      <c r="L19" s="11" t="s">
        <v>1145</v>
      </c>
      <c r="M19" s="11" t="s">
        <v>766</v>
      </c>
      <c r="N19" s="11" t="n">
        <v>1</v>
      </c>
      <c r="Q19" s="11" t="s">
        <v>27</v>
      </c>
    </row>
    <row r="20" customFormat="false" ht="15" hidden="false" customHeight="false" outlineLevel="0" collapsed="false">
      <c r="A20" s="2" t="s">
        <v>4729</v>
      </c>
      <c r="B20" s="11" t="s">
        <v>1224</v>
      </c>
      <c r="C20" s="11" t="s">
        <v>1776</v>
      </c>
      <c r="E20" s="11" t="s">
        <v>776</v>
      </c>
      <c r="F20" s="11" t="s">
        <v>272</v>
      </c>
      <c r="G20" s="11" t="s">
        <v>4711</v>
      </c>
      <c r="I20" s="11" t="s">
        <v>1144</v>
      </c>
      <c r="J20" s="11" t="s">
        <v>1145</v>
      </c>
      <c r="K20" s="11" t="s">
        <v>1144</v>
      </c>
      <c r="L20" s="11" t="s">
        <v>1145</v>
      </c>
      <c r="M20" s="11" t="s">
        <v>766</v>
      </c>
      <c r="N20" s="11" t="n">
        <v>1</v>
      </c>
      <c r="Q20" s="11" t="s">
        <v>27</v>
      </c>
    </row>
    <row r="21" customFormat="false" ht="15" hidden="false" customHeight="false" outlineLevel="0" collapsed="false">
      <c r="A21" s="2" t="s">
        <v>4730</v>
      </c>
      <c r="B21" s="11" t="s">
        <v>1233</v>
      </c>
      <c r="C21" s="11" t="s">
        <v>1725</v>
      </c>
      <c r="E21" s="11" t="s">
        <v>750</v>
      </c>
      <c r="F21" s="11" t="s">
        <v>258</v>
      </c>
      <c r="G21" s="11" t="s">
        <v>4711</v>
      </c>
      <c r="I21" s="11" t="s">
        <v>1144</v>
      </c>
      <c r="J21" s="11" t="s">
        <v>1145</v>
      </c>
      <c r="K21" s="11" t="s">
        <v>1144</v>
      </c>
      <c r="L21" s="11" t="s">
        <v>1145</v>
      </c>
      <c r="M21" s="11" t="s">
        <v>766</v>
      </c>
      <c r="N21" s="11" t="n">
        <v>1</v>
      </c>
      <c r="Q21" s="11" t="s">
        <v>27</v>
      </c>
    </row>
    <row r="22" customFormat="false" ht="15" hidden="false" customHeight="false" outlineLevel="0" collapsed="false">
      <c r="A22" s="2" t="s">
        <v>4731</v>
      </c>
      <c r="B22" s="11" t="s">
        <v>1233</v>
      </c>
      <c r="C22" s="11" t="s">
        <v>1731</v>
      </c>
      <c r="E22" s="11" t="s">
        <v>750</v>
      </c>
      <c r="F22" s="11" t="s">
        <v>258</v>
      </c>
      <c r="G22" s="11" t="s">
        <v>4711</v>
      </c>
      <c r="I22" s="11" t="s">
        <v>1144</v>
      </c>
      <c r="J22" s="11" t="s">
        <v>1145</v>
      </c>
      <c r="K22" s="11" t="s">
        <v>1144</v>
      </c>
      <c r="L22" s="11" t="s">
        <v>1145</v>
      </c>
      <c r="M22" s="11" t="s">
        <v>766</v>
      </c>
      <c r="N22" s="11" t="n">
        <v>1</v>
      </c>
      <c r="Q22" s="11" t="s">
        <v>27</v>
      </c>
    </row>
    <row r="23" customFormat="false" ht="15" hidden="false" customHeight="false" outlineLevel="0" collapsed="false">
      <c r="A23" s="2" t="s">
        <v>4732</v>
      </c>
      <c r="B23" s="11" t="s">
        <v>1241</v>
      </c>
      <c r="C23" s="11" t="s">
        <v>1741</v>
      </c>
      <c r="E23" s="11" t="s">
        <v>750</v>
      </c>
      <c r="F23" s="11" t="s">
        <v>258</v>
      </c>
      <c r="G23" s="11" t="s">
        <v>4711</v>
      </c>
      <c r="I23" s="11" t="s">
        <v>1144</v>
      </c>
      <c r="J23" s="11" t="s">
        <v>1145</v>
      </c>
      <c r="K23" s="11" t="s">
        <v>1144</v>
      </c>
      <c r="L23" s="11" t="s">
        <v>1145</v>
      </c>
      <c r="M23" s="11" t="s">
        <v>766</v>
      </c>
      <c r="N23" s="11" t="n">
        <v>1</v>
      </c>
      <c r="Q23" s="11" t="s">
        <v>27</v>
      </c>
    </row>
    <row r="24" customFormat="false" ht="15" hidden="false" customHeight="false" outlineLevel="0" collapsed="false">
      <c r="A24" s="2" t="s">
        <v>4733</v>
      </c>
      <c r="B24" s="11" t="s">
        <v>1241</v>
      </c>
      <c r="C24" s="11" t="s">
        <v>1746</v>
      </c>
      <c r="E24" s="11" t="s">
        <v>750</v>
      </c>
      <c r="F24" s="11" t="s">
        <v>258</v>
      </c>
      <c r="G24" s="11" t="s">
        <v>4711</v>
      </c>
      <c r="I24" s="11" t="s">
        <v>1144</v>
      </c>
      <c r="J24" s="11" t="s">
        <v>1145</v>
      </c>
      <c r="K24" s="11" t="s">
        <v>1144</v>
      </c>
      <c r="L24" s="11" t="s">
        <v>1145</v>
      </c>
      <c r="M24" s="11" t="s">
        <v>766</v>
      </c>
      <c r="N24" s="11" t="n">
        <v>1</v>
      </c>
      <c r="Q24" s="11" t="s">
        <v>27</v>
      </c>
    </row>
    <row r="25" customFormat="false" ht="15" hidden="false" customHeight="false" outlineLevel="0" collapsed="false">
      <c r="A25" s="2" t="s">
        <v>4734</v>
      </c>
      <c r="B25" s="11" t="s">
        <v>1241</v>
      </c>
      <c r="C25" s="11" t="s">
        <v>1766</v>
      </c>
      <c r="E25" s="11" t="s">
        <v>776</v>
      </c>
      <c r="F25" s="11" t="s">
        <v>258</v>
      </c>
      <c r="G25" s="11" t="s">
        <v>4711</v>
      </c>
      <c r="I25" s="11" t="s">
        <v>1144</v>
      </c>
      <c r="J25" s="11" t="s">
        <v>1145</v>
      </c>
      <c r="K25" s="11" t="s">
        <v>1144</v>
      </c>
      <c r="L25" s="11" t="s">
        <v>1145</v>
      </c>
      <c r="M25" s="11" t="s">
        <v>766</v>
      </c>
      <c r="N25" s="11" t="n">
        <v>1</v>
      </c>
      <c r="Q25" s="11" t="s">
        <v>27</v>
      </c>
    </row>
    <row r="26" customFormat="false" ht="15" hidden="false" customHeight="false" outlineLevel="0" collapsed="false">
      <c r="A26" s="2" t="s">
        <v>4735</v>
      </c>
      <c r="B26" s="11" t="s">
        <v>1249</v>
      </c>
      <c r="C26" s="11" t="s">
        <v>1741</v>
      </c>
      <c r="E26" s="11" t="s">
        <v>750</v>
      </c>
      <c r="F26" s="11" t="s">
        <v>258</v>
      </c>
      <c r="G26" s="11" t="s">
        <v>4711</v>
      </c>
      <c r="I26" s="11" t="s">
        <v>1144</v>
      </c>
      <c r="J26" s="11" t="s">
        <v>1145</v>
      </c>
      <c r="K26" s="11" t="s">
        <v>1144</v>
      </c>
      <c r="L26" s="11" t="s">
        <v>1145</v>
      </c>
      <c r="M26" s="11" t="s">
        <v>766</v>
      </c>
      <c r="N26" s="11" t="n">
        <v>1</v>
      </c>
      <c r="Q26" s="11" t="s">
        <v>27</v>
      </c>
    </row>
    <row r="27" customFormat="false" ht="15" hidden="false" customHeight="false" outlineLevel="0" collapsed="false">
      <c r="A27" s="2" t="s">
        <v>4736</v>
      </c>
      <c r="B27" s="11" t="s">
        <v>1249</v>
      </c>
      <c r="C27" s="11" t="s">
        <v>1746</v>
      </c>
      <c r="E27" s="11" t="s">
        <v>750</v>
      </c>
      <c r="F27" s="11" t="s">
        <v>258</v>
      </c>
      <c r="G27" s="11" t="s">
        <v>4711</v>
      </c>
      <c r="I27" s="11" t="s">
        <v>1144</v>
      </c>
      <c r="J27" s="11" t="s">
        <v>1145</v>
      </c>
      <c r="K27" s="11" t="s">
        <v>1144</v>
      </c>
      <c r="L27" s="11" t="s">
        <v>1145</v>
      </c>
      <c r="M27" s="11" t="s">
        <v>766</v>
      </c>
      <c r="N27" s="11" t="n">
        <v>1</v>
      </c>
      <c r="Q27" s="11" t="s">
        <v>27</v>
      </c>
    </row>
    <row r="28" customFormat="false" ht="15" hidden="false" customHeight="false" outlineLevel="0" collapsed="false">
      <c r="A28" s="2" t="s">
        <v>4737</v>
      </c>
      <c r="B28" s="11" t="s">
        <v>1249</v>
      </c>
      <c r="C28" s="11" t="s">
        <v>1776</v>
      </c>
      <c r="E28" s="11" t="s">
        <v>776</v>
      </c>
      <c r="F28" s="11" t="s">
        <v>272</v>
      </c>
      <c r="G28" s="11" t="s">
        <v>4711</v>
      </c>
      <c r="I28" s="11" t="s">
        <v>1144</v>
      </c>
      <c r="J28" s="11" t="s">
        <v>1145</v>
      </c>
      <c r="K28" s="11" t="s">
        <v>1144</v>
      </c>
      <c r="L28" s="11" t="s">
        <v>1145</v>
      </c>
      <c r="M28" s="11" t="s">
        <v>766</v>
      </c>
      <c r="N28" s="11" t="n">
        <v>1</v>
      </c>
      <c r="Q28" s="11" t="s">
        <v>27</v>
      </c>
    </row>
    <row r="29" customFormat="false" ht="15" hidden="false" customHeight="false" outlineLevel="0" collapsed="false">
      <c r="A29" s="2" t="s">
        <v>4738</v>
      </c>
      <c r="B29" s="11" t="s">
        <v>1257</v>
      </c>
      <c r="C29" s="11" t="s">
        <v>1741</v>
      </c>
      <c r="E29" s="11" t="s">
        <v>750</v>
      </c>
      <c r="F29" s="11" t="s">
        <v>258</v>
      </c>
      <c r="G29" s="11" t="s">
        <v>4711</v>
      </c>
      <c r="I29" s="11" t="s">
        <v>1144</v>
      </c>
      <c r="J29" s="11" t="s">
        <v>1145</v>
      </c>
      <c r="K29" s="11" t="s">
        <v>1144</v>
      </c>
      <c r="L29" s="11" t="s">
        <v>1145</v>
      </c>
      <c r="M29" s="11" t="s">
        <v>766</v>
      </c>
      <c r="N29" s="11" t="n">
        <v>1</v>
      </c>
      <c r="Q29" s="11" t="s">
        <v>27</v>
      </c>
    </row>
    <row r="30" customFormat="false" ht="15" hidden="false" customHeight="false" outlineLevel="0" collapsed="false">
      <c r="A30" s="2" t="s">
        <v>4739</v>
      </c>
      <c r="B30" s="11" t="s">
        <v>1257</v>
      </c>
      <c r="C30" s="11" t="s">
        <v>1746</v>
      </c>
      <c r="E30" s="11" t="s">
        <v>750</v>
      </c>
      <c r="F30" s="11" t="s">
        <v>258</v>
      </c>
      <c r="G30" s="11" t="s">
        <v>4711</v>
      </c>
      <c r="I30" s="11" t="s">
        <v>1144</v>
      </c>
      <c r="J30" s="11" t="s">
        <v>1145</v>
      </c>
      <c r="K30" s="11" t="s">
        <v>1144</v>
      </c>
      <c r="L30" s="11" t="s">
        <v>1145</v>
      </c>
      <c r="M30" s="11" t="s">
        <v>766</v>
      </c>
      <c r="N30" s="11" t="n">
        <v>1</v>
      </c>
      <c r="Q30" s="11" t="s">
        <v>27</v>
      </c>
    </row>
    <row r="31" customFormat="false" ht="15" hidden="false" customHeight="false" outlineLevel="0" collapsed="false">
      <c r="A31" s="2" t="s">
        <v>4740</v>
      </c>
      <c r="B31" s="11" t="s">
        <v>1257</v>
      </c>
      <c r="C31" s="11" t="s">
        <v>1756</v>
      </c>
      <c r="E31" s="11" t="s">
        <v>776</v>
      </c>
      <c r="F31" s="11" t="s">
        <v>258</v>
      </c>
      <c r="G31" s="11" t="s">
        <v>4711</v>
      </c>
      <c r="I31" s="11" t="s">
        <v>1144</v>
      </c>
      <c r="J31" s="11" t="s">
        <v>1145</v>
      </c>
      <c r="K31" s="11" t="s">
        <v>1144</v>
      </c>
      <c r="L31" s="11" t="s">
        <v>1145</v>
      </c>
      <c r="M31" s="11" t="s">
        <v>766</v>
      </c>
      <c r="N31" s="11" t="n">
        <v>1</v>
      </c>
      <c r="Q31" s="11" t="s">
        <v>27</v>
      </c>
    </row>
    <row r="32" customFormat="false" ht="15" hidden="false" customHeight="false" outlineLevel="0" collapsed="false">
      <c r="A32" s="2" t="s">
        <v>4741</v>
      </c>
      <c r="B32" s="11" t="s">
        <v>1257</v>
      </c>
      <c r="C32" s="11" t="s">
        <v>1761</v>
      </c>
      <c r="E32" s="11" t="s">
        <v>776</v>
      </c>
      <c r="F32" s="11" t="s">
        <v>272</v>
      </c>
      <c r="G32" s="11" t="s">
        <v>4711</v>
      </c>
      <c r="I32" s="11" t="s">
        <v>1144</v>
      </c>
      <c r="J32" s="11" t="s">
        <v>1145</v>
      </c>
      <c r="K32" s="11" t="s">
        <v>1144</v>
      </c>
      <c r="L32" s="11" t="s">
        <v>1145</v>
      </c>
      <c r="M32" s="11" t="s">
        <v>766</v>
      </c>
      <c r="N32" s="11" t="n">
        <v>1</v>
      </c>
      <c r="Q32" s="11" t="s">
        <v>27</v>
      </c>
    </row>
    <row r="33" customFormat="false" ht="15" hidden="false" customHeight="false" outlineLevel="0" collapsed="false">
      <c r="A33" s="2" t="s">
        <v>4742</v>
      </c>
      <c r="B33" s="11" t="s">
        <v>1257</v>
      </c>
      <c r="C33" s="11" t="s">
        <v>1771</v>
      </c>
      <c r="E33" s="11" t="s">
        <v>776</v>
      </c>
      <c r="F33" s="11" t="s">
        <v>272</v>
      </c>
      <c r="G33" s="11" t="s">
        <v>4711</v>
      </c>
      <c r="I33" s="11" t="s">
        <v>1144</v>
      </c>
      <c r="J33" s="11" t="s">
        <v>1145</v>
      </c>
      <c r="K33" s="11" t="s">
        <v>1144</v>
      </c>
      <c r="L33" s="11" t="s">
        <v>1145</v>
      </c>
      <c r="M33" s="11" t="s">
        <v>766</v>
      </c>
      <c r="N33" s="11" t="n">
        <v>1</v>
      </c>
      <c r="Q33" s="11" t="s">
        <v>27</v>
      </c>
    </row>
    <row r="34" customFormat="false" ht="15" hidden="false" customHeight="false" outlineLevel="0" collapsed="false">
      <c r="A34" s="2" t="s">
        <v>4743</v>
      </c>
      <c r="B34" s="11" t="s">
        <v>1266</v>
      </c>
      <c r="C34" s="11" t="s">
        <v>1781</v>
      </c>
      <c r="E34" s="11" t="s">
        <v>750</v>
      </c>
      <c r="F34" s="11" t="s">
        <v>258</v>
      </c>
      <c r="G34" s="11" t="s">
        <v>4711</v>
      </c>
      <c r="I34" s="11" t="s">
        <v>1144</v>
      </c>
      <c r="J34" s="11" t="s">
        <v>1145</v>
      </c>
      <c r="K34" s="11" t="s">
        <v>1144</v>
      </c>
      <c r="L34" s="11" t="s">
        <v>1145</v>
      </c>
      <c r="M34" s="11" t="s">
        <v>766</v>
      </c>
      <c r="N34" s="11" t="n">
        <v>1</v>
      </c>
      <c r="Q34" s="11" t="s">
        <v>27</v>
      </c>
    </row>
    <row r="35" customFormat="false" ht="15" hidden="false" customHeight="false" outlineLevel="0" collapsed="false">
      <c r="A35" s="2" t="s">
        <v>4744</v>
      </c>
      <c r="B35" s="11" t="s">
        <v>1266</v>
      </c>
      <c r="C35" s="11" t="s">
        <v>1741</v>
      </c>
      <c r="E35" s="11" t="s">
        <v>750</v>
      </c>
      <c r="F35" s="11" t="s">
        <v>258</v>
      </c>
      <c r="G35" s="11" t="s">
        <v>4711</v>
      </c>
      <c r="I35" s="11" t="s">
        <v>1144</v>
      </c>
      <c r="J35" s="11" t="s">
        <v>1145</v>
      </c>
      <c r="K35" s="11" t="s">
        <v>1144</v>
      </c>
      <c r="L35" s="11" t="s">
        <v>1145</v>
      </c>
      <c r="M35" s="11" t="s">
        <v>766</v>
      </c>
      <c r="N35" s="11" t="n">
        <v>1</v>
      </c>
      <c r="Q35" s="11" t="s">
        <v>27</v>
      </c>
    </row>
    <row r="36" customFormat="false" ht="15" hidden="false" customHeight="false" outlineLevel="0" collapsed="false">
      <c r="A36" s="2" t="s">
        <v>4745</v>
      </c>
      <c r="B36" s="11" t="s">
        <v>1266</v>
      </c>
      <c r="C36" s="11" t="s">
        <v>1751</v>
      </c>
      <c r="E36" s="11" t="s">
        <v>776</v>
      </c>
      <c r="F36" s="11" t="s">
        <v>258</v>
      </c>
      <c r="G36" s="11" t="s">
        <v>4711</v>
      </c>
      <c r="I36" s="11" t="s">
        <v>1144</v>
      </c>
      <c r="J36" s="11" t="s">
        <v>1145</v>
      </c>
      <c r="K36" s="11" t="s">
        <v>1144</v>
      </c>
      <c r="L36" s="11" t="s">
        <v>1145</v>
      </c>
      <c r="M36" s="11" t="s">
        <v>766</v>
      </c>
      <c r="N36" s="11" t="n">
        <v>1</v>
      </c>
      <c r="Q36" s="11" t="s">
        <v>27</v>
      </c>
    </row>
    <row r="37" customFormat="false" ht="15" hidden="false" customHeight="false" outlineLevel="0" collapsed="false">
      <c r="A37" s="2" t="s">
        <v>4746</v>
      </c>
      <c r="B37" s="11" t="s">
        <v>1277</v>
      </c>
      <c r="C37" s="11" t="s">
        <v>1751</v>
      </c>
      <c r="E37" s="11" t="s">
        <v>750</v>
      </c>
      <c r="F37" s="11" t="s">
        <v>258</v>
      </c>
      <c r="G37" s="11" t="s">
        <v>4711</v>
      </c>
      <c r="I37" s="11" t="s">
        <v>1144</v>
      </c>
      <c r="J37" s="11" t="s">
        <v>1145</v>
      </c>
      <c r="K37" s="11" t="s">
        <v>1144</v>
      </c>
      <c r="L37" s="11" t="s">
        <v>1145</v>
      </c>
      <c r="M37" s="11" t="s">
        <v>766</v>
      </c>
      <c r="N37" s="11" t="n">
        <v>1</v>
      </c>
      <c r="Q37" s="11" t="s">
        <v>27</v>
      </c>
    </row>
    <row r="38" customFormat="false" ht="15" hidden="false" customHeight="false" outlineLevel="0" collapsed="false">
      <c r="A38" s="2" t="s">
        <v>4747</v>
      </c>
      <c r="B38" s="11" t="s">
        <v>1277</v>
      </c>
      <c r="C38" s="11" t="s">
        <v>1756</v>
      </c>
      <c r="E38" s="11" t="s">
        <v>750</v>
      </c>
      <c r="F38" s="11" t="s">
        <v>258</v>
      </c>
      <c r="G38" s="11" t="s">
        <v>4711</v>
      </c>
      <c r="I38" s="11" t="s">
        <v>1144</v>
      </c>
      <c r="J38" s="11" t="s">
        <v>1145</v>
      </c>
      <c r="K38" s="11" t="s">
        <v>1144</v>
      </c>
      <c r="L38" s="11" t="s">
        <v>1145</v>
      </c>
      <c r="M38" s="11" t="s">
        <v>766</v>
      </c>
      <c r="N38" s="11" t="n">
        <v>1</v>
      </c>
      <c r="Q38" s="11" t="s">
        <v>27</v>
      </c>
    </row>
    <row r="39" customFormat="false" ht="15" hidden="false" customHeight="false" outlineLevel="0" collapsed="false">
      <c r="A39" s="2" t="s">
        <v>4748</v>
      </c>
      <c r="B39" s="11" t="s">
        <v>1285</v>
      </c>
      <c r="C39" s="11" t="s">
        <v>1741</v>
      </c>
      <c r="E39" s="11" t="s">
        <v>750</v>
      </c>
      <c r="F39" s="11" t="s">
        <v>258</v>
      </c>
      <c r="G39" s="11" t="s">
        <v>4711</v>
      </c>
      <c r="I39" s="11" t="s">
        <v>1144</v>
      </c>
      <c r="J39" s="11" t="s">
        <v>1145</v>
      </c>
      <c r="K39" s="11" t="s">
        <v>1144</v>
      </c>
      <c r="L39" s="11" t="s">
        <v>1145</v>
      </c>
      <c r="M39" s="11" t="s">
        <v>766</v>
      </c>
      <c r="N39" s="11" t="n">
        <v>1</v>
      </c>
      <c r="Q39" s="11" t="s">
        <v>27</v>
      </c>
    </row>
    <row r="40" customFormat="false" ht="15" hidden="false" customHeight="false" outlineLevel="0" collapsed="false">
      <c r="A40" s="2" t="s">
        <v>4749</v>
      </c>
      <c r="B40" s="11" t="s">
        <v>1285</v>
      </c>
      <c r="C40" s="11" t="s">
        <v>1766</v>
      </c>
      <c r="E40" s="11" t="s">
        <v>750</v>
      </c>
      <c r="F40" s="11" t="s">
        <v>258</v>
      </c>
      <c r="G40" s="11" t="s">
        <v>4711</v>
      </c>
      <c r="I40" s="11" t="s">
        <v>1144</v>
      </c>
      <c r="J40" s="11" t="s">
        <v>1145</v>
      </c>
      <c r="K40" s="11" t="s">
        <v>1144</v>
      </c>
      <c r="L40" s="11" t="s">
        <v>1145</v>
      </c>
      <c r="M40" s="11" t="s">
        <v>766</v>
      </c>
      <c r="N40" s="11" t="n">
        <v>1</v>
      </c>
      <c r="Q40" s="11" t="s">
        <v>27</v>
      </c>
    </row>
    <row r="41" customFormat="false" ht="15" hidden="false" customHeight="false" outlineLevel="0" collapsed="false">
      <c r="A41" s="2" t="s">
        <v>4750</v>
      </c>
      <c r="B41" s="11" t="s">
        <v>1295</v>
      </c>
      <c r="C41" s="11" t="s">
        <v>1725</v>
      </c>
      <c r="E41" s="11" t="s">
        <v>750</v>
      </c>
      <c r="F41" s="11" t="s">
        <v>258</v>
      </c>
      <c r="G41" s="11" t="s">
        <v>4711</v>
      </c>
      <c r="I41" s="11" t="s">
        <v>1144</v>
      </c>
      <c r="J41" s="11" t="s">
        <v>1145</v>
      </c>
      <c r="K41" s="11" t="s">
        <v>1144</v>
      </c>
      <c r="L41" s="11" t="s">
        <v>1145</v>
      </c>
      <c r="M41" s="11" t="s">
        <v>766</v>
      </c>
      <c r="N41" s="11" t="n">
        <v>1</v>
      </c>
      <c r="Q41" s="11" t="s">
        <v>27</v>
      </c>
    </row>
    <row r="42" customFormat="false" ht="15" hidden="false" customHeight="false" outlineLevel="0" collapsed="false">
      <c r="A42" s="2" t="s">
        <v>4751</v>
      </c>
      <c r="B42" s="11" t="s">
        <v>1295</v>
      </c>
      <c r="C42" s="11" t="s">
        <v>1746</v>
      </c>
      <c r="E42" s="11" t="s">
        <v>750</v>
      </c>
      <c r="F42" s="11" t="s">
        <v>258</v>
      </c>
      <c r="G42" s="11" t="s">
        <v>4711</v>
      </c>
      <c r="I42" s="11" t="s">
        <v>1144</v>
      </c>
      <c r="J42" s="11" t="s">
        <v>1145</v>
      </c>
      <c r="K42" s="11" t="s">
        <v>1144</v>
      </c>
      <c r="L42" s="11" t="s">
        <v>1145</v>
      </c>
      <c r="M42" s="11" t="s">
        <v>766</v>
      </c>
      <c r="N42" s="11" t="n">
        <v>1</v>
      </c>
      <c r="Q42" s="11" t="s">
        <v>27</v>
      </c>
    </row>
    <row r="43" customFormat="false" ht="15" hidden="false" customHeight="false" outlineLevel="0" collapsed="false">
      <c r="A43" s="2" t="s">
        <v>4752</v>
      </c>
      <c r="B43" s="11" t="s">
        <v>1303</v>
      </c>
      <c r="C43" s="11" t="s">
        <v>1736</v>
      </c>
      <c r="E43" s="11" t="s">
        <v>750</v>
      </c>
      <c r="F43" s="11" t="s">
        <v>272</v>
      </c>
      <c r="G43" s="11" t="s">
        <v>4711</v>
      </c>
      <c r="I43" s="11" t="s">
        <v>1144</v>
      </c>
      <c r="J43" s="11" t="s">
        <v>1145</v>
      </c>
      <c r="K43" s="11" t="s">
        <v>1144</v>
      </c>
      <c r="L43" s="11" t="s">
        <v>1145</v>
      </c>
      <c r="M43" s="11" t="s">
        <v>766</v>
      </c>
      <c r="N43" s="11" t="n">
        <v>1</v>
      </c>
      <c r="Q43" s="11" t="s">
        <v>27</v>
      </c>
    </row>
    <row r="44" customFormat="false" ht="15" hidden="false" customHeight="false" outlineLevel="0" collapsed="false">
      <c r="A44" s="2" t="s">
        <v>4753</v>
      </c>
      <c r="B44" s="11" t="s">
        <v>1303</v>
      </c>
      <c r="C44" s="11" t="s">
        <v>1746</v>
      </c>
      <c r="E44" s="11" t="s">
        <v>750</v>
      </c>
      <c r="F44" s="11" t="s">
        <v>258</v>
      </c>
      <c r="G44" s="11" t="s">
        <v>4711</v>
      </c>
      <c r="I44" s="11" t="s">
        <v>1144</v>
      </c>
      <c r="J44" s="11" t="s">
        <v>1145</v>
      </c>
      <c r="K44" s="11" t="s">
        <v>1144</v>
      </c>
      <c r="L44" s="11" t="s">
        <v>1145</v>
      </c>
      <c r="M44" s="11" t="s">
        <v>766</v>
      </c>
      <c r="N44" s="11" t="n">
        <v>1</v>
      </c>
      <c r="Q44" s="11" t="s">
        <v>27</v>
      </c>
    </row>
    <row r="45" customFormat="false" ht="15" hidden="false" customHeight="false" outlineLevel="0" collapsed="false">
      <c r="A45" s="2" t="s">
        <v>4754</v>
      </c>
      <c r="B45" s="11" t="s">
        <v>1303</v>
      </c>
      <c r="C45" s="11" t="s">
        <v>1786</v>
      </c>
      <c r="E45" s="11" t="s">
        <v>776</v>
      </c>
      <c r="F45" s="11" t="s">
        <v>258</v>
      </c>
      <c r="G45" s="11" t="s">
        <v>4711</v>
      </c>
      <c r="I45" s="11" t="s">
        <v>1144</v>
      </c>
      <c r="J45" s="11" t="s">
        <v>1145</v>
      </c>
      <c r="K45" s="11" t="s">
        <v>1144</v>
      </c>
      <c r="L45" s="11" t="s">
        <v>1145</v>
      </c>
      <c r="M45" s="11" t="s">
        <v>766</v>
      </c>
      <c r="N45" s="11" t="n">
        <v>1</v>
      </c>
      <c r="Q45" s="11" t="s">
        <v>27</v>
      </c>
    </row>
    <row r="46" customFormat="false" ht="15" hidden="false" customHeight="false" outlineLevel="0" collapsed="false">
      <c r="A46" s="2" t="s">
        <v>4755</v>
      </c>
      <c r="B46" s="11" t="s">
        <v>1303</v>
      </c>
      <c r="C46" s="11" t="s">
        <v>1776</v>
      </c>
      <c r="E46" s="11" t="s">
        <v>776</v>
      </c>
      <c r="F46" s="11" t="s">
        <v>272</v>
      </c>
      <c r="G46" s="11" t="s">
        <v>4711</v>
      </c>
      <c r="I46" s="11" t="s">
        <v>1144</v>
      </c>
      <c r="J46" s="11" t="s">
        <v>1145</v>
      </c>
      <c r="K46" s="11" t="s">
        <v>1144</v>
      </c>
      <c r="L46" s="11" t="s">
        <v>1145</v>
      </c>
      <c r="M46" s="11" t="s">
        <v>766</v>
      </c>
      <c r="N46" s="11" t="n">
        <v>1</v>
      </c>
      <c r="Q46" s="11" t="s">
        <v>27</v>
      </c>
    </row>
  </sheetData>
  <autoFilter ref="A1:Q46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46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46" type="list">
      <formula1>informatiebehoefte!$B$2:$B$2000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46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46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M2:M1046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644</v>
      </c>
      <c r="B1" s="13" t="s">
        <v>353</v>
      </c>
      <c r="C1" s="13" t="s">
        <v>418</v>
      </c>
      <c r="D1" s="13" t="s">
        <v>641</v>
      </c>
      <c r="E1" s="14" t="s">
        <v>410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4756</v>
      </c>
      <c r="B2" s="11" t="s">
        <v>1163</v>
      </c>
      <c r="C2" s="11" t="s">
        <v>1605</v>
      </c>
      <c r="D2" s="11" t="s">
        <v>750</v>
      </c>
      <c r="F2" s="11" t="s">
        <v>1144</v>
      </c>
      <c r="G2" s="11" t="s">
        <v>1145</v>
      </c>
      <c r="H2" s="11" t="s">
        <v>1144</v>
      </c>
      <c r="I2" s="11" t="s">
        <v>1145</v>
      </c>
      <c r="J2" s="11" t="s">
        <v>766</v>
      </c>
      <c r="K2" s="11" t="n">
        <v>1</v>
      </c>
      <c r="N2" s="11" t="s">
        <v>27</v>
      </c>
    </row>
    <row r="3" customFormat="false" ht="15" hidden="false" customHeight="false" outlineLevel="0" collapsed="false">
      <c r="A3" s="2" t="s">
        <v>4757</v>
      </c>
      <c r="B3" s="11" t="s">
        <v>1163</v>
      </c>
      <c r="C3" s="11" t="s">
        <v>1622</v>
      </c>
      <c r="D3" s="11" t="s">
        <v>776</v>
      </c>
      <c r="F3" s="11" t="s">
        <v>1144</v>
      </c>
      <c r="G3" s="11" t="s">
        <v>1145</v>
      </c>
      <c r="H3" s="11" t="s">
        <v>1144</v>
      </c>
      <c r="I3" s="11" t="s">
        <v>1145</v>
      </c>
      <c r="J3" s="11" t="s">
        <v>766</v>
      </c>
      <c r="K3" s="11" t="n">
        <v>1</v>
      </c>
      <c r="N3" s="11" t="s">
        <v>27</v>
      </c>
    </row>
    <row r="4" customFormat="false" ht="15" hidden="false" customHeight="false" outlineLevel="0" collapsed="false">
      <c r="A4" s="2" t="s">
        <v>4758</v>
      </c>
      <c r="B4" s="11" t="s">
        <v>1173</v>
      </c>
      <c r="C4" s="11" t="s">
        <v>1605</v>
      </c>
      <c r="D4" s="11" t="s">
        <v>750</v>
      </c>
      <c r="F4" s="11" t="s">
        <v>1144</v>
      </c>
      <c r="G4" s="11" t="s">
        <v>1145</v>
      </c>
      <c r="H4" s="11" t="s">
        <v>1144</v>
      </c>
      <c r="I4" s="11" t="s">
        <v>1145</v>
      </c>
      <c r="J4" s="11" t="s">
        <v>766</v>
      </c>
      <c r="K4" s="11" t="n">
        <v>1</v>
      </c>
      <c r="N4" s="11" t="s">
        <v>27</v>
      </c>
    </row>
    <row r="5" customFormat="false" ht="15" hidden="false" customHeight="false" outlineLevel="0" collapsed="false">
      <c r="A5" s="2" t="s">
        <v>4759</v>
      </c>
      <c r="B5" s="11" t="s">
        <v>1173</v>
      </c>
      <c r="C5" s="11" t="s">
        <v>1612</v>
      </c>
      <c r="D5" s="11" t="s">
        <v>776</v>
      </c>
      <c r="F5" s="11" t="s">
        <v>1144</v>
      </c>
      <c r="G5" s="11" t="s">
        <v>1145</v>
      </c>
      <c r="H5" s="11" t="s">
        <v>1144</v>
      </c>
      <c r="I5" s="11" t="s">
        <v>1145</v>
      </c>
      <c r="J5" s="11" t="s">
        <v>766</v>
      </c>
      <c r="K5" s="11" t="n">
        <v>1</v>
      </c>
      <c r="N5" s="11" t="s">
        <v>27</v>
      </c>
    </row>
    <row r="6" customFormat="false" ht="15" hidden="false" customHeight="false" outlineLevel="0" collapsed="false">
      <c r="A6" s="2" t="s">
        <v>4760</v>
      </c>
      <c r="B6" s="11" t="s">
        <v>1182</v>
      </c>
      <c r="C6" s="11" t="s">
        <v>1605</v>
      </c>
      <c r="D6" s="11" t="s">
        <v>750</v>
      </c>
      <c r="F6" s="11" t="s">
        <v>1144</v>
      </c>
      <c r="G6" s="11" t="s">
        <v>1145</v>
      </c>
      <c r="H6" s="11" t="s">
        <v>1144</v>
      </c>
      <c r="I6" s="11" t="s">
        <v>1145</v>
      </c>
      <c r="J6" s="11" t="s">
        <v>766</v>
      </c>
      <c r="K6" s="11" t="n">
        <v>1</v>
      </c>
      <c r="N6" s="11" t="s">
        <v>27</v>
      </c>
    </row>
    <row r="7" customFormat="false" ht="15" hidden="false" customHeight="false" outlineLevel="0" collapsed="false">
      <c r="A7" s="2" t="s">
        <v>4761</v>
      </c>
      <c r="B7" s="11" t="s">
        <v>1182</v>
      </c>
      <c r="C7" s="11" t="s">
        <v>1648</v>
      </c>
      <c r="D7" s="11" t="s">
        <v>776</v>
      </c>
      <c r="F7" s="11" t="s">
        <v>1144</v>
      </c>
      <c r="G7" s="11" t="s">
        <v>1145</v>
      </c>
      <c r="H7" s="11" t="s">
        <v>1144</v>
      </c>
      <c r="I7" s="11" t="s">
        <v>1145</v>
      </c>
      <c r="J7" s="11" t="s">
        <v>766</v>
      </c>
      <c r="K7" s="11" t="n">
        <v>1</v>
      </c>
      <c r="N7" s="11" t="s">
        <v>27</v>
      </c>
    </row>
    <row r="8" customFormat="false" ht="15" hidden="false" customHeight="false" outlineLevel="0" collapsed="false">
      <c r="A8" s="2" t="s">
        <v>4762</v>
      </c>
      <c r="B8" s="11" t="s">
        <v>1191</v>
      </c>
      <c r="C8" s="11" t="s">
        <v>1622</v>
      </c>
      <c r="D8" s="11" t="s">
        <v>750</v>
      </c>
      <c r="F8" s="11" t="s">
        <v>1144</v>
      </c>
      <c r="G8" s="11" t="s">
        <v>1145</v>
      </c>
      <c r="H8" s="11" t="s">
        <v>1144</v>
      </c>
      <c r="I8" s="11" t="s">
        <v>1145</v>
      </c>
      <c r="J8" s="11" t="s">
        <v>766</v>
      </c>
      <c r="K8" s="11" t="n">
        <v>1</v>
      </c>
      <c r="N8" s="11" t="s">
        <v>27</v>
      </c>
    </row>
    <row r="9" customFormat="false" ht="15" hidden="false" customHeight="false" outlineLevel="0" collapsed="false">
      <c r="A9" s="2" t="s">
        <v>4763</v>
      </c>
      <c r="B9" s="11" t="s">
        <v>1191</v>
      </c>
      <c r="C9" s="11" t="s">
        <v>1633</v>
      </c>
      <c r="D9" s="11" t="s">
        <v>776</v>
      </c>
      <c r="F9" s="11" t="s">
        <v>1144</v>
      </c>
      <c r="G9" s="11" t="s">
        <v>1145</v>
      </c>
      <c r="H9" s="11" t="s">
        <v>1144</v>
      </c>
      <c r="I9" s="11" t="s">
        <v>1145</v>
      </c>
      <c r="J9" s="11" t="s">
        <v>766</v>
      </c>
      <c r="K9" s="11" t="n">
        <v>1</v>
      </c>
      <c r="N9" s="11" t="s">
        <v>27</v>
      </c>
    </row>
    <row r="10" customFormat="false" ht="15" hidden="false" customHeight="false" outlineLevel="0" collapsed="false">
      <c r="A10" s="2" t="s">
        <v>4764</v>
      </c>
      <c r="B10" s="11" t="s">
        <v>1202</v>
      </c>
      <c r="C10" s="11" t="s">
        <v>1622</v>
      </c>
      <c r="D10" s="11" t="s">
        <v>750</v>
      </c>
      <c r="F10" s="11" t="s">
        <v>1144</v>
      </c>
      <c r="G10" s="11" t="s">
        <v>1145</v>
      </c>
      <c r="H10" s="11" t="s">
        <v>1144</v>
      </c>
      <c r="I10" s="11" t="s">
        <v>1145</v>
      </c>
      <c r="J10" s="11" t="s">
        <v>766</v>
      </c>
      <c r="K10" s="11" t="n">
        <v>1</v>
      </c>
      <c r="N10" s="11" t="s">
        <v>27</v>
      </c>
    </row>
    <row r="11" customFormat="false" ht="15" hidden="false" customHeight="false" outlineLevel="0" collapsed="false">
      <c r="A11" s="2" t="s">
        <v>4765</v>
      </c>
      <c r="B11" s="11" t="s">
        <v>1202</v>
      </c>
      <c r="C11" s="11" t="s">
        <v>1628</v>
      </c>
      <c r="D11" s="11" t="s">
        <v>776</v>
      </c>
      <c r="F11" s="11" t="s">
        <v>1144</v>
      </c>
      <c r="G11" s="11" t="s">
        <v>1145</v>
      </c>
      <c r="H11" s="11" t="s">
        <v>1144</v>
      </c>
      <c r="I11" s="11" t="s">
        <v>1145</v>
      </c>
      <c r="J11" s="11" t="s">
        <v>766</v>
      </c>
      <c r="K11" s="11" t="n">
        <v>1</v>
      </c>
      <c r="N11" s="11" t="s">
        <v>27</v>
      </c>
    </row>
    <row r="12" customFormat="false" ht="15" hidden="false" customHeight="false" outlineLevel="0" collapsed="false">
      <c r="A12" s="2" t="s">
        <v>4766</v>
      </c>
      <c r="B12" s="11" t="s">
        <v>1213</v>
      </c>
      <c r="C12" s="11" t="s">
        <v>1617</v>
      </c>
      <c r="D12" s="11" t="s">
        <v>750</v>
      </c>
      <c r="F12" s="11" t="s">
        <v>1144</v>
      </c>
      <c r="G12" s="11" t="s">
        <v>1145</v>
      </c>
      <c r="H12" s="11" t="s">
        <v>1144</v>
      </c>
      <c r="I12" s="11" t="s">
        <v>1145</v>
      </c>
      <c r="J12" s="11" t="s">
        <v>766</v>
      </c>
      <c r="K12" s="11" t="n">
        <v>1</v>
      </c>
      <c r="N12" s="11" t="s">
        <v>27</v>
      </c>
    </row>
    <row r="13" customFormat="false" ht="15" hidden="false" customHeight="false" outlineLevel="0" collapsed="false">
      <c r="A13" s="2" t="s">
        <v>4767</v>
      </c>
      <c r="B13" s="11" t="s">
        <v>1224</v>
      </c>
      <c r="C13" s="11" t="s">
        <v>1661</v>
      </c>
      <c r="D13" s="11" t="s">
        <v>750</v>
      </c>
      <c r="F13" s="11" t="s">
        <v>1144</v>
      </c>
      <c r="G13" s="11" t="s">
        <v>1145</v>
      </c>
      <c r="H13" s="11" t="s">
        <v>1144</v>
      </c>
      <c r="I13" s="11" t="s">
        <v>1145</v>
      </c>
      <c r="J13" s="11" t="s">
        <v>766</v>
      </c>
      <c r="K13" s="11" t="n">
        <v>1</v>
      </c>
      <c r="N13" s="11" t="s">
        <v>27</v>
      </c>
    </row>
    <row r="14" customFormat="false" ht="15" hidden="false" customHeight="false" outlineLevel="0" collapsed="false">
      <c r="A14" s="2" t="s">
        <v>4768</v>
      </c>
      <c r="B14" s="11" t="s">
        <v>1233</v>
      </c>
      <c r="C14" s="11" t="s">
        <v>1605</v>
      </c>
      <c r="D14" s="11" t="s">
        <v>750</v>
      </c>
      <c r="F14" s="11" t="s">
        <v>1144</v>
      </c>
      <c r="G14" s="11" t="s">
        <v>1145</v>
      </c>
      <c r="H14" s="11" t="s">
        <v>1144</v>
      </c>
      <c r="I14" s="11" t="s">
        <v>1145</v>
      </c>
      <c r="J14" s="11" t="s">
        <v>766</v>
      </c>
      <c r="K14" s="11" t="n">
        <v>1</v>
      </c>
      <c r="N14" s="11" t="s">
        <v>27</v>
      </c>
    </row>
    <row r="15" customFormat="false" ht="15" hidden="false" customHeight="false" outlineLevel="0" collapsed="false">
      <c r="A15" s="2" t="s">
        <v>4769</v>
      </c>
      <c r="B15" s="11" t="s">
        <v>1241</v>
      </c>
      <c r="C15" s="11" t="s">
        <v>1612</v>
      </c>
      <c r="D15" s="11" t="s">
        <v>750</v>
      </c>
      <c r="F15" s="11" t="s">
        <v>1144</v>
      </c>
      <c r="G15" s="11" t="s">
        <v>1145</v>
      </c>
      <c r="H15" s="11" t="s">
        <v>1144</v>
      </c>
      <c r="I15" s="11" t="s">
        <v>1145</v>
      </c>
      <c r="J15" s="11" t="s">
        <v>766</v>
      </c>
      <c r="K15" s="11" t="n">
        <v>1</v>
      </c>
      <c r="N15" s="11" t="s">
        <v>27</v>
      </c>
    </row>
    <row r="16" customFormat="false" ht="15" hidden="false" customHeight="false" outlineLevel="0" collapsed="false">
      <c r="A16" s="2" t="s">
        <v>4770</v>
      </c>
      <c r="B16" s="11" t="s">
        <v>1241</v>
      </c>
      <c r="C16" s="11" t="s">
        <v>1617</v>
      </c>
      <c r="D16" s="11" t="s">
        <v>776</v>
      </c>
      <c r="F16" s="11" t="s">
        <v>1144</v>
      </c>
      <c r="G16" s="11" t="s">
        <v>1145</v>
      </c>
      <c r="H16" s="11" t="s">
        <v>1144</v>
      </c>
      <c r="I16" s="11" t="s">
        <v>1145</v>
      </c>
      <c r="J16" s="11" t="s">
        <v>766</v>
      </c>
      <c r="K16" s="11" t="n">
        <v>1</v>
      </c>
      <c r="N16" s="11" t="s">
        <v>27</v>
      </c>
    </row>
    <row r="17" customFormat="false" ht="15" hidden="false" customHeight="false" outlineLevel="0" collapsed="false">
      <c r="A17" s="2" t="s">
        <v>4771</v>
      </c>
      <c r="B17" s="11" t="s">
        <v>1249</v>
      </c>
      <c r="C17" s="11" t="s">
        <v>1648</v>
      </c>
      <c r="D17" s="11" t="s">
        <v>750</v>
      </c>
      <c r="F17" s="11" t="s">
        <v>1144</v>
      </c>
      <c r="G17" s="11" t="s">
        <v>1145</v>
      </c>
      <c r="H17" s="11" t="s">
        <v>1144</v>
      </c>
      <c r="I17" s="11" t="s">
        <v>1145</v>
      </c>
      <c r="J17" s="11" t="s">
        <v>766</v>
      </c>
      <c r="K17" s="11" t="n">
        <v>1</v>
      </c>
      <c r="N17" s="11" t="s">
        <v>27</v>
      </c>
    </row>
    <row r="18" customFormat="false" ht="15" hidden="false" customHeight="false" outlineLevel="0" collapsed="false">
      <c r="A18" s="2" t="s">
        <v>4772</v>
      </c>
      <c r="B18" s="11" t="s">
        <v>1249</v>
      </c>
      <c r="C18" s="11" t="s">
        <v>1651</v>
      </c>
      <c r="D18" s="11" t="s">
        <v>776</v>
      </c>
      <c r="F18" s="11" t="s">
        <v>1144</v>
      </c>
      <c r="G18" s="11" t="s">
        <v>1145</v>
      </c>
      <c r="H18" s="11" t="s">
        <v>1144</v>
      </c>
      <c r="I18" s="11" t="s">
        <v>1145</v>
      </c>
      <c r="J18" s="11" t="s">
        <v>766</v>
      </c>
      <c r="K18" s="11" t="n">
        <v>1</v>
      </c>
      <c r="N18" s="11" t="s">
        <v>27</v>
      </c>
    </row>
    <row r="19" customFormat="false" ht="15" hidden="false" customHeight="false" outlineLevel="0" collapsed="false">
      <c r="A19" s="2" t="s">
        <v>4773</v>
      </c>
      <c r="B19" s="11" t="s">
        <v>1257</v>
      </c>
      <c r="C19" s="11" t="s">
        <v>1612</v>
      </c>
      <c r="D19" s="11" t="s">
        <v>750</v>
      </c>
      <c r="F19" s="11" t="s">
        <v>1144</v>
      </c>
      <c r="G19" s="11" t="s">
        <v>1145</v>
      </c>
      <c r="H19" s="11" t="s">
        <v>1144</v>
      </c>
      <c r="I19" s="11" t="s">
        <v>1145</v>
      </c>
      <c r="J19" s="11" t="s">
        <v>766</v>
      </c>
      <c r="K19" s="11" t="n">
        <v>1</v>
      </c>
      <c r="N19" s="11" t="s">
        <v>27</v>
      </c>
    </row>
    <row r="20" customFormat="false" ht="15" hidden="false" customHeight="false" outlineLevel="0" collapsed="false">
      <c r="A20" s="2" t="s">
        <v>4774</v>
      </c>
      <c r="B20" s="11" t="s">
        <v>1257</v>
      </c>
      <c r="C20" s="11" t="s">
        <v>1617</v>
      </c>
      <c r="D20" s="11" t="s">
        <v>776</v>
      </c>
      <c r="F20" s="11" t="s">
        <v>1144</v>
      </c>
      <c r="G20" s="11" t="s">
        <v>1145</v>
      </c>
      <c r="H20" s="11" t="s">
        <v>1144</v>
      </c>
      <c r="I20" s="11" t="s">
        <v>1145</v>
      </c>
      <c r="J20" s="11" t="s">
        <v>766</v>
      </c>
      <c r="K20" s="11" t="n">
        <v>1</v>
      </c>
      <c r="N20" s="11" t="s">
        <v>27</v>
      </c>
    </row>
    <row r="21" customFormat="false" ht="15" hidden="false" customHeight="false" outlineLevel="0" collapsed="false">
      <c r="A21" s="2" t="s">
        <v>4775</v>
      </c>
      <c r="B21" s="11" t="s">
        <v>1257</v>
      </c>
      <c r="C21" s="11" t="s">
        <v>1648</v>
      </c>
      <c r="D21" s="11" t="s">
        <v>776</v>
      </c>
      <c r="F21" s="11" t="s">
        <v>1144</v>
      </c>
      <c r="G21" s="11" t="s">
        <v>1145</v>
      </c>
      <c r="H21" s="11" t="s">
        <v>1144</v>
      </c>
      <c r="I21" s="11" t="s">
        <v>1145</v>
      </c>
      <c r="J21" s="11" t="s">
        <v>766</v>
      </c>
      <c r="K21" s="11" t="n">
        <v>1</v>
      </c>
      <c r="N21" s="11" t="s">
        <v>27</v>
      </c>
    </row>
    <row r="22" customFormat="false" ht="15" hidden="false" customHeight="false" outlineLevel="0" collapsed="false">
      <c r="A22" s="2" t="s">
        <v>4776</v>
      </c>
      <c r="B22" s="11" t="s">
        <v>1257</v>
      </c>
      <c r="C22" s="11" t="s">
        <v>1638</v>
      </c>
      <c r="D22" s="11" t="s">
        <v>776</v>
      </c>
      <c r="F22" s="11" t="s">
        <v>1144</v>
      </c>
      <c r="G22" s="11" t="s">
        <v>1145</v>
      </c>
      <c r="H22" s="11" t="s">
        <v>1144</v>
      </c>
      <c r="I22" s="11" t="s">
        <v>1145</v>
      </c>
      <c r="J22" s="11" t="s">
        <v>766</v>
      </c>
      <c r="K22" s="11" t="n">
        <v>1</v>
      </c>
      <c r="N22" s="11" t="s">
        <v>27</v>
      </c>
    </row>
    <row r="23" customFormat="false" ht="15" hidden="false" customHeight="false" outlineLevel="0" collapsed="false">
      <c r="A23" s="2" t="s">
        <v>4777</v>
      </c>
      <c r="B23" s="11" t="s">
        <v>1266</v>
      </c>
      <c r="C23" s="11" t="s">
        <v>1622</v>
      </c>
      <c r="D23" s="11" t="s">
        <v>750</v>
      </c>
      <c r="F23" s="11" t="s">
        <v>1144</v>
      </c>
      <c r="G23" s="11" t="s">
        <v>1145</v>
      </c>
      <c r="H23" s="11" t="s">
        <v>1144</v>
      </c>
      <c r="I23" s="11" t="s">
        <v>1145</v>
      </c>
      <c r="J23" s="11" t="s">
        <v>766</v>
      </c>
      <c r="K23" s="11" t="n">
        <v>1</v>
      </c>
      <c r="N23" s="11" t="s">
        <v>27</v>
      </c>
    </row>
    <row r="24" customFormat="false" ht="15" hidden="false" customHeight="false" outlineLevel="0" collapsed="false">
      <c r="A24" s="2" t="s">
        <v>4778</v>
      </c>
      <c r="B24" s="11" t="s">
        <v>1266</v>
      </c>
      <c r="C24" s="11" t="s">
        <v>1633</v>
      </c>
      <c r="D24" s="11" t="s">
        <v>776</v>
      </c>
      <c r="F24" s="11" t="s">
        <v>1144</v>
      </c>
      <c r="G24" s="11" t="s">
        <v>1145</v>
      </c>
      <c r="H24" s="11" t="s">
        <v>1144</v>
      </c>
      <c r="I24" s="11" t="s">
        <v>1145</v>
      </c>
      <c r="J24" s="11" t="s">
        <v>766</v>
      </c>
      <c r="K24" s="11" t="n">
        <v>1</v>
      </c>
      <c r="N24" s="11" t="s">
        <v>27</v>
      </c>
    </row>
    <row r="25" customFormat="false" ht="15" hidden="false" customHeight="false" outlineLevel="0" collapsed="false">
      <c r="A25" s="2" t="s">
        <v>4779</v>
      </c>
      <c r="B25" s="11" t="s">
        <v>1266</v>
      </c>
      <c r="C25" s="11" t="s">
        <v>1643</v>
      </c>
      <c r="D25" s="11" t="s">
        <v>776</v>
      </c>
      <c r="F25" s="11" t="s">
        <v>1144</v>
      </c>
      <c r="G25" s="11" t="s">
        <v>1145</v>
      </c>
      <c r="H25" s="11" t="s">
        <v>1144</v>
      </c>
      <c r="I25" s="11" t="s">
        <v>1145</v>
      </c>
      <c r="J25" s="11" t="s">
        <v>766</v>
      </c>
      <c r="K25" s="11" t="n">
        <v>1</v>
      </c>
      <c r="N25" s="11" t="s">
        <v>27</v>
      </c>
    </row>
    <row r="26" customFormat="false" ht="15" hidden="false" customHeight="false" outlineLevel="0" collapsed="false">
      <c r="A26" s="2" t="s">
        <v>4780</v>
      </c>
      <c r="B26" s="11" t="s">
        <v>1277</v>
      </c>
      <c r="C26" s="11" t="s">
        <v>1622</v>
      </c>
      <c r="D26" s="11" t="s">
        <v>750</v>
      </c>
      <c r="F26" s="11" t="s">
        <v>1144</v>
      </c>
      <c r="G26" s="11" t="s">
        <v>1145</v>
      </c>
      <c r="H26" s="11" t="s">
        <v>1144</v>
      </c>
      <c r="I26" s="11" t="s">
        <v>1145</v>
      </c>
      <c r="J26" s="11" t="s">
        <v>766</v>
      </c>
      <c r="K26" s="11" t="n">
        <v>1</v>
      </c>
      <c r="N26" s="11" t="s">
        <v>27</v>
      </c>
    </row>
    <row r="27" customFormat="false" ht="15" hidden="false" customHeight="false" outlineLevel="0" collapsed="false">
      <c r="A27" s="2" t="s">
        <v>4781</v>
      </c>
      <c r="B27" s="11" t="s">
        <v>1277</v>
      </c>
      <c r="C27" s="11" t="s">
        <v>1633</v>
      </c>
      <c r="D27" s="11" t="s">
        <v>776</v>
      </c>
      <c r="F27" s="11" t="s">
        <v>1144</v>
      </c>
      <c r="G27" s="11" t="s">
        <v>1145</v>
      </c>
      <c r="H27" s="11" t="s">
        <v>1144</v>
      </c>
      <c r="I27" s="11" t="s">
        <v>1145</v>
      </c>
      <c r="J27" s="11" t="s">
        <v>766</v>
      </c>
      <c r="K27" s="11" t="n">
        <v>1</v>
      </c>
      <c r="N27" s="11" t="s">
        <v>27</v>
      </c>
    </row>
    <row r="28" customFormat="false" ht="15" hidden="false" customHeight="false" outlineLevel="0" collapsed="false">
      <c r="A28" s="2" t="s">
        <v>4782</v>
      </c>
      <c r="B28" s="11" t="s">
        <v>1285</v>
      </c>
      <c r="C28" s="11" t="s">
        <v>1656</v>
      </c>
      <c r="D28" s="11" t="s">
        <v>750</v>
      </c>
      <c r="F28" s="11" t="s">
        <v>1144</v>
      </c>
      <c r="G28" s="11" t="s">
        <v>1145</v>
      </c>
      <c r="H28" s="11" t="s">
        <v>1144</v>
      </c>
      <c r="I28" s="11" t="s">
        <v>1145</v>
      </c>
      <c r="J28" s="11" t="s">
        <v>766</v>
      </c>
      <c r="K28" s="11" t="n">
        <v>1</v>
      </c>
      <c r="N28" s="11" t="s">
        <v>27</v>
      </c>
    </row>
    <row r="29" customFormat="false" ht="15" hidden="false" customHeight="false" outlineLevel="0" collapsed="false">
      <c r="A29" s="2" t="s">
        <v>4783</v>
      </c>
      <c r="B29" s="11" t="s">
        <v>1285</v>
      </c>
      <c r="C29" s="11" t="s">
        <v>1643</v>
      </c>
      <c r="D29" s="11" t="s">
        <v>776</v>
      </c>
      <c r="F29" s="11" t="s">
        <v>1144</v>
      </c>
      <c r="G29" s="11" t="s">
        <v>1145</v>
      </c>
      <c r="H29" s="11" t="s">
        <v>1144</v>
      </c>
      <c r="I29" s="11" t="s">
        <v>1145</v>
      </c>
      <c r="J29" s="11" t="s">
        <v>766</v>
      </c>
      <c r="K29" s="11" t="n">
        <v>1</v>
      </c>
      <c r="N29" s="11" t="s">
        <v>27</v>
      </c>
    </row>
    <row r="30" customFormat="false" ht="15" hidden="false" customHeight="false" outlineLevel="0" collapsed="false">
      <c r="A30" s="2" t="s">
        <v>4784</v>
      </c>
      <c r="B30" s="11" t="s">
        <v>1295</v>
      </c>
      <c r="C30" s="11" t="s">
        <v>1617</v>
      </c>
      <c r="D30" s="11" t="s">
        <v>750</v>
      </c>
      <c r="F30" s="11" t="s">
        <v>1144</v>
      </c>
      <c r="G30" s="11" t="s">
        <v>1145</v>
      </c>
      <c r="H30" s="11" t="s">
        <v>1144</v>
      </c>
      <c r="I30" s="11" t="s">
        <v>1145</v>
      </c>
      <c r="J30" s="11" t="s">
        <v>766</v>
      </c>
      <c r="K30" s="11" t="n">
        <v>1</v>
      </c>
      <c r="N30" s="11" t="s">
        <v>27</v>
      </c>
    </row>
    <row r="31" customFormat="false" ht="15" hidden="false" customHeight="false" outlineLevel="0" collapsed="false">
      <c r="A31" s="2" t="s">
        <v>4785</v>
      </c>
      <c r="B31" s="11" t="s">
        <v>1303</v>
      </c>
      <c r="C31" s="11" t="s">
        <v>1617</v>
      </c>
      <c r="D31" s="11" t="s">
        <v>750</v>
      </c>
      <c r="F31" s="11" t="s">
        <v>1144</v>
      </c>
      <c r="G31" s="11" t="s">
        <v>1145</v>
      </c>
      <c r="H31" s="11" t="s">
        <v>1144</v>
      </c>
      <c r="I31" s="11" t="s">
        <v>1145</v>
      </c>
      <c r="J31" s="11" t="s">
        <v>766</v>
      </c>
      <c r="K31" s="11" t="n">
        <v>1</v>
      </c>
      <c r="N31" s="11" t="s">
        <v>27</v>
      </c>
    </row>
    <row r="32" customFormat="false" ht="15" hidden="false" customHeight="false" outlineLevel="0" collapsed="false">
      <c r="A32" s="2" t="s">
        <v>4786</v>
      </c>
      <c r="B32" s="11" t="s">
        <v>1303</v>
      </c>
      <c r="C32" s="11" t="s">
        <v>1661</v>
      </c>
      <c r="D32" s="11" t="s">
        <v>776</v>
      </c>
      <c r="F32" s="11" t="s">
        <v>1144</v>
      </c>
      <c r="G32" s="11" t="s">
        <v>1145</v>
      </c>
      <c r="H32" s="11" t="s">
        <v>1144</v>
      </c>
      <c r="I32" s="11" t="s">
        <v>1145</v>
      </c>
      <c r="J32" s="11" t="s">
        <v>766</v>
      </c>
      <c r="K32" s="11" t="n">
        <v>1</v>
      </c>
      <c r="N32" s="11" t="s">
        <v>27</v>
      </c>
    </row>
  </sheetData>
  <autoFilter ref="A1:N32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B2:B1032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32" type="list">
      <formula1>financiele_vraag!$B$2:$B$2000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32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645</v>
      </c>
      <c r="B1" s="13" t="s">
        <v>353</v>
      </c>
      <c r="C1" s="13" t="s">
        <v>439</v>
      </c>
      <c r="D1" s="13" t="s">
        <v>646</v>
      </c>
      <c r="E1" s="13" t="s">
        <v>642</v>
      </c>
      <c r="F1" s="14" t="s">
        <v>410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4787</v>
      </c>
      <c r="B2" s="11" t="s">
        <v>1163</v>
      </c>
      <c r="C2" s="11" t="s">
        <v>1854</v>
      </c>
      <c r="D2" s="11" t="s">
        <v>813</v>
      </c>
      <c r="E2" s="11" t="s">
        <v>258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27</v>
      </c>
    </row>
    <row r="3" customFormat="false" ht="15" hidden="false" customHeight="false" outlineLevel="0" collapsed="false">
      <c r="A3" s="2" t="s">
        <v>4788</v>
      </c>
      <c r="B3" s="11" t="s">
        <v>1173</v>
      </c>
      <c r="C3" s="11" t="s">
        <v>1829</v>
      </c>
      <c r="D3" s="11" t="s">
        <v>835</v>
      </c>
      <c r="E3" s="11" t="s">
        <v>258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27</v>
      </c>
    </row>
    <row r="4" customFormat="false" ht="15" hidden="false" customHeight="false" outlineLevel="0" collapsed="false">
      <c r="A4" s="2" t="s">
        <v>4789</v>
      </c>
      <c r="B4" s="11" t="s">
        <v>1182</v>
      </c>
      <c r="C4" s="11" t="s">
        <v>1835</v>
      </c>
      <c r="D4" s="11" t="s">
        <v>835</v>
      </c>
      <c r="E4" s="11" t="s">
        <v>258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27</v>
      </c>
    </row>
    <row r="5" customFormat="false" ht="15" hidden="false" customHeight="false" outlineLevel="0" collapsed="false">
      <c r="A5" s="2" t="s">
        <v>4790</v>
      </c>
      <c r="B5" s="11" t="s">
        <v>1182</v>
      </c>
      <c r="C5" s="11" t="s">
        <v>1839</v>
      </c>
      <c r="D5" s="11" t="s">
        <v>788</v>
      </c>
      <c r="E5" s="11" t="s">
        <v>272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27</v>
      </c>
    </row>
    <row r="6" customFormat="false" ht="15" hidden="false" customHeight="false" outlineLevel="0" collapsed="false">
      <c r="A6" s="2" t="s">
        <v>4791</v>
      </c>
      <c r="B6" s="11" t="s">
        <v>1191</v>
      </c>
      <c r="C6" s="11" t="s">
        <v>1851</v>
      </c>
      <c r="D6" s="11" t="s">
        <v>813</v>
      </c>
      <c r="E6" s="11" t="s">
        <v>258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27</v>
      </c>
    </row>
    <row r="7" customFormat="false" ht="15" hidden="false" customHeight="false" outlineLevel="0" collapsed="false">
      <c r="A7" s="2" t="s">
        <v>4792</v>
      </c>
      <c r="B7" s="11" t="s">
        <v>1191</v>
      </c>
      <c r="C7" s="11" t="s">
        <v>1864</v>
      </c>
      <c r="D7" s="11" t="s">
        <v>788</v>
      </c>
      <c r="E7" s="11" t="s">
        <v>272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27</v>
      </c>
    </row>
    <row r="8" customFormat="false" ht="15" hidden="false" customHeight="false" outlineLevel="0" collapsed="false">
      <c r="A8" s="2" t="s">
        <v>4793</v>
      </c>
      <c r="B8" s="11" t="s">
        <v>1202</v>
      </c>
      <c r="C8" s="11" t="s">
        <v>1857</v>
      </c>
      <c r="D8" s="11" t="s">
        <v>813</v>
      </c>
      <c r="E8" s="11" t="s">
        <v>258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27</v>
      </c>
    </row>
    <row r="9" customFormat="false" ht="15" hidden="false" customHeight="false" outlineLevel="0" collapsed="false">
      <c r="A9" s="2" t="s">
        <v>4794</v>
      </c>
      <c r="B9" s="11" t="s">
        <v>1202</v>
      </c>
      <c r="C9" s="11" t="s">
        <v>1871</v>
      </c>
      <c r="D9" s="11" t="s">
        <v>761</v>
      </c>
      <c r="E9" s="11" t="s">
        <v>272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27</v>
      </c>
    </row>
    <row r="10" customFormat="false" ht="15" hidden="false" customHeight="false" outlineLevel="0" collapsed="false">
      <c r="A10" s="2" t="s">
        <v>4795</v>
      </c>
      <c r="B10" s="11" t="s">
        <v>1213</v>
      </c>
      <c r="C10" s="11" t="s">
        <v>1879</v>
      </c>
      <c r="D10" s="11" t="s">
        <v>866</v>
      </c>
      <c r="E10" s="11" t="s">
        <v>272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27</v>
      </c>
    </row>
    <row r="11" customFormat="false" ht="15" hidden="false" customHeight="false" outlineLevel="0" collapsed="false">
      <c r="A11" s="2" t="s">
        <v>4796</v>
      </c>
      <c r="B11" s="11" t="s">
        <v>1224</v>
      </c>
      <c r="C11" s="11" t="s">
        <v>1884</v>
      </c>
      <c r="D11" s="11" t="s">
        <v>813</v>
      </c>
      <c r="E11" s="11" t="s">
        <v>258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27</v>
      </c>
    </row>
    <row r="12" customFormat="false" ht="15" hidden="false" customHeight="false" outlineLevel="0" collapsed="false">
      <c r="A12" s="2" t="s">
        <v>4797</v>
      </c>
      <c r="B12" s="11" t="s">
        <v>1233</v>
      </c>
      <c r="C12" s="11" t="s">
        <v>1860</v>
      </c>
      <c r="D12" s="11" t="s">
        <v>835</v>
      </c>
      <c r="E12" s="11" t="s">
        <v>258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27</v>
      </c>
    </row>
    <row r="13" customFormat="false" ht="15" hidden="false" customHeight="false" outlineLevel="0" collapsed="false">
      <c r="A13" s="2" t="s">
        <v>4798</v>
      </c>
      <c r="B13" s="11" t="s">
        <v>1241</v>
      </c>
      <c r="C13" s="11" t="s">
        <v>1839</v>
      </c>
      <c r="D13" s="11" t="s">
        <v>835</v>
      </c>
      <c r="E13" s="11" t="s">
        <v>258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27</v>
      </c>
    </row>
    <row r="14" customFormat="false" ht="15" hidden="false" customHeight="false" outlineLevel="0" collapsed="false">
      <c r="A14" s="2" t="s">
        <v>4799</v>
      </c>
      <c r="B14" s="11" t="s">
        <v>1241</v>
      </c>
      <c r="C14" s="11" t="s">
        <v>1843</v>
      </c>
      <c r="D14" s="11" t="s">
        <v>788</v>
      </c>
      <c r="E14" s="11" t="s">
        <v>272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27</v>
      </c>
    </row>
    <row r="15" customFormat="false" ht="15" hidden="false" customHeight="false" outlineLevel="0" collapsed="false">
      <c r="A15" s="2" t="s">
        <v>4800</v>
      </c>
      <c r="B15" s="11" t="s">
        <v>1249</v>
      </c>
      <c r="C15" s="11" t="s">
        <v>1839</v>
      </c>
      <c r="D15" s="11" t="s">
        <v>788</v>
      </c>
      <c r="E15" s="11" t="s">
        <v>272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27</v>
      </c>
    </row>
    <row r="16" customFormat="false" ht="15" hidden="false" customHeight="false" outlineLevel="0" collapsed="false">
      <c r="A16" s="2" t="s">
        <v>4801</v>
      </c>
      <c r="B16" s="11" t="s">
        <v>1249</v>
      </c>
      <c r="C16" s="11" t="s">
        <v>1843</v>
      </c>
      <c r="D16" s="11" t="s">
        <v>761</v>
      </c>
      <c r="E16" s="11" t="s">
        <v>272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27</v>
      </c>
    </row>
    <row r="17" customFormat="false" ht="15" hidden="false" customHeight="false" outlineLevel="0" collapsed="false">
      <c r="A17" s="2" t="s">
        <v>4802</v>
      </c>
      <c r="B17" s="11" t="s">
        <v>1257</v>
      </c>
      <c r="C17" s="11" t="s">
        <v>1839</v>
      </c>
      <c r="D17" s="11" t="s">
        <v>788</v>
      </c>
      <c r="E17" s="11" t="s">
        <v>272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27</v>
      </c>
    </row>
    <row r="18" customFormat="false" ht="15" hidden="false" customHeight="false" outlineLevel="0" collapsed="false">
      <c r="A18" s="2" t="s">
        <v>4803</v>
      </c>
      <c r="B18" s="11" t="s">
        <v>1257</v>
      </c>
      <c r="C18" s="11" t="s">
        <v>1847</v>
      </c>
      <c r="D18" s="11" t="s">
        <v>835</v>
      </c>
      <c r="E18" s="11" t="s">
        <v>258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27</v>
      </c>
    </row>
    <row r="19" customFormat="false" ht="15" hidden="false" customHeight="false" outlineLevel="0" collapsed="false">
      <c r="A19" s="2" t="s">
        <v>4804</v>
      </c>
      <c r="B19" s="11" t="s">
        <v>1266</v>
      </c>
      <c r="C19" s="11" t="s">
        <v>1847</v>
      </c>
      <c r="D19" s="11" t="s">
        <v>761</v>
      </c>
      <c r="E19" s="11" t="s">
        <v>272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27</v>
      </c>
    </row>
    <row r="20" customFormat="false" ht="15" hidden="false" customHeight="false" outlineLevel="0" collapsed="false">
      <c r="A20" s="2" t="s">
        <v>4805</v>
      </c>
      <c r="B20" s="11" t="s">
        <v>1266</v>
      </c>
      <c r="C20" s="11" t="s">
        <v>1851</v>
      </c>
      <c r="D20" s="11" t="s">
        <v>813</v>
      </c>
      <c r="E20" s="11" t="s">
        <v>258</v>
      </c>
      <c r="G20" s="11" t="s">
        <v>1144</v>
      </c>
      <c r="H20" s="11" t="s">
        <v>1145</v>
      </c>
      <c r="I20" s="11" t="s">
        <v>1144</v>
      </c>
      <c r="J20" s="11" t="s">
        <v>1145</v>
      </c>
      <c r="K20" s="11" t="s">
        <v>766</v>
      </c>
      <c r="L20" s="11" t="n">
        <v>1</v>
      </c>
      <c r="O20" s="11" t="s">
        <v>27</v>
      </c>
    </row>
    <row r="21" customFormat="false" ht="15" hidden="false" customHeight="false" outlineLevel="0" collapsed="false">
      <c r="A21" s="2" t="s">
        <v>4806</v>
      </c>
      <c r="B21" s="11" t="s">
        <v>1266</v>
      </c>
      <c r="C21" s="11" t="s">
        <v>1854</v>
      </c>
      <c r="D21" s="11" t="s">
        <v>813</v>
      </c>
      <c r="E21" s="11" t="s">
        <v>258</v>
      </c>
      <c r="G21" s="11" t="s">
        <v>1144</v>
      </c>
      <c r="H21" s="11" t="s">
        <v>1145</v>
      </c>
      <c r="I21" s="11" t="s">
        <v>1144</v>
      </c>
      <c r="J21" s="11" t="s">
        <v>1145</v>
      </c>
      <c r="K21" s="11" t="s">
        <v>766</v>
      </c>
      <c r="L21" s="11" t="n">
        <v>1</v>
      </c>
      <c r="O21" s="11" t="s">
        <v>27</v>
      </c>
    </row>
    <row r="22" customFormat="false" ht="15" hidden="false" customHeight="false" outlineLevel="0" collapsed="false">
      <c r="A22" s="2" t="s">
        <v>4807</v>
      </c>
      <c r="B22" s="11" t="s">
        <v>1277</v>
      </c>
      <c r="C22" s="11" t="s">
        <v>1857</v>
      </c>
      <c r="D22" s="11" t="s">
        <v>813</v>
      </c>
      <c r="E22" s="11" t="s">
        <v>258</v>
      </c>
      <c r="G22" s="11" t="s">
        <v>1144</v>
      </c>
      <c r="H22" s="11" t="s">
        <v>1145</v>
      </c>
      <c r="I22" s="11" t="s">
        <v>1144</v>
      </c>
      <c r="J22" s="11" t="s">
        <v>1145</v>
      </c>
      <c r="K22" s="11" t="s">
        <v>766</v>
      </c>
      <c r="L22" s="11" t="n">
        <v>1</v>
      </c>
      <c r="O22" s="11" t="s">
        <v>27</v>
      </c>
    </row>
    <row r="23" customFormat="false" ht="15" hidden="false" customHeight="false" outlineLevel="0" collapsed="false">
      <c r="A23" s="2" t="s">
        <v>4808</v>
      </c>
      <c r="B23" s="11" t="s">
        <v>1285</v>
      </c>
      <c r="C23" s="11" t="s">
        <v>1871</v>
      </c>
      <c r="D23" s="11" t="s">
        <v>761</v>
      </c>
      <c r="E23" s="11" t="s">
        <v>272</v>
      </c>
      <c r="G23" s="11" t="s">
        <v>1144</v>
      </c>
      <c r="H23" s="11" t="s">
        <v>1145</v>
      </c>
      <c r="I23" s="11" t="s">
        <v>1144</v>
      </c>
      <c r="J23" s="11" t="s">
        <v>1145</v>
      </c>
      <c r="K23" s="11" t="s">
        <v>766</v>
      </c>
      <c r="L23" s="11" t="n">
        <v>1</v>
      </c>
      <c r="O23" s="11" t="s">
        <v>27</v>
      </c>
    </row>
    <row r="24" customFormat="false" ht="15" hidden="false" customHeight="false" outlineLevel="0" collapsed="false">
      <c r="A24" s="2" t="s">
        <v>4809</v>
      </c>
      <c r="B24" s="11" t="s">
        <v>1295</v>
      </c>
      <c r="C24" s="11" t="s">
        <v>1875</v>
      </c>
      <c r="D24" s="11" t="s">
        <v>835</v>
      </c>
      <c r="E24" s="11" t="s">
        <v>258</v>
      </c>
      <c r="G24" s="11" t="s">
        <v>1144</v>
      </c>
      <c r="H24" s="11" t="s">
        <v>1145</v>
      </c>
      <c r="I24" s="11" t="s">
        <v>1144</v>
      </c>
      <c r="J24" s="11" t="s">
        <v>1145</v>
      </c>
      <c r="K24" s="11" t="s">
        <v>766</v>
      </c>
      <c r="L24" s="11" t="n">
        <v>1</v>
      </c>
      <c r="O24" s="11" t="s">
        <v>27</v>
      </c>
    </row>
    <row r="25" customFormat="false" ht="15" hidden="false" customHeight="false" outlineLevel="0" collapsed="false">
      <c r="A25" s="2" t="s">
        <v>4810</v>
      </c>
      <c r="B25" s="11" t="s">
        <v>1303</v>
      </c>
      <c r="C25" s="11" t="s">
        <v>1879</v>
      </c>
      <c r="D25" s="11" t="s">
        <v>866</v>
      </c>
      <c r="E25" s="11" t="s">
        <v>272</v>
      </c>
      <c r="G25" s="11" t="s">
        <v>1144</v>
      </c>
      <c r="H25" s="11" t="s">
        <v>1145</v>
      </c>
      <c r="I25" s="11" t="s">
        <v>1144</v>
      </c>
      <c r="J25" s="11" t="s">
        <v>1145</v>
      </c>
      <c r="K25" s="11" t="s">
        <v>766</v>
      </c>
      <c r="L25" s="11" t="n">
        <v>1</v>
      </c>
      <c r="O25" s="11" t="s">
        <v>27</v>
      </c>
    </row>
  </sheetData>
  <autoFilter ref="A1:O25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25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25" type="list">
      <formula1>beslisproduct!$B$2:$B$2000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25" type="list">
      <formula1>Keuzelijsten!$W$5:$W$60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25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25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648</v>
      </c>
      <c r="B1" s="13" t="s">
        <v>353</v>
      </c>
      <c r="C1" s="13" t="s">
        <v>444</v>
      </c>
      <c r="D1" s="14" t="s">
        <v>386</v>
      </c>
      <c r="E1" s="13" t="s">
        <v>285</v>
      </c>
      <c r="F1" s="14" t="s">
        <v>410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4811</v>
      </c>
      <c r="B2" s="11" t="s">
        <v>1163</v>
      </c>
      <c r="C2" s="11" t="s">
        <v>1887</v>
      </c>
      <c r="E2" s="11" t="n">
        <v>1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27</v>
      </c>
    </row>
    <row r="3" customFormat="false" ht="15" hidden="false" customHeight="false" outlineLevel="0" collapsed="false">
      <c r="A3" s="2" t="s">
        <v>4812</v>
      </c>
      <c r="B3" s="11" t="s">
        <v>1173</v>
      </c>
      <c r="C3" s="11" t="s">
        <v>1887</v>
      </c>
      <c r="E3" s="11" t="n">
        <v>1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27</v>
      </c>
    </row>
    <row r="4" customFormat="false" ht="15" hidden="false" customHeight="false" outlineLevel="0" collapsed="false">
      <c r="A4" s="2" t="s">
        <v>4813</v>
      </c>
      <c r="B4" s="11" t="s">
        <v>1182</v>
      </c>
      <c r="C4" s="11" t="s">
        <v>1894</v>
      </c>
      <c r="E4" s="11" t="n">
        <v>1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27</v>
      </c>
    </row>
    <row r="5" customFormat="false" ht="15" hidden="false" customHeight="false" outlineLevel="0" collapsed="false">
      <c r="A5" s="2" t="s">
        <v>4814</v>
      </c>
      <c r="B5" s="11" t="s">
        <v>1191</v>
      </c>
      <c r="C5" s="11" t="s">
        <v>1915</v>
      </c>
      <c r="E5" s="11" t="n">
        <v>1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27</v>
      </c>
    </row>
    <row r="6" customFormat="false" ht="15" hidden="false" customHeight="false" outlineLevel="0" collapsed="false">
      <c r="A6" s="2" t="s">
        <v>4815</v>
      </c>
      <c r="B6" s="11" t="s">
        <v>1191</v>
      </c>
      <c r="C6" s="11" t="s">
        <v>1929</v>
      </c>
      <c r="E6" s="11" t="n">
        <v>2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27</v>
      </c>
    </row>
    <row r="7" customFormat="false" ht="15" hidden="false" customHeight="false" outlineLevel="0" collapsed="false">
      <c r="A7" s="2" t="s">
        <v>4816</v>
      </c>
      <c r="B7" s="11" t="s">
        <v>1202</v>
      </c>
      <c r="C7" s="11" t="s">
        <v>1908</v>
      </c>
      <c r="E7" s="11" t="n">
        <v>1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27</v>
      </c>
    </row>
    <row r="8" customFormat="false" ht="15" hidden="false" customHeight="false" outlineLevel="0" collapsed="false">
      <c r="A8" s="2" t="s">
        <v>4817</v>
      </c>
      <c r="B8" s="11" t="s">
        <v>1202</v>
      </c>
      <c r="C8" s="11" t="s">
        <v>1929</v>
      </c>
      <c r="E8" s="11" t="n">
        <v>2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27</v>
      </c>
    </row>
    <row r="9" customFormat="false" ht="15" hidden="false" customHeight="false" outlineLevel="0" collapsed="false">
      <c r="A9" s="2" t="s">
        <v>4818</v>
      </c>
      <c r="B9" s="11" t="s">
        <v>1213</v>
      </c>
      <c r="C9" s="11" t="s">
        <v>1943</v>
      </c>
      <c r="E9" s="11" t="n">
        <v>1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27</v>
      </c>
    </row>
    <row r="10" customFormat="false" ht="15" hidden="false" customHeight="false" outlineLevel="0" collapsed="false">
      <c r="A10" s="2" t="s">
        <v>4819</v>
      </c>
      <c r="B10" s="11" t="s">
        <v>1224</v>
      </c>
      <c r="C10" s="11" t="s">
        <v>1943</v>
      </c>
      <c r="E10" s="11" t="n">
        <v>1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27</v>
      </c>
    </row>
    <row r="11" customFormat="false" ht="15" hidden="false" customHeight="false" outlineLevel="0" collapsed="false">
      <c r="A11" s="2" t="s">
        <v>4820</v>
      </c>
      <c r="B11" s="11" t="s">
        <v>1233</v>
      </c>
      <c r="C11" s="11" t="s">
        <v>1887</v>
      </c>
      <c r="E11" s="11" t="n">
        <v>1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27</v>
      </c>
    </row>
    <row r="12" customFormat="false" ht="15" hidden="false" customHeight="false" outlineLevel="0" collapsed="false">
      <c r="A12" s="2" t="s">
        <v>4821</v>
      </c>
      <c r="B12" s="11" t="s">
        <v>1241</v>
      </c>
      <c r="C12" s="11" t="s">
        <v>1901</v>
      </c>
      <c r="E12" s="11" t="n">
        <v>1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27</v>
      </c>
    </row>
    <row r="13" customFormat="false" ht="15" hidden="false" customHeight="false" outlineLevel="0" collapsed="false">
      <c r="A13" s="2" t="s">
        <v>4822</v>
      </c>
      <c r="B13" s="11" t="s">
        <v>1249</v>
      </c>
      <c r="C13" s="11" t="s">
        <v>1901</v>
      </c>
      <c r="E13" s="11" t="n">
        <v>1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27</v>
      </c>
    </row>
    <row r="14" customFormat="false" ht="15" hidden="false" customHeight="false" outlineLevel="0" collapsed="false">
      <c r="A14" s="2" t="s">
        <v>4823</v>
      </c>
      <c r="B14" s="11" t="s">
        <v>1249</v>
      </c>
      <c r="C14" s="11" t="s">
        <v>1936</v>
      </c>
      <c r="E14" s="11" t="n">
        <v>2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27</v>
      </c>
    </row>
    <row r="15" customFormat="false" ht="15" hidden="false" customHeight="false" outlineLevel="0" collapsed="false">
      <c r="A15" s="2" t="s">
        <v>4824</v>
      </c>
      <c r="B15" s="11" t="s">
        <v>1257</v>
      </c>
      <c r="C15" s="11" t="s">
        <v>1901</v>
      </c>
      <c r="E15" s="11" t="n">
        <v>1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27</v>
      </c>
    </row>
    <row r="16" customFormat="false" ht="15" hidden="false" customHeight="false" outlineLevel="0" collapsed="false">
      <c r="A16" s="2" t="s">
        <v>4825</v>
      </c>
      <c r="B16" s="11" t="s">
        <v>1257</v>
      </c>
      <c r="C16" s="11" t="s">
        <v>1922</v>
      </c>
      <c r="E16" s="11" t="n">
        <v>2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27</v>
      </c>
    </row>
    <row r="17" customFormat="false" ht="15" hidden="false" customHeight="false" outlineLevel="0" collapsed="false">
      <c r="A17" s="2" t="s">
        <v>4826</v>
      </c>
      <c r="B17" s="11" t="s">
        <v>1266</v>
      </c>
      <c r="C17" s="11" t="s">
        <v>1908</v>
      </c>
      <c r="E17" s="11" t="n">
        <v>1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27</v>
      </c>
    </row>
    <row r="18" customFormat="false" ht="15" hidden="false" customHeight="false" outlineLevel="0" collapsed="false">
      <c r="A18" s="2" t="s">
        <v>4827</v>
      </c>
      <c r="B18" s="11" t="s">
        <v>1266</v>
      </c>
      <c r="C18" s="11" t="s">
        <v>1915</v>
      </c>
      <c r="E18" s="11" t="n">
        <v>2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27</v>
      </c>
    </row>
    <row r="19" customFormat="false" ht="15" hidden="false" customHeight="false" outlineLevel="0" collapsed="false">
      <c r="A19" s="2" t="s">
        <v>4828</v>
      </c>
      <c r="B19" s="11" t="s">
        <v>1277</v>
      </c>
      <c r="C19" s="11" t="s">
        <v>1915</v>
      </c>
      <c r="E19" s="11" t="n">
        <v>1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27</v>
      </c>
    </row>
    <row r="20" customFormat="false" ht="15" hidden="false" customHeight="false" outlineLevel="0" collapsed="false">
      <c r="A20" s="2" t="s">
        <v>4829</v>
      </c>
      <c r="B20" s="11" t="s">
        <v>1285</v>
      </c>
      <c r="C20" s="11" t="s">
        <v>1929</v>
      </c>
      <c r="E20" s="11" t="n">
        <v>1</v>
      </c>
      <c r="G20" s="11" t="s">
        <v>1144</v>
      </c>
      <c r="H20" s="11" t="s">
        <v>1145</v>
      </c>
      <c r="I20" s="11" t="s">
        <v>1144</v>
      </c>
      <c r="J20" s="11" t="s">
        <v>1145</v>
      </c>
      <c r="K20" s="11" t="s">
        <v>766</v>
      </c>
      <c r="L20" s="11" t="n">
        <v>1</v>
      </c>
      <c r="O20" s="11" t="s">
        <v>27</v>
      </c>
    </row>
    <row r="21" customFormat="false" ht="15" hidden="false" customHeight="false" outlineLevel="0" collapsed="false">
      <c r="A21" s="2" t="s">
        <v>4830</v>
      </c>
      <c r="B21" s="11" t="s">
        <v>1295</v>
      </c>
      <c r="C21" s="11" t="s">
        <v>1936</v>
      </c>
      <c r="E21" s="11" t="n">
        <v>1</v>
      </c>
      <c r="G21" s="11" t="s">
        <v>1144</v>
      </c>
      <c r="H21" s="11" t="s">
        <v>1145</v>
      </c>
      <c r="I21" s="11" t="s">
        <v>1144</v>
      </c>
      <c r="J21" s="11" t="s">
        <v>1145</v>
      </c>
      <c r="K21" s="11" t="s">
        <v>766</v>
      </c>
      <c r="L21" s="11" t="n">
        <v>1</v>
      </c>
      <c r="O21" s="11" t="s">
        <v>27</v>
      </c>
    </row>
    <row r="22" customFormat="false" ht="15" hidden="false" customHeight="false" outlineLevel="0" collapsed="false">
      <c r="A22" s="2" t="s">
        <v>4831</v>
      </c>
      <c r="B22" s="11" t="s">
        <v>1303</v>
      </c>
      <c r="C22" s="11" t="s">
        <v>1943</v>
      </c>
      <c r="E22" s="11" t="n">
        <v>1</v>
      </c>
      <c r="G22" s="11" t="s">
        <v>1144</v>
      </c>
      <c r="H22" s="11" t="s">
        <v>1145</v>
      </c>
      <c r="I22" s="11" t="s">
        <v>1144</v>
      </c>
      <c r="J22" s="11" t="s">
        <v>1145</v>
      </c>
      <c r="K22" s="11" t="s">
        <v>766</v>
      </c>
      <c r="L22" s="11" t="n">
        <v>1</v>
      </c>
      <c r="O22" s="11" t="s">
        <v>27</v>
      </c>
    </row>
  </sheetData>
  <autoFilter ref="A1:O22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22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22" type="list">
      <formula1>handelingsperspectief!$B$2:$B$2000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22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22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62A6"/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40"/>
    <col collapsed="false" customWidth="true" hidden="false" outlineLevel="0" max="10" min="7" style="0" width="14"/>
    <col collapsed="false" customWidth="true" hidden="false" outlineLevel="0" max="11" min="11" style="0" width="40"/>
    <col collapsed="false" customWidth="true" hidden="false" outlineLevel="0" max="12" min="12" style="0" width="17"/>
    <col collapsed="false" customWidth="true" hidden="false" outlineLevel="0" max="14" min="13" style="0" width="14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3" t="s">
        <v>650</v>
      </c>
      <c r="B1" s="13" t="s">
        <v>353</v>
      </c>
      <c r="C1" s="13" t="s">
        <v>451</v>
      </c>
      <c r="D1" s="14" t="s">
        <v>386</v>
      </c>
      <c r="E1" s="14" t="s">
        <v>652</v>
      </c>
      <c r="F1" s="14" t="s">
        <v>410</v>
      </c>
      <c r="G1" s="15" t="s">
        <v>292</v>
      </c>
      <c r="H1" s="15" t="s">
        <v>295</v>
      </c>
      <c r="I1" s="15" t="s">
        <v>298</v>
      </c>
      <c r="J1" s="15" t="s">
        <v>300</v>
      </c>
      <c r="K1" s="15" t="s">
        <v>302</v>
      </c>
      <c r="L1" s="15" t="s">
        <v>305</v>
      </c>
      <c r="M1" s="15" t="s">
        <v>307</v>
      </c>
      <c r="N1" s="15" t="s">
        <v>310</v>
      </c>
      <c r="O1" s="15" t="s">
        <v>312</v>
      </c>
    </row>
    <row r="2" customFormat="false" ht="15" hidden="false" customHeight="false" outlineLevel="0" collapsed="false">
      <c r="A2" s="2" t="s">
        <v>4832</v>
      </c>
      <c r="B2" s="11" t="s">
        <v>1163</v>
      </c>
      <c r="C2" s="11" t="s">
        <v>1989</v>
      </c>
      <c r="E2" s="11" t="s">
        <v>750</v>
      </c>
      <c r="G2" s="11" t="s">
        <v>1144</v>
      </c>
      <c r="H2" s="11" t="s">
        <v>1145</v>
      </c>
      <c r="I2" s="11" t="s">
        <v>1144</v>
      </c>
      <c r="J2" s="11" t="s">
        <v>1145</v>
      </c>
      <c r="K2" s="11" t="s">
        <v>766</v>
      </c>
      <c r="L2" s="11" t="n">
        <v>1</v>
      </c>
      <c r="O2" s="11" t="s">
        <v>27</v>
      </c>
    </row>
    <row r="3" customFormat="false" ht="15" hidden="false" customHeight="false" outlineLevel="0" collapsed="false">
      <c r="A3" s="2" t="s">
        <v>4833</v>
      </c>
      <c r="B3" s="11" t="s">
        <v>1173</v>
      </c>
      <c r="C3" s="11" t="s">
        <v>1957</v>
      </c>
      <c r="E3" s="11" t="s">
        <v>750</v>
      </c>
      <c r="G3" s="11" t="s">
        <v>1144</v>
      </c>
      <c r="H3" s="11" t="s">
        <v>1145</v>
      </c>
      <c r="I3" s="11" t="s">
        <v>1144</v>
      </c>
      <c r="J3" s="11" t="s">
        <v>1145</v>
      </c>
      <c r="K3" s="11" t="s">
        <v>766</v>
      </c>
      <c r="L3" s="11" t="n">
        <v>1</v>
      </c>
      <c r="O3" s="11" t="s">
        <v>27</v>
      </c>
    </row>
    <row r="4" customFormat="false" ht="15" hidden="false" customHeight="false" outlineLevel="0" collapsed="false">
      <c r="A4" s="2" t="s">
        <v>4834</v>
      </c>
      <c r="B4" s="11" t="s">
        <v>1173</v>
      </c>
      <c r="C4" s="11" t="s">
        <v>1968</v>
      </c>
      <c r="E4" s="11" t="s">
        <v>776</v>
      </c>
      <c r="G4" s="11" t="s">
        <v>1144</v>
      </c>
      <c r="H4" s="11" t="s">
        <v>1145</v>
      </c>
      <c r="I4" s="11" t="s">
        <v>1144</v>
      </c>
      <c r="J4" s="11" t="s">
        <v>1145</v>
      </c>
      <c r="K4" s="11" t="s">
        <v>766</v>
      </c>
      <c r="L4" s="11" t="n">
        <v>1</v>
      </c>
      <c r="O4" s="11" t="s">
        <v>27</v>
      </c>
    </row>
    <row r="5" customFormat="false" ht="15" hidden="false" customHeight="false" outlineLevel="0" collapsed="false">
      <c r="A5" s="2" t="s">
        <v>4835</v>
      </c>
      <c r="B5" s="11" t="s">
        <v>1182</v>
      </c>
      <c r="C5" s="11" t="s">
        <v>1962</v>
      </c>
      <c r="E5" s="11" t="s">
        <v>750</v>
      </c>
      <c r="G5" s="11" t="s">
        <v>1144</v>
      </c>
      <c r="H5" s="11" t="s">
        <v>1145</v>
      </c>
      <c r="I5" s="11" t="s">
        <v>1144</v>
      </c>
      <c r="J5" s="11" t="s">
        <v>1145</v>
      </c>
      <c r="K5" s="11" t="s">
        <v>766</v>
      </c>
      <c r="L5" s="11" t="n">
        <v>1</v>
      </c>
      <c r="O5" s="11" t="s">
        <v>27</v>
      </c>
    </row>
    <row r="6" customFormat="false" ht="15" hidden="false" customHeight="false" outlineLevel="0" collapsed="false">
      <c r="A6" s="2" t="s">
        <v>4836</v>
      </c>
      <c r="B6" s="11" t="s">
        <v>1191</v>
      </c>
      <c r="C6" s="11" t="s">
        <v>1972</v>
      </c>
      <c r="E6" s="11" t="s">
        <v>750</v>
      </c>
      <c r="G6" s="11" t="s">
        <v>1144</v>
      </c>
      <c r="H6" s="11" t="s">
        <v>1145</v>
      </c>
      <c r="I6" s="11" t="s">
        <v>1144</v>
      </c>
      <c r="J6" s="11" t="s">
        <v>1145</v>
      </c>
      <c r="K6" s="11" t="s">
        <v>766</v>
      </c>
      <c r="L6" s="11" t="n">
        <v>1</v>
      </c>
      <c r="O6" s="11" t="s">
        <v>27</v>
      </c>
    </row>
    <row r="7" customFormat="false" ht="15" hidden="false" customHeight="false" outlineLevel="0" collapsed="false">
      <c r="A7" s="2" t="s">
        <v>4837</v>
      </c>
      <c r="B7" s="11" t="s">
        <v>1191</v>
      </c>
      <c r="C7" s="11" t="s">
        <v>1981</v>
      </c>
      <c r="E7" s="11" t="s">
        <v>776</v>
      </c>
      <c r="G7" s="11" t="s">
        <v>1144</v>
      </c>
      <c r="H7" s="11" t="s">
        <v>1145</v>
      </c>
      <c r="I7" s="11" t="s">
        <v>1144</v>
      </c>
      <c r="J7" s="11" t="s">
        <v>1145</v>
      </c>
      <c r="K7" s="11" t="s">
        <v>766</v>
      </c>
      <c r="L7" s="11" t="n">
        <v>1</v>
      </c>
      <c r="O7" s="11" t="s">
        <v>27</v>
      </c>
    </row>
    <row r="8" customFormat="false" ht="15" hidden="false" customHeight="false" outlineLevel="0" collapsed="false">
      <c r="A8" s="2" t="s">
        <v>4838</v>
      </c>
      <c r="B8" s="11" t="s">
        <v>1202</v>
      </c>
      <c r="C8" s="11" t="s">
        <v>1977</v>
      </c>
      <c r="E8" s="11" t="s">
        <v>750</v>
      </c>
      <c r="G8" s="11" t="s">
        <v>1144</v>
      </c>
      <c r="H8" s="11" t="s">
        <v>1145</v>
      </c>
      <c r="I8" s="11" t="s">
        <v>1144</v>
      </c>
      <c r="J8" s="11" t="s">
        <v>1145</v>
      </c>
      <c r="K8" s="11" t="s">
        <v>766</v>
      </c>
      <c r="L8" s="11" t="n">
        <v>1</v>
      </c>
      <c r="O8" s="11" t="s">
        <v>27</v>
      </c>
    </row>
    <row r="9" customFormat="false" ht="15" hidden="false" customHeight="false" outlineLevel="0" collapsed="false">
      <c r="A9" s="2" t="s">
        <v>4839</v>
      </c>
      <c r="B9" s="11" t="s">
        <v>1213</v>
      </c>
      <c r="C9" s="11" t="s">
        <v>1957</v>
      </c>
      <c r="E9" s="11" t="s">
        <v>750</v>
      </c>
      <c r="G9" s="11" t="s">
        <v>1144</v>
      </c>
      <c r="H9" s="11" t="s">
        <v>1145</v>
      </c>
      <c r="I9" s="11" t="s">
        <v>1144</v>
      </c>
      <c r="J9" s="11" t="s">
        <v>1145</v>
      </c>
      <c r="K9" s="11" t="s">
        <v>766</v>
      </c>
      <c r="L9" s="11" t="n">
        <v>1</v>
      </c>
      <c r="O9" s="11" t="s">
        <v>27</v>
      </c>
    </row>
    <row r="10" customFormat="false" ht="15" hidden="false" customHeight="false" outlineLevel="0" collapsed="false">
      <c r="A10" s="2" t="s">
        <v>4840</v>
      </c>
      <c r="B10" s="11" t="s">
        <v>1224</v>
      </c>
      <c r="C10" s="11" t="s">
        <v>1989</v>
      </c>
      <c r="E10" s="11" t="s">
        <v>750</v>
      </c>
      <c r="G10" s="11" t="s">
        <v>1144</v>
      </c>
      <c r="H10" s="11" t="s">
        <v>1145</v>
      </c>
      <c r="I10" s="11" t="s">
        <v>1144</v>
      </c>
      <c r="J10" s="11" t="s">
        <v>1145</v>
      </c>
      <c r="K10" s="11" t="s">
        <v>766</v>
      </c>
      <c r="L10" s="11" t="n">
        <v>1</v>
      </c>
      <c r="O10" s="11" t="s">
        <v>27</v>
      </c>
    </row>
    <row r="11" customFormat="false" ht="15" hidden="false" customHeight="false" outlineLevel="0" collapsed="false">
      <c r="A11" s="2" t="s">
        <v>4841</v>
      </c>
      <c r="B11" s="11" t="s">
        <v>1233</v>
      </c>
      <c r="C11" s="11" t="s">
        <v>1957</v>
      </c>
      <c r="E11" s="11" t="s">
        <v>750</v>
      </c>
      <c r="G11" s="11" t="s">
        <v>1144</v>
      </c>
      <c r="H11" s="11" t="s">
        <v>1145</v>
      </c>
      <c r="I11" s="11" t="s">
        <v>1144</v>
      </c>
      <c r="J11" s="11" t="s">
        <v>1145</v>
      </c>
      <c r="K11" s="11" t="s">
        <v>766</v>
      </c>
      <c r="L11" s="11" t="n">
        <v>1</v>
      </c>
      <c r="O11" s="11" t="s">
        <v>27</v>
      </c>
    </row>
    <row r="12" customFormat="false" ht="15" hidden="false" customHeight="false" outlineLevel="0" collapsed="false">
      <c r="A12" s="2" t="s">
        <v>4842</v>
      </c>
      <c r="B12" s="11" t="s">
        <v>1241</v>
      </c>
      <c r="C12" s="11" t="s">
        <v>1968</v>
      </c>
      <c r="E12" s="11" t="s">
        <v>750</v>
      </c>
      <c r="G12" s="11" t="s">
        <v>1144</v>
      </c>
      <c r="H12" s="11" t="s">
        <v>1145</v>
      </c>
      <c r="I12" s="11" t="s">
        <v>1144</v>
      </c>
      <c r="J12" s="11" t="s">
        <v>1145</v>
      </c>
      <c r="K12" s="11" t="s">
        <v>766</v>
      </c>
      <c r="L12" s="11" t="n">
        <v>1</v>
      </c>
      <c r="O12" s="11" t="s">
        <v>27</v>
      </c>
    </row>
    <row r="13" customFormat="false" ht="15" hidden="false" customHeight="false" outlineLevel="0" collapsed="false">
      <c r="A13" s="2" t="s">
        <v>4843</v>
      </c>
      <c r="B13" s="11" t="s">
        <v>1249</v>
      </c>
      <c r="C13" s="11" t="s">
        <v>1962</v>
      </c>
      <c r="E13" s="11" t="s">
        <v>750</v>
      </c>
      <c r="G13" s="11" t="s">
        <v>1144</v>
      </c>
      <c r="H13" s="11" t="s">
        <v>1145</v>
      </c>
      <c r="I13" s="11" t="s">
        <v>1144</v>
      </c>
      <c r="J13" s="11" t="s">
        <v>1145</v>
      </c>
      <c r="K13" s="11" t="s">
        <v>766</v>
      </c>
      <c r="L13" s="11" t="n">
        <v>1</v>
      </c>
      <c r="O13" s="11" t="s">
        <v>27</v>
      </c>
    </row>
    <row r="14" customFormat="false" ht="15" hidden="false" customHeight="false" outlineLevel="0" collapsed="false">
      <c r="A14" s="2" t="s">
        <v>4844</v>
      </c>
      <c r="B14" s="11" t="s">
        <v>1257</v>
      </c>
      <c r="C14" s="11" t="s">
        <v>1968</v>
      </c>
      <c r="E14" s="11" t="s">
        <v>750</v>
      </c>
      <c r="G14" s="11" t="s">
        <v>1144</v>
      </c>
      <c r="H14" s="11" t="s">
        <v>1145</v>
      </c>
      <c r="I14" s="11" t="s">
        <v>1144</v>
      </c>
      <c r="J14" s="11" t="s">
        <v>1145</v>
      </c>
      <c r="K14" s="11" t="s">
        <v>766</v>
      </c>
      <c r="L14" s="11" t="n">
        <v>1</v>
      </c>
      <c r="O14" s="11" t="s">
        <v>27</v>
      </c>
    </row>
    <row r="15" customFormat="false" ht="15" hidden="false" customHeight="false" outlineLevel="0" collapsed="false">
      <c r="A15" s="2" t="s">
        <v>4845</v>
      </c>
      <c r="B15" s="11" t="s">
        <v>1257</v>
      </c>
      <c r="C15" s="11" t="s">
        <v>1985</v>
      </c>
      <c r="E15" s="11" t="s">
        <v>776</v>
      </c>
      <c r="G15" s="11" t="s">
        <v>1144</v>
      </c>
      <c r="H15" s="11" t="s">
        <v>1145</v>
      </c>
      <c r="I15" s="11" t="s">
        <v>1144</v>
      </c>
      <c r="J15" s="11" t="s">
        <v>1145</v>
      </c>
      <c r="K15" s="11" t="s">
        <v>766</v>
      </c>
      <c r="L15" s="11" t="n">
        <v>1</v>
      </c>
      <c r="O15" s="11" t="s">
        <v>27</v>
      </c>
    </row>
    <row r="16" customFormat="false" ht="15" hidden="false" customHeight="false" outlineLevel="0" collapsed="false">
      <c r="A16" s="2" t="s">
        <v>4846</v>
      </c>
      <c r="B16" s="11" t="s">
        <v>1266</v>
      </c>
      <c r="C16" s="11" t="s">
        <v>1981</v>
      </c>
      <c r="E16" s="11" t="s">
        <v>750</v>
      </c>
      <c r="G16" s="11" t="s">
        <v>1144</v>
      </c>
      <c r="H16" s="11" t="s">
        <v>1145</v>
      </c>
      <c r="I16" s="11" t="s">
        <v>1144</v>
      </c>
      <c r="J16" s="11" t="s">
        <v>1145</v>
      </c>
      <c r="K16" s="11" t="s">
        <v>766</v>
      </c>
      <c r="L16" s="11" t="n">
        <v>1</v>
      </c>
      <c r="O16" s="11" t="s">
        <v>27</v>
      </c>
    </row>
    <row r="17" customFormat="false" ht="15" hidden="false" customHeight="false" outlineLevel="0" collapsed="false">
      <c r="A17" s="2" t="s">
        <v>4847</v>
      </c>
      <c r="B17" s="11" t="s">
        <v>1266</v>
      </c>
      <c r="C17" s="11" t="s">
        <v>1989</v>
      </c>
      <c r="E17" s="11" t="s">
        <v>776</v>
      </c>
      <c r="G17" s="11" t="s">
        <v>1144</v>
      </c>
      <c r="H17" s="11" t="s">
        <v>1145</v>
      </c>
      <c r="I17" s="11" t="s">
        <v>1144</v>
      </c>
      <c r="J17" s="11" t="s">
        <v>1145</v>
      </c>
      <c r="K17" s="11" t="s">
        <v>766</v>
      </c>
      <c r="L17" s="11" t="n">
        <v>1</v>
      </c>
      <c r="O17" s="11" t="s">
        <v>27</v>
      </c>
    </row>
    <row r="18" customFormat="false" ht="15" hidden="false" customHeight="false" outlineLevel="0" collapsed="false">
      <c r="A18" s="2" t="s">
        <v>4848</v>
      </c>
      <c r="B18" s="11" t="s">
        <v>1277</v>
      </c>
      <c r="C18" s="11" t="s">
        <v>1972</v>
      </c>
      <c r="E18" s="11" t="s">
        <v>750</v>
      </c>
      <c r="G18" s="11" t="s">
        <v>1144</v>
      </c>
      <c r="H18" s="11" t="s">
        <v>1145</v>
      </c>
      <c r="I18" s="11" t="s">
        <v>1144</v>
      </c>
      <c r="J18" s="11" t="s">
        <v>1145</v>
      </c>
      <c r="K18" s="11" t="s">
        <v>766</v>
      </c>
      <c r="L18" s="11" t="n">
        <v>1</v>
      </c>
      <c r="O18" s="11" t="s">
        <v>27</v>
      </c>
    </row>
    <row r="19" customFormat="false" ht="15" hidden="false" customHeight="false" outlineLevel="0" collapsed="false">
      <c r="A19" s="2" t="s">
        <v>4849</v>
      </c>
      <c r="B19" s="11" t="s">
        <v>1277</v>
      </c>
      <c r="C19" s="11" t="s">
        <v>1981</v>
      </c>
      <c r="E19" s="11" t="s">
        <v>776</v>
      </c>
      <c r="G19" s="11" t="s">
        <v>1144</v>
      </c>
      <c r="H19" s="11" t="s">
        <v>1145</v>
      </c>
      <c r="I19" s="11" t="s">
        <v>1144</v>
      </c>
      <c r="J19" s="11" t="s">
        <v>1145</v>
      </c>
      <c r="K19" s="11" t="s">
        <v>766</v>
      </c>
      <c r="L19" s="11" t="n">
        <v>1</v>
      </c>
      <c r="O19" s="11" t="s">
        <v>27</v>
      </c>
    </row>
    <row r="20" customFormat="false" ht="15" hidden="false" customHeight="false" outlineLevel="0" collapsed="false">
      <c r="A20" s="2" t="s">
        <v>4850</v>
      </c>
      <c r="B20" s="11" t="s">
        <v>1285</v>
      </c>
      <c r="C20" s="11" t="s">
        <v>1977</v>
      </c>
      <c r="E20" s="11" t="s">
        <v>750</v>
      </c>
      <c r="G20" s="11" t="s">
        <v>1144</v>
      </c>
      <c r="H20" s="11" t="s">
        <v>1145</v>
      </c>
      <c r="I20" s="11" t="s">
        <v>1144</v>
      </c>
      <c r="J20" s="11" t="s">
        <v>1145</v>
      </c>
      <c r="K20" s="11" t="s">
        <v>766</v>
      </c>
      <c r="L20" s="11" t="n">
        <v>1</v>
      </c>
      <c r="O20" s="11" t="s">
        <v>27</v>
      </c>
    </row>
    <row r="21" customFormat="false" ht="15" hidden="false" customHeight="false" outlineLevel="0" collapsed="false">
      <c r="A21" s="2" t="s">
        <v>4851</v>
      </c>
      <c r="B21" s="11" t="s">
        <v>1295</v>
      </c>
      <c r="C21" s="11" t="s">
        <v>1957</v>
      </c>
      <c r="E21" s="11" t="s">
        <v>750</v>
      </c>
      <c r="G21" s="11" t="s">
        <v>1144</v>
      </c>
      <c r="H21" s="11" t="s">
        <v>1145</v>
      </c>
      <c r="I21" s="11" t="s">
        <v>1144</v>
      </c>
      <c r="J21" s="11" t="s">
        <v>1145</v>
      </c>
      <c r="K21" s="11" t="s">
        <v>766</v>
      </c>
      <c r="L21" s="11" t="n">
        <v>1</v>
      </c>
      <c r="O21" s="11" t="s">
        <v>27</v>
      </c>
    </row>
    <row r="22" customFormat="false" ht="15" hidden="false" customHeight="false" outlineLevel="0" collapsed="false">
      <c r="A22" s="2" t="s">
        <v>4852</v>
      </c>
      <c r="B22" s="11" t="s">
        <v>1303</v>
      </c>
      <c r="C22" s="11" t="s">
        <v>1957</v>
      </c>
      <c r="E22" s="11" t="s">
        <v>750</v>
      </c>
      <c r="G22" s="11" t="s">
        <v>1144</v>
      </c>
      <c r="H22" s="11" t="s">
        <v>1145</v>
      </c>
      <c r="I22" s="11" t="s">
        <v>1144</v>
      </c>
      <c r="J22" s="11" t="s">
        <v>1145</v>
      </c>
      <c r="K22" s="11" t="s">
        <v>766</v>
      </c>
      <c r="L22" s="11" t="n">
        <v>1</v>
      </c>
      <c r="O22" s="11" t="s">
        <v>27</v>
      </c>
    </row>
    <row r="23" customFormat="false" ht="15" hidden="false" customHeight="false" outlineLevel="0" collapsed="false">
      <c r="A23" s="2" t="s">
        <v>4853</v>
      </c>
      <c r="B23" s="11" t="s">
        <v>1303</v>
      </c>
      <c r="C23" s="11" t="s">
        <v>1968</v>
      </c>
      <c r="E23" s="11" t="s">
        <v>776</v>
      </c>
      <c r="G23" s="11" t="s">
        <v>1144</v>
      </c>
      <c r="H23" s="11" t="s">
        <v>1145</v>
      </c>
      <c r="I23" s="11" t="s">
        <v>1144</v>
      </c>
      <c r="J23" s="11" t="s">
        <v>1145</v>
      </c>
      <c r="K23" s="11" t="s">
        <v>766</v>
      </c>
      <c r="L23" s="11" t="n">
        <v>1</v>
      </c>
      <c r="O23" s="11" t="s">
        <v>27</v>
      </c>
    </row>
  </sheetData>
  <autoFilter ref="A1:O23"/>
  <dataValidations count="4">
    <dataValidation allowBlank="true" error="Kies een waarde uit de lijst of voeg haar eerst toe aan de bronlijst." errorStyle="stop" errorTitle="Onbekende waarde" operator="between" showDropDown="false" showErrorMessage="true" showInputMessage="false" sqref="B2:B1023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23" type="list">
      <formula1>knelpunt!$B$2:$B$2000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23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23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5" min="4" style="0" width="17"/>
    <col collapsed="false" customWidth="true" hidden="false" outlineLevel="0" max="6" min="6" style="0" width="40"/>
    <col collapsed="false" customWidth="true" hidden="false" outlineLevel="0" max="7" min="7" style="0" width="15"/>
    <col collapsed="false" customWidth="true" hidden="false" outlineLevel="0" max="11" min="8" style="0" width="14"/>
    <col collapsed="false" customWidth="true" hidden="false" outlineLevel="0" max="12" min="12" style="0" width="40"/>
    <col collapsed="false" customWidth="true" hidden="false" outlineLevel="0" max="13" min="13" style="0" width="17"/>
    <col collapsed="false" customWidth="true" hidden="false" outlineLevel="0" max="15" min="14" style="0" width="14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3" t="s">
        <v>653</v>
      </c>
      <c r="B1" s="13" t="s">
        <v>654</v>
      </c>
      <c r="C1" s="13" t="s">
        <v>655</v>
      </c>
      <c r="D1" s="13" t="s">
        <v>656</v>
      </c>
      <c r="E1" s="14" t="s">
        <v>658</v>
      </c>
      <c r="F1" s="14" t="s">
        <v>410</v>
      </c>
      <c r="G1" s="13" t="s">
        <v>458</v>
      </c>
      <c r="H1" s="15" t="s">
        <v>292</v>
      </c>
      <c r="I1" s="15" t="s">
        <v>295</v>
      </c>
      <c r="J1" s="15" t="s">
        <v>298</v>
      </c>
      <c r="K1" s="15" t="s">
        <v>300</v>
      </c>
      <c r="L1" s="15" t="s">
        <v>302</v>
      </c>
      <c r="M1" s="15" t="s">
        <v>305</v>
      </c>
      <c r="N1" s="15" t="s">
        <v>307</v>
      </c>
      <c r="O1" s="15" t="s">
        <v>310</v>
      </c>
      <c r="P1" s="15" t="s">
        <v>312</v>
      </c>
    </row>
    <row r="2" customFormat="false" ht="15" hidden="false" customHeight="false" outlineLevel="0" collapsed="false">
      <c r="A2" s="2" t="s">
        <v>4854</v>
      </c>
      <c r="B2" s="11" t="s">
        <v>2008</v>
      </c>
      <c r="C2" s="11" t="s">
        <v>2045</v>
      </c>
      <c r="D2" s="11" t="s">
        <v>4855</v>
      </c>
      <c r="E2" s="11" t="s">
        <v>4856</v>
      </c>
      <c r="F2" s="11" t="s">
        <v>4857</v>
      </c>
      <c r="G2" s="11" t="s">
        <v>272</v>
      </c>
      <c r="H2" s="11" t="s">
        <v>1144</v>
      </c>
      <c r="I2" s="11" t="s">
        <v>1145</v>
      </c>
      <c r="J2" s="11" t="s">
        <v>1144</v>
      </c>
      <c r="K2" s="11" t="s">
        <v>1145</v>
      </c>
      <c r="L2" s="11" t="s">
        <v>766</v>
      </c>
      <c r="M2" s="11" t="n">
        <v>1</v>
      </c>
      <c r="P2" s="11" t="s">
        <v>27</v>
      </c>
    </row>
    <row r="3" customFormat="false" ht="15" hidden="false" customHeight="false" outlineLevel="0" collapsed="false">
      <c r="A3" s="2" t="s">
        <v>4858</v>
      </c>
      <c r="B3" s="11" t="s">
        <v>2045</v>
      </c>
      <c r="C3" s="11" t="s">
        <v>2051</v>
      </c>
      <c r="D3" s="11" t="s">
        <v>4855</v>
      </c>
      <c r="E3" s="11" t="s">
        <v>4856</v>
      </c>
      <c r="F3" s="11" t="s">
        <v>4857</v>
      </c>
      <c r="G3" s="11" t="s">
        <v>272</v>
      </c>
      <c r="H3" s="11" t="s">
        <v>1144</v>
      </c>
      <c r="I3" s="11" t="s">
        <v>1145</v>
      </c>
      <c r="J3" s="11" t="s">
        <v>1144</v>
      </c>
      <c r="K3" s="11" t="s">
        <v>1145</v>
      </c>
      <c r="L3" s="11" t="s">
        <v>766</v>
      </c>
      <c r="M3" s="11" t="n">
        <v>1</v>
      </c>
      <c r="P3" s="11" t="s">
        <v>27</v>
      </c>
    </row>
    <row r="4" customFormat="false" ht="15" hidden="false" customHeight="false" outlineLevel="0" collapsed="false">
      <c r="A4" s="2" t="s">
        <v>4859</v>
      </c>
      <c r="B4" s="11" t="s">
        <v>2230</v>
      </c>
      <c r="C4" s="11" t="s">
        <v>2008</v>
      </c>
      <c r="D4" s="11" t="s">
        <v>4860</v>
      </c>
      <c r="E4" s="11" t="s">
        <v>776</v>
      </c>
      <c r="F4" s="11" t="s">
        <v>4857</v>
      </c>
      <c r="G4" s="11" t="s">
        <v>272</v>
      </c>
      <c r="H4" s="11" t="s">
        <v>1144</v>
      </c>
      <c r="I4" s="11" t="s">
        <v>1145</v>
      </c>
      <c r="J4" s="11" t="s">
        <v>1144</v>
      </c>
      <c r="K4" s="11" t="s">
        <v>1145</v>
      </c>
      <c r="L4" s="11" t="s">
        <v>766</v>
      </c>
      <c r="M4" s="11" t="n">
        <v>1</v>
      </c>
      <c r="P4" s="11" t="s">
        <v>27</v>
      </c>
    </row>
    <row r="5" customFormat="false" ht="15" hidden="false" customHeight="false" outlineLevel="0" collapsed="false">
      <c r="A5" s="2" t="s">
        <v>4861</v>
      </c>
      <c r="B5" s="11" t="s">
        <v>2514</v>
      </c>
      <c r="C5" s="11" t="s">
        <v>2260</v>
      </c>
      <c r="D5" s="11" t="s">
        <v>4862</v>
      </c>
      <c r="E5" s="11" t="s">
        <v>4856</v>
      </c>
      <c r="F5" s="11" t="s">
        <v>4857</v>
      </c>
      <c r="G5" s="11" t="s">
        <v>272</v>
      </c>
      <c r="H5" s="11" t="s">
        <v>1144</v>
      </c>
      <c r="I5" s="11" t="s">
        <v>1145</v>
      </c>
      <c r="J5" s="11" t="s">
        <v>1144</v>
      </c>
      <c r="K5" s="11" t="s">
        <v>1145</v>
      </c>
      <c r="L5" s="11" t="s">
        <v>766</v>
      </c>
      <c r="M5" s="11" t="n">
        <v>1</v>
      </c>
      <c r="P5" s="11" t="s">
        <v>27</v>
      </c>
    </row>
    <row r="6" customFormat="false" ht="15" hidden="false" customHeight="false" outlineLevel="0" collapsed="false">
      <c r="A6" s="2" t="s">
        <v>4863</v>
      </c>
      <c r="B6" s="11" t="s">
        <v>2260</v>
      </c>
      <c r="C6" s="11" t="s">
        <v>2514</v>
      </c>
      <c r="D6" s="11" t="s">
        <v>4864</v>
      </c>
      <c r="E6" s="11" t="s">
        <v>4856</v>
      </c>
      <c r="F6" s="11" t="s">
        <v>4857</v>
      </c>
      <c r="G6" s="11" t="s">
        <v>272</v>
      </c>
      <c r="H6" s="11" t="s">
        <v>1144</v>
      </c>
      <c r="I6" s="11" t="s">
        <v>1145</v>
      </c>
      <c r="J6" s="11" t="s">
        <v>1144</v>
      </c>
      <c r="K6" s="11" t="s">
        <v>1145</v>
      </c>
      <c r="L6" s="11" t="s">
        <v>766</v>
      </c>
      <c r="M6" s="11" t="n">
        <v>1</v>
      </c>
      <c r="P6" s="11" t="s">
        <v>27</v>
      </c>
    </row>
    <row r="7" customFormat="false" ht="15" hidden="false" customHeight="false" outlineLevel="0" collapsed="false">
      <c r="A7" s="2" t="s">
        <v>4865</v>
      </c>
      <c r="B7" s="11" t="s">
        <v>2075</v>
      </c>
      <c r="C7" s="11" t="s">
        <v>2084</v>
      </c>
      <c r="D7" s="11" t="s">
        <v>4866</v>
      </c>
      <c r="E7" s="11" t="s">
        <v>776</v>
      </c>
      <c r="F7" s="11" t="s">
        <v>4857</v>
      </c>
      <c r="G7" s="11" t="s">
        <v>272</v>
      </c>
      <c r="H7" s="11" t="s">
        <v>1144</v>
      </c>
      <c r="I7" s="11" t="s">
        <v>1145</v>
      </c>
      <c r="J7" s="11" t="s">
        <v>1144</v>
      </c>
      <c r="K7" s="11" t="s">
        <v>1145</v>
      </c>
      <c r="L7" s="11" t="s">
        <v>766</v>
      </c>
      <c r="M7" s="11" t="n">
        <v>1</v>
      </c>
      <c r="P7" s="11" t="s">
        <v>27</v>
      </c>
    </row>
    <row r="8" customFormat="false" ht="15" hidden="false" customHeight="false" outlineLevel="0" collapsed="false">
      <c r="A8" s="2" t="s">
        <v>4867</v>
      </c>
      <c r="B8" s="11" t="s">
        <v>2152</v>
      </c>
      <c r="C8" s="11" t="s">
        <v>2322</v>
      </c>
      <c r="D8" s="11" t="s">
        <v>4868</v>
      </c>
      <c r="E8" s="11" t="s">
        <v>776</v>
      </c>
      <c r="F8" s="11" t="s">
        <v>4857</v>
      </c>
      <c r="G8" s="11" t="s">
        <v>272</v>
      </c>
      <c r="H8" s="11" t="s">
        <v>1144</v>
      </c>
      <c r="I8" s="11" t="s">
        <v>1145</v>
      </c>
      <c r="J8" s="11" t="s">
        <v>1144</v>
      </c>
      <c r="K8" s="11" t="s">
        <v>1145</v>
      </c>
      <c r="L8" s="11" t="s">
        <v>766</v>
      </c>
      <c r="M8" s="11" t="n">
        <v>1</v>
      </c>
      <c r="P8" s="11" t="s">
        <v>27</v>
      </c>
    </row>
    <row r="9" customFormat="false" ht="15" hidden="false" customHeight="false" outlineLevel="0" collapsed="false">
      <c r="A9" s="2" t="s">
        <v>4869</v>
      </c>
      <c r="B9" s="11" t="s">
        <v>2322</v>
      </c>
      <c r="C9" s="11" t="s">
        <v>2152</v>
      </c>
      <c r="D9" s="11" t="s">
        <v>4870</v>
      </c>
      <c r="E9" s="11" t="s">
        <v>776</v>
      </c>
      <c r="F9" s="11" t="s">
        <v>4857</v>
      </c>
      <c r="G9" s="11" t="s">
        <v>272</v>
      </c>
      <c r="H9" s="11" t="s">
        <v>1144</v>
      </c>
      <c r="I9" s="11" t="s">
        <v>1145</v>
      </c>
      <c r="J9" s="11" t="s">
        <v>1144</v>
      </c>
      <c r="K9" s="11" t="s">
        <v>1145</v>
      </c>
      <c r="L9" s="11" t="s">
        <v>766</v>
      </c>
      <c r="M9" s="11" t="n">
        <v>1</v>
      </c>
      <c r="P9" s="11" t="s">
        <v>27</v>
      </c>
    </row>
    <row r="10" customFormat="false" ht="15" hidden="false" customHeight="false" outlineLevel="0" collapsed="false">
      <c r="A10" s="2" t="s">
        <v>4871</v>
      </c>
      <c r="B10" s="11" t="s">
        <v>2166</v>
      </c>
      <c r="C10" s="11" t="s">
        <v>2158</v>
      </c>
      <c r="D10" s="11" t="s">
        <v>4866</v>
      </c>
      <c r="E10" s="11" t="s">
        <v>4856</v>
      </c>
      <c r="F10" s="11" t="s">
        <v>4857</v>
      </c>
      <c r="G10" s="11" t="s">
        <v>272</v>
      </c>
      <c r="H10" s="11" t="s">
        <v>1144</v>
      </c>
      <c r="I10" s="11" t="s">
        <v>1145</v>
      </c>
      <c r="J10" s="11" t="s">
        <v>1144</v>
      </c>
      <c r="K10" s="11" t="s">
        <v>1145</v>
      </c>
      <c r="L10" s="11" t="s">
        <v>766</v>
      </c>
      <c r="M10" s="11" t="n">
        <v>1</v>
      </c>
      <c r="P10" s="11" t="s">
        <v>27</v>
      </c>
    </row>
    <row r="11" customFormat="false" ht="15" hidden="false" customHeight="false" outlineLevel="0" collapsed="false">
      <c r="A11" s="2" t="s">
        <v>4872</v>
      </c>
      <c r="B11" s="11" t="s">
        <v>2305</v>
      </c>
      <c r="C11" s="11" t="s">
        <v>2166</v>
      </c>
      <c r="D11" s="11" t="s">
        <v>4873</v>
      </c>
      <c r="E11" s="11" t="s">
        <v>776</v>
      </c>
      <c r="F11" s="11" t="s">
        <v>4857</v>
      </c>
      <c r="G11" s="11" t="s">
        <v>272</v>
      </c>
      <c r="H11" s="11" t="s">
        <v>1144</v>
      </c>
      <c r="I11" s="11" t="s">
        <v>1145</v>
      </c>
      <c r="J11" s="11" t="s">
        <v>1144</v>
      </c>
      <c r="K11" s="11" t="s">
        <v>1145</v>
      </c>
      <c r="L11" s="11" t="s">
        <v>766</v>
      </c>
      <c r="M11" s="11" t="n">
        <v>1</v>
      </c>
      <c r="P11" s="11" t="s">
        <v>27</v>
      </c>
    </row>
    <row r="12" customFormat="false" ht="15" hidden="false" customHeight="false" outlineLevel="0" collapsed="false">
      <c r="A12" s="2" t="s">
        <v>4874</v>
      </c>
      <c r="B12" s="11" t="s">
        <v>2236</v>
      </c>
      <c r="C12" s="11" t="s">
        <v>2242</v>
      </c>
      <c r="D12" s="11" t="s">
        <v>4875</v>
      </c>
      <c r="E12" s="11" t="s">
        <v>776</v>
      </c>
      <c r="F12" s="11" t="s">
        <v>4857</v>
      </c>
      <c r="G12" s="11" t="s">
        <v>272</v>
      </c>
      <c r="H12" s="11" t="s">
        <v>1144</v>
      </c>
      <c r="I12" s="11" t="s">
        <v>1145</v>
      </c>
      <c r="J12" s="11" t="s">
        <v>1144</v>
      </c>
      <c r="K12" s="11" t="s">
        <v>1145</v>
      </c>
      <c r="L12" s="11" t="s">
        <v>766</v>
      </c>
      <c r="M12" s="11" t="n">
        <v>1</v>
      </c>
      <c r="P12" s="11" t="s">
        <v>27</v>
      </c>
    </row>
    <row r="13" customFormat="false" ht="15" hidden="false" customHeight="false" outlineLevel="0" collapsed="false">
      <c r="A13" s="2" t="s">
        <v>4876</v>
      </c>
      <c r="B13" s="11" t="s">
        <v>2352</v>
      </c>
      <c r="C13" s="11" t="s">
        <v>2242</v>
      </c>
      <c r="D13" s="11" t="s">
        <v>4875</v>
      </c>
      <c r="E13" s="11" t="s">
        <v>776</v>
      </c>
      <c r="F13" s="11" t="s">
        <v>4857</v>
      </c>
      <c r="G13" s="11" t="s">
        <v>272</v>
      </c>
      <c r="H13" s="11" t="s">
        <v>1144</v>
      </c>
      <c r="I13" s="11" t="s">
        <v>1145</v>
      </c>
      <c r="J13" s="11" t="s">
        <v>1144</v>
      </c>
      <c r="K13" s="11" t="s">
        <v>1145</v>
      </c>
      <c r="L13" s="11" t="s">
        <v>766</v>
      </c>
      <c r="M13" s="11" t="n">
        <v>1</v>
      </c>
      <c r="P13" s="11" t="s">
        <v>27</v>
      </c>
    </row>
    <row r="14" customFormat="false" ht="15" hidden="false" customHeight="false" outlineLevel="0" collapsed="false">
      <c r="A14" s="2" t="s">
        <v>4877</v>
      </c>
      <c r="B14" s="11" t="s">
        <v>2345</v>
      </c>
      <c r="C14" s="11" t="s">
        <v>2242</v>
      </c>
      <c r="D14" s="11" t="s">
        <v>4875</v>
      </c>
      <c r="E14" s="11" t="s">
        <v>776</v>
      </c>
      <c r="F14" s="11" t="s">
        <v>4857</v>
      </c>
      <c r="G14" s="11" t="s">
        <v>272</v>
      </c>
      <c r="H14" s="11" t="s">
        <v>1144</v>
      </c>
      <c r="I14" s="11" t="s">
        <v>1145</v>
      </c>
      <c r="J14" s="11" t="s">
        <v>1144</v>
      </c>
      <c r="K14" s="11" t="s">
        <v>1145</v>
      </c>
      <c r="L14" s="11" t="s">
        <v>766</v>
      </c>
      <c r="M14" s="11" t="n">
        <v>1</v>
      </c>
      <c r="P14" s="11" t="s">
        <v>27</v>
      </c>
    </row>
    <row r="15" customFormat="false" ht="15" hidden="false" customHeight="false" outlineLevel="0" collapsed="false">
      <c r="A15" s="2" t="s">
        <v>4878</v>
      </c>
      <c r="B15" s="11" t="s">
        <v>2415</v>
      </c>
      <c r="C15" s="11" t="s">
        <v>1845</v>
      </c>
      <c r="D15" s="11" t="s">
        <v>4879</v>
      </c>
      <c r="E15" s="11" t="s">
        <v>776</v>
      </c>
      <c r="F15" s="11" t="s">
        <v>4857</v>
      </c>
      <c r="G15" s="11" t="s">
        <v>272</v>
      </c>
      <c r="H15" s="11" t="s">
        <v>1144</v>
      </c>
      <c r="I15" s="11" t="s">
        <v>1145</v>
      </c>
      <c r="J15" s="11" t="s">
        <v>1144</v>
      </c>
      <c r="K15" s="11" t="s">
        <v>1145</v>
      </c>
      <c r="L15" s="11" t="s">
        <v>766</v>
      </c>
      <c r="M15" s="11" t="n">
        <v>1</v>
      </c>
      <c r="P15" s="11" t="s">
        <v>27</v>
      </c>
    </row>
    <row r="16" customFormat="false" ht="15" hidden="false" customHeight="false" outlineLevel="0" collapsed="false">
      <c r="A16" s="2" t="s">
        <v>4880</v>
      </c>
      <c r="B16" s="11" t="s">
        <v>2422</v>
      </c>
      <c r="C16" s="11" t="s">
        <v>1845</v>
      </c>
      <c r="D16" s="11" t="s">
        <v>4879</v>
      </c>
      <c r="E16" s="11" t="s">
        <v>776</v>
      </c>
      <c r="F16" s="11" t="s">
        <v>4857</v>
      </c>
      <c r="G16" s="11" t="s">
        <v>272</v>
      </c>
      <c r="H16" s="11" t="s">
        <v>1144</v>
      </c>
      <c r="I16" s="11" t="s">
        <v>1145</v>
      </c>
      <c r="J16" s="11" t="s">
        <v>1144</v>
      </c>
      <c r="K16" s="11" t="s">
        <v>1145</v>
      </c>
      <c r="L16" s="11" t="s">
        <v>766</v>
      </c>
      <c r="M16" s="11" t="n">
        <v>1</v>
      </c>
      <c r="P16" s="11" t="s">
        <v>27</v>
      </c>
    </row>
    <row r="17" customFormat="false" ht="15" hidden="false" customHeight="false" outlineLevel="0" collapsed="false">
      <c r="A17" s="2" t="s">
        <v>4881</v>
      </c>
      <c r="B17" s="11" t="s">
        <v>2335</v>
      </c>
      <c r="C17" s="11" t="s">
        <v>2340</v>
      </c>
      <c r="D17" s="11" t="s">
        <v>4882</v>
      </c>
      <c r="E17" s="11" t="s">
        <v>802</v>
      </c>
      <c r="F17" s="11" t="s">
        <v>4857</v>
      </c>
      <c r="G17" s="11" t="s">
        <v>272</v>
      </c>
      <c r="H17" s="11" t="s">
        <v>1144</v>
      </c>
      <c r="I17" s="11" t="s">
        <v>1145</v>
      </c>
      <c r="J17" s="11" t="s">
        <v>1144</v>
      </c>
      <c r="K17" s="11" t="s">
        <v>1145</v>
      </c>
      <c r="L17" s="11" t="s">
        <v>766</v>
      </c>
      <c r="M17" s="11" t="n">
        <v>1</v>
      </c>
      <c r="P17" s="11" t="s">
        <v>27</v>
      </c>
    </row>
    <row r="18" customFormat="false" ht="15" hidden="false" customHeight="false" outlineLevel="0" collapsed="false">
      <c r="A18" s="2" t="s">
        <v>4883</v>
      </c>
      <c r="B18" s="11" t="s">
        <v>2201</v>
      </c>
      <c r="C18" s="11" t="s">
        <v>2193</v>
      </c>
      <c r="D18" s="11" t="s">
        <v>4884</v>
      </c>
      <c r="E18" s="11" t="s">
        <v>776</v>
      </c>
      <c r="F18" s="11" t="s">
        <v>4857</v>
      </c>
      <c r="G18" s="11" t="s">
        <v>272</v>
      </c>
      <c r="H18" s="11" t="s">
        <v>1144</v>
      </c>
      <c r="I18" s="11" t="s">
        <v>1145</v>
      </c>
      <c r="J18" s="11" t="s">
        <v>1144</v>
      </c>
      <c r="K18" s="11" t="s">
        <v>1145</v>
      </c>
      <c r="L18" s="11" t="s">
        <v>766</v>
      </c>
      <c r="M18" s="11" t="n">
        <v>1</v>
      </c>
      <c r="P18" s="11" t="s">
        <v>27</v>
      </c>
    </row>
  </sheetData>
  <autoFilter ref="A1:P18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B2:B1018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18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D2:D1018" type="list">
      <formula1>instrument_relatietype!$B$2:$B$2000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G2:G1018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1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656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4885</v>
      </c>
      <c r="B2" s="11" t="s">
        <v>4866</v>
      </c>
      <c r="C2" s="11" t="s">
        <v>4886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4887</v>
      </c>
      <c r="B3" s="11" t="s">
        <v>4884</v>
      </c>
      <c r="C3" s="11" t="s">
        <v>4888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4889</v>
      </c>
      <c r="B4" s="11" t="s">
        <v>4890</v>
      </c>
      <c r="C4" s="11" t="s">
        <v>4891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4892</v>
      </c>
      <c r="B5" s="11" t="s">
        <v>4893</v>
      </c>
      <c r="C5" s="11" t="s">
        <v>743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4894</v>
      </c>
      <c r="B6" s="11" t="s">
        <v>4895</v>
      </c>
      <c r="C6" s="11" t="s">
        <v>4896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4897</v>
      </c>
      <c r="B7" s="11" t="s">
        <v>4870</v>
      </c>
      <c r="C7" s="11" t="s">
        <v>4898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4899</v>
      </c>
      <c r="B8" s="11" t="s">
        <v>4860</v>
      </c>
      <c r="C8" s="11" t="s">
        <v>4900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4901</v>
      </c>
      <c r="B9" s="11" t="s">
        <v>4855</v>
      </c>
      <c r="C9" s="11" t="s">
        <v>4902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4903</v>
      </c>
      <c r="B10" s="11" t="s">
        <v>4879</v>
      </c>
      <c r="C10" s="11" t="s">
        <v>4904</v>
      </c>
      <c r="E10" s="11" t="n">
        <v>9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</row>
    <row r="11" customFormat="false" ht="15" hidden="false" customHeight="false" outlineLevel="0" collapsed="false">
      <c r="A11" s="2" t="s">
        <v>4905</v>
      </c>
      <c r="B11" s="11" t="s">
        <v>4875</v>
      </c>
      <c r="C11" s="11" t="s">
        <v>4906</v>
      </c>
      <c r="E11" s="11" t="n">
        <v>10</v>
      </c>
      <c r="F11" s="11" t="s">
        <v>985</v>
      </c>
      <c r="G11" s="11" t="s">
        <v>986</v>
      </c>
      <c r="H11" s="11" t="s">
        <v>985</v>
      </c>
      <c r="I11" s="11" t="s">
        <v>986</v>
      </c>
      <c r="J11" s="11" t="s">
        <v>766</v>
      </c>
      <c r="K11" s="11" t="n">
        <v>1</v>
      </c>
    </row>
    <row r="12" customFormat="false" ht="15" hidden="false" customHeight="false" outlineLevel="0" collapsed="false">
      <c r="A12" s="2" t="s">
        <v>4907</v>
      </c>
      <c r="B12" s="11" t="s">
        <v>4873</v>
      </c>
      <c r="C12" s="11" t="s">
        <v>4908</v>
      </c>
      <c r="E12" s="11" t="n">
        <v>11</v>
      </c>
      <c r="F12" s="11" t="s">
        <v>985</v>
      </c>
      <c r="G12" s="11" t="s">
        <v>986</v>
      </c>
      <c r="H12" s="11" t="s">
        <v>985</v>
      </c>
      <c r="I12" s="11" t="s">
        <v>986</v>
      </c>
      <c r="J12" s="11" t="s">
        <v>766</v>
      </c>
      <c r="K12" s="11" t="n">
        <v>1</v>
      </c>
    </row>
    <row r="13" customFormat="false" ht="15" hidden="false" customHeight="false" outlineLevel="0" collapsed="false">
      <c r="A13" s="2" t="s">
        <v>4909</v>
      </c>
      <c r="B13" s="11" t="s">
        <v>4868</v>
      </c>
      <c r="C13" s="11" t="s">
        <v>4910</v>
      </c>
      <c r="E13" s="11" t="n">
        <v>12</v>
      </c>
      <c r="F13" s="11" t="s">
        <v>985</v>
      </c>
      <c r="G13" s="11" t="s">
        <v>986</v>
      </c>
      <c r="H13" s="11" t="s">
        <v>985</v>
      </c>
      <c r="I13" s="11" t="s">
        <v>986</v>
      </c>
      <c r="J13" s="11" t="s">
        <v>766</v>
      </c>
      <c r="K13" s="11" t="n">
        <v>1</v>
      </c>
    </row>
    <row r="14" customFormat="false" ht="15" hidden="false" customHeight="false" outlineLevel="0" collapsed="false">
      <c r="A14" s="2" t="s">
        <v>4911</v>
      </c>
      <c r="B14" s="11" t="s">
        <v>4862</v>
      </c>
      <c r="C14" s="11" t="s">
        <v>4912</v>
      </c>
      <c r="E14" s="11" t="n">
        <v>13</v>
      </c>
      <c r="F14" s="11" t="s">
        <v>985</v>
      </c>
      <c r="G14" s="11" t="s">
        <v>986</v>
      </c>
      <c r="H14" s="11" t="s">
        <v>985</v>
      </c>
      <c r="I14" s="11" t="s">
        <v>986</v>
      </c>
      <c r="J14" s="11" t="s">
        <v>766</v>
      </c>
      <c r="K14" s="11" t="n">
        <v>1</v>
      </c>
    </row>
    <row r="15" customFormat="false" ht="15" hidden="false" customHeight="false" outlineLevel="0" collapsed="false">
      <c r="A15" s="2" t="s">
        <v>4913</v>
      </c>
      <c r="B15" s="11" t="s">
        <v>4864</v>
      </c>
      <c r="C15" s="11" t="s">
        <v>4914</v>
      </c>
      <c r="E15" s="11" t="n">
        <v>14</v>
      </c>
      <c r="F15" s="11" t="s">
        <v>985</v>
      </c>
      <c r="G15" s="11" t="s">
        <v>986</v>
      </c>
      <c r="H15" s="11" t="s">
        <v>985</v>
      </c>
      <c r="I15" s="11" t="s">
        <v>986</v>
      </c>
      <c r="J15" s="11" t="s">
        <v>766</v>
      </c>
      <c r="K15" s="11" t="n">
        <v>1</v>
      </c>
    </row>
    <row r="16" customFormat="false" ht="15" hidden="false" customHeight="false" outlineLevel="0" collapsed="false">
      <c r="A16" s="2" t="s">
        <v>4915</v>
      </c>
      <c r="B16" s="11" t="s">
        <v>4882</v>
      </c>
      <c r="C16" s="11" t="s">
        <v>4916</v>
      </c>
      <c r="E16" s="11" t="n">
        <v>15</v>
      </c>
      <c r="F16" s="11" t="s">
        <v>985</v>
      </c>
      <c r="G16" s="11" t="s">
        <v>986</v>
      </c>
      <c r="H16" s="11" t="s">
        <v>985</v>
      </c>
      <c r="I16" s="11" t="s">
        <v>986</v>
      </c>
      <c r="J16" s="11" t="s">
        <v>766</v>
      </c>
      <c r="K16" s="11" t="n">
        <v>1</v>
      </c>
    </row>
  </sheetData>
  <autoFilter ref="A1:N16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6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T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17"/>
    <col collapsed="false" customWidth="true" hidden="false" outlineLevel="0" max="10" min="7" style="0" width="40"/>
    <col collapsed="false" customWidth="true" hidden="false" outlineLevel="0" max="11" min="11" style="0" width="25"/>
    <col collapsed="false" customWidth="true" hidden="false" outlineLevel="0" max="15" min="12" style="0" width="14"/>
    <col collapsed="false" customWidth="true" hidden="false" outlineLevel="0" max="16" min="16" style="0" width="40"/>
    <col collapsed="false" customWidth="true" hidden="false" outlineLevel="0" max="17" min="17" style="0" width="17"/>
    <col collapsed="false" customWidth="true" hidden="false" outlineLevel="0" max="19" min="18" style="0" width="14"/>
    <col collapsed="false" customWidth="true" hidden="false" outlineLevel="0" max="20" min="20" style="0" width="40"/>
  </cols>
  <sheetData>
    <row r="1" customFormat="false" ht="15" hidden="false" customHeight="false" outlineLevel="0" collapsed="false">
      <c r="A1" s="13" t="s">
        <v>659</v>
      </c>
      <c r="B1" s="13" t="s">
        <v>660</v>
      </c>
      <c r="C1" s="13" t="s">
        <v>264</v>
      </c>
      <c r="D1" s="13" t="s">
        <v>440</v>
      </c>
      <c r="E1" s="14" t="s">
        <v>661</v>
      </c>
      <c r="F1" s="14" t="s">
        <v>522</v>
      </c>
      <c r="G1" s="14" t="s">
        <v>319</v>
      </c>
      <c r="H1" s="14" t="s">
        <v>540</v>
      </c>
      <c r="I1" s="13" t="s">
        <v>662</v>
      </c>
      <c r="J1" s="13" t="s">
        <v>663</v>
      </c>
      <c r="K1" s="14" t="s">
        <v>665</v>
      </c>
      <c r="L1" s="15" t="s">
        <v>292</v>
      </c>
      <c r="M1" s="15" t="s">
        <v>295</v>
      </c>
      <c r="N1" s="15" t="s">
        <v>298</v>
      </c>
      <c r="O1" s="15" t="s">
        <v>300</v>
      </c>
      <c r="P1" s="15" t="s">
        <v>302</v>
      </c>
      <c r="Q1" s="15" t="s">
        <v>305</v>
      </c>
      <c r="R1" s="15" t="s">
        <v>307</v>
      </c>
      <c r="S1" s="15" t="s">
        <v>310</v>
      </c>
      <c r="T1" s="15" t="s">
        <v>312</v>
      </c>
    </row>
    <row r="2" customFormat="false" ht="15" hidden="false" customHeight="false" outlineLevel="0" collapsed="false">
      <c r="A2" s="2" t="s">
        <v>4917</v>
      </c>
      <c r="B2" s="11" t="s">
        <v>4918</v>
      </c>
      <c r="C2" s="11" t="s">
        <v>4919</v>
      </c>
      <c r="D2" s="11" t="s">
        <v>2583</v>
      </c>
      <c r="E2" s="11" t="s">
        <v>4920</v>
      </c>
      <c r="F2" s="11" t="s">
        <v>2759</v>
      </c>
      <c r="G2" s="11" t="s">
        <v>4921</v>
      </c>
      <c r="H2" s="11" t="s">
        <v>4922</v>
      </c>
      <c r="I2" s="11" t="s">
        <v>4923</v>
      </c>
      <c r="J2" s="11" t="s">
        <v>762</v>
      </c>
      <c r="K2" s="11" t="s">
        <v>4924</v>
      </c>
      <c r="L2" s="11" t="s">
        <v>1144</v>
      </c>
      <c r="M2" s="11" t="s">
        <v>1145</v>
      </c>
      <c r="N2" s="11" t="s">
        <v>1144</v>
      </c>
      <c r="O2" s="11" t="s">
        <v>1145</v>
      </c>
      <c r="P2" s="11" t="s">
        <v>766</v>
      </c>
      <c r="Q2" s="11" t="n">
        <v>1</v>
      </c>
      <c r="T2" s="11" t="s">
        <v>27</v>
      </c>
    </row>
    <row r="3" customFormat="false" ht="15" hidden="false" customHeight="false" outlineLevel="0" collapsed="false">
      <c r="A3" s="2" t="s">
        <v>4925</v>
      </c>
      <c r="B3" s="11" t="s">
        <v>4926</v>
      </c>
      <c r="C3" s="11" t="s">
        <v>4927</v>
      </c>
      <c r="D3" s="11" t="s">
        <v>4928</v>
      </c>
      <c r="E3" s="11" t="s">
        <v>4929</v>
      </c>
      <c r="F3" s="11" t="s">
        <v>2675</v>
      </c>
      <c r="G3" s="11" t="s">
        <v>4921</v>
      </c>
      <c r="H3" s="11" t="s">
        <v>4930</v>
      </c>
      <c r="I3" s="11" t="s">
        <v>4931</v>
      </c>
      <c r="J3" s="11" t="s">
        <v>789</v>
      </c>
      <c r="L3" s="11" t="s">
        <v>1144</v>
      </c>
      <c r="M3" s="11" t="s">
        <v>1145</v>
      </c>
      <c r="N3" s="11" t="s">
        <v>1144</v>
      </c>
      <c r="O3" s="11" t="s">
        <v>1145</v>
      </c>
      <c r="P3" s="11" t="s">
        <v>766</v>
      </c>
      <c r="Q3" s="11" t="n">
        <v>1</v>
      </c>
      <c r="T3" s="11" t="s">
        <v>27</v>
      </c>
    </row>
    <row r="4" customFormat="false" ht="15" hidden="false" customHeight="false" outlineLevel="0" collapsed="false">
      <c r="A4" s="2" t="s">
        <v>4932</v>
      </c>
      <c r="B4" s="11" t="s">
        <v>4933</v>
      </c>
      <c r="C4" s="11" t="s">
        <v>4934</v>
      </c>
      <c r="D4" s="11" t="s">
        <v>2591</v>
      </c>
      <c r="E4" s="11" t="s">
        <v>4935</v>
      </c>
      <c r="F4" s="11" t="s">
        <v>2695</v>
      </c>
      <c r="G4" s="11" t="s">
        <v>4921</v>
      </c>
      <c r="H4" s="11" t="s">
        <v>4936</v>
      </c>
      <c r="I4" s="11" t="s">
        <v>4931</v>
      </c>
      <c r="J4" s="11" t="s">
        <v>814</v>
      </c>
      <c r="L4" s="11" t="s">
        <v>1144</v>
      </c>
      <c r="M4" s="11" t="s">
        <v>1145</v>
      </c>
      <c r="N4" s="11" t="s">
        <v>1144</v>
      </c>
      <c r="O4" s="11" t="s">
        <v>1145</v>
      </c>
      <c r="P4" s="11" t="s">
        <v>766</v>
      </c>
      <c r="Q4" s="11" t="n">
        <v>1</v>
      </c>
      <c r="T4" s="11" t="s">
        <v>27</v>
      </c>
    </row>
    <row r="5" customFormat="false" ht="15" hidden="false" customHeight="false" outlineLevel="0" collapsed="false">
      <c r="A5" s="2" t="s">
        <v>4937</v>
      </c>
      <c r="B5" s="11" t="s">
        <v>4938</v>
      </c>
      <c r="C5" s="11" t="s">
        <v>4939</v>
      </c>
      <c r="D5" s="11" t="s">
        <v>4940</v>
      </c>
      <c r="E5" s="11" t="s">
        <v>4941</v>
      </c>
      <c r="F5" s="11" t="s">
        <v>2634</v>
      </c>
      <c r="G5" s="11" t="s">
        <v>4921</v>
      </c>
      <c r="H5" s="11" t="s">
        <v>4942</v>
      </c>
      <c r="I5" s="11" t="s">
        <v>4923</v>
      </c>
      <c r="J5" s="11" t="s">
        <v>836</v>
      </c>
      <c r="K5" s="11" t="s">
        <v>4943</v>
      </c>
      <c r="L5" s="11" t="s">
        <v>1144</v>
      </c>
      <c r="M5" s="11" t="s">
        <v>1145</v>
      </c>
      <c r="N5" s="11" t="s">
        <v>1144</v>
      </c>
      <c r="O5" s="11" t="s">
        <v>1145</v>
      </c>
      <c r="P5" s="11" t="s">
        <v>766</v>
      </c>
      <c r="Q5" s="11" t="n">
        <v>1</v>
      </c>
      <c r="T5" s="11" t="s">
        <v>27</v>
      </c>
    </row>
    <row r="6" customFormat="false" ht="15" hidden="false" customHeight="false" outlineLevel="0" collapsed="false">
      <c r="A6" s="2" t="s">
        <v>4944</v>
      </c>
      <c r="B6" s="11" t="s">
        <v>4945</v>
      </c>
      <c r="C6" s="11" t="s">
        <v>4946</v>
      </c>
      <c r="D6" s="11" t="s">
        <v>2594</v>
      </c>
      <c r="E6" s="11" t="s">
        <v>4947</v>
      </c>
      <c r="F6" s="11" t="s">
        <v>2675</v>
      </c>
      <c r="G6" s="11" t="s">
        <v>4921</v>
      </c>
      <c r="H6" s="11" t="s">
        <v>4948</v>
      </c>
      <c r="I6" s="11" t="s">
        <v>4931</v>
      </c>
      <c r="J6" s="11" t="s">
        <v>852</v>
      </c>
      <c r="L6" s="11" t="s">
        <v>1144</v>
      </c>
      <c r="M6" s="11" t="s">
        <v>1145</v>
      </c>
      <c r="N6" s="11" t="s">
        <v>1144</v>
      </c>
      <c r="O6" s="11" t="s">
        <v>1145</v>
      </c>
      <c r="P6" s="11" t="s">
        <v>766</v>
      </c>
      <c r="Q6" s="11" t="n">
        <v>1</v>
      </c>
      <c r="T6" s="11" t="s">
        <v>27</v>
      </c>
    </row>
    <row r="7" customFormat="false" ht="15" hidden="false" customHeight="false" outlineLevel="0" collapsed="false">
      <c r="A7" s="2" t="s">
        <v>4949</v>
      </c>
      <c r="B7" s="11" t="s">
        <v>4950</v>
      </c>
      <c r="C7" s="11" t="s">
        <v>4951</v>
      </c>
      <c r="D7" s="11" t="s">
        <v>4952</v>
      </c>
      <c r="E7" s="11" t="s">
        <v>4953</v>
      </c>
      <c r="F7" s="11" t="s">
        <v>2759</v>
      </c>
      <c r="G7" s="11" t="s">
        <v>4921</v>
      </c>
      <c r="H7" s="11" t="s">
        <v>4954</v>
      </c>
      <c r="I7" s="11" t="s">
        <v>4923</v>
      </c>
      <c r="J7" s="11" t="s">
        <v>762</v>
      </c>
      <c r="K7" s="11" t="s">
        <v>4955</v>
      </c>
      <c r="L7" s="11" t="s">
        <v>1144</v>
      </c>
      <c r="M7" s="11" t="s">
        <v>1145</v>
      </c>
      <c r="N7" s="11" t="s">
        <v>1144</v>
      </c>
      <c r="O7" s="11" t="s">
        <v>1145</v>
      </c>
      <c r="P7" s="11" t="s">
        <v>766</v>
      </c>
      <c r="Q7" s="11" t="n">
        <v>1</v>
      </c>
      <c r="T7" s="11" t="s">
        <v>27</v>
      </c>
    </row>
  </sheetData>
  <autoFilter ref="A1:T7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F2:F1007" type="list">
      <formula1>organisatie!$B$2:$B$2000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07" type="list">
      <formula1>Keuzelijsten!$X$5:$X$60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P2:P1007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5" min="4" style="0" width="40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666</v>
      </c>
      <c r="B1" s="13" t="s">
        <v>659</v>
      </c>
      <c r="C1" s="13" t="s">
        <v>469</v>
      </c>
      <c r="D1" s="13" t="s">
        <v>349</v>
      </c>
      <c r="E1" s="14" t="s">
        <v>410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4956</v>
      </c>
      <c r="B2" s="11" t="s">
        <v>4918</v>
      </c>
      <c r="C2" s="11" t="s">
        <v>2158</v>
      </c>
      <c r="D2" s="11" t="s">
        <v>4957</v>
      </c>
      <c r="F2" s="11" t="s">
        <v>1144</v>
      </c>
      <c r="G2" s="11" t="s">
        <v>1145</v>
      </c>
      <c r="H2" s="11" t="s">
        <v>1144</v>
      </c>
      <c r="I2" s="11" t="s">
        <v>1145</v>
      </c>
      <c r="J2" s="11" t="s">
        <v>766</v>
      </c>
      <c r="K2" s="11" t="n">
        <v>1</v>
      </c>
      <c r="N2" s="11" t="s">
        <v>27</v>
      </c>
    </row>
    <row r="3" customFormat="false" ht="15" hidden="false" customHeight="false" outlineLevel="0" collapsed="false">
      <c r="A3" s="2" t="s">
        <v>4958</v>
      </c>
      <c r="B3" s="11" t="s">
        <v>4918</v>
      </c>
      <c r="C3" s="11" t="s">
        <v>2408</v>
      </c>
      <c r="D3" s="11" t="s">
        <v>4957</v>
      </c>
      <c r="F3" s="11" t="s">
        <v>1144</v>
      </c>
      <c r="G3" s="11" t="s">
        <v>1145</v>
      </c>
      <c r="H3" s="11" t="s">
        <v>1144</v>
      </c>
      <c r="I3" s="11" t="s">
        <v>1145</v>
      </c>
      <c r="J3" s="11" t="s">
        <v>766</v>
      </c>
      <c r="K3" s="11" t="n">
        <v>1</v>
      </c>
      <c r="N3" s="11" t="s">
        <v>27</v>
      </c>
    </row>
    <row r="4" customFormat="false" ht="15" hidden="false" customHeight="false" outlineLevel="0" collapsed="false">
      <c r="A4" s="2" t="s">
        <v>4959</v>
      </c>
      <c r="B4" s="11" t="s">
        <v>4926</v>
      </c>
      <c r="C4" s="11" t="s">
        <v>2133</v>
      </c>
      <c r="D4" s="11" t="s">
        <v>4957</v>
      </c>
      <c r="F4" s="11" t="s">
        <v>1144</v>
      </c>
      <c r="G4" s="11" t="s">
        <v>1145</v>
      </c>
      <c r="H4" s="11" t="s">
        <v>1144</v>
      </c>
      <c r="I4" s="11" t="s">
        <v>1145</v>
      </c>
      <c r="J4" s="11" t="s">
        <v>766</v>
      </c>
      <c r="K4" s="11" t="n">
        <v>1</v>
      </c>
      <c r="N4" s="11" t="s">
        <v>27</v>
      </c>
    </row>
    <row r="5" customFormat="false" ht="15" hidden="false" customHeight="false" outlineLevel="0" collapsed="false">
      <c r="A5" s="2" t="s">
        <v>4960</v>
      </c>
      <c r="B5" s="11" t="s">
        <v>4926</v>
      </c>
      <c r="C5" s="11" t="s">
        <v>2141</v>
      </c>
      <c r="D5" s="11" t="s">
        <v>4957</v>
      </c>
      <c r="F5" s="11" t="s">
        <v>1144</v>
      </c>
      <c r="G5" s="11" t="s">
        <v>1145</v>
      </c>
      <c r="H5" s="11" t="s">
        <v>1144</v>
      </c>
      <c r="I5" s="11" t="s">
        <v>1145</v>
      </c>
      <c r="J5" s="11" t="s">
        <v>766</v>
      </c>
      <c r="K5" s="11" t="n">
        <v>1</v>
      </c>
      <c r="N5" s="11" t="s">
        <v>27</v>
      </c>
    </row>
    <row r="6" customFormat="false" ht="15" hidden="false" customHeight="false" outlineLevel="0" collapsed="false">
      <c r="A6" s="2" t="s">
        <v>4961</v>
      </c>
      <c r="B6" s="11" t="s">
        <v>4933</v>
      </c>
      <c r="C6" s="11" t="s">
        <v>1845</v>
      </c>
      <c r="D6" s="11" t="s">
        <v>4957</v>
      </c>
      <c r="F6" s="11" t="s">
        <v>1144</v>
      </c>
      <c r="G6" s="11" t="s">
        <v>1145</v>
      </c>
      <c r="H6" s="11" t="s">
        <v>1144</v>
      </c>
      <c r="I6" s="11" t="s">
        <v>1145</v>
      </c>
      <c r="J6" s="11" t="s">
        <v>766</v>
      </c>
      <c r="K6" s="11" t="n">
        <v>1</v>
      </c>
      <c r="N6" s="11" t="s">
        <v>27</v>
      </c>
    </row>
    <row r="7" customFormat="false" ht="15" hidden="false" customHeight="false" outlineLevel="0" collapsed="false">
      <c r="A7" s="2" t="s">
        <v>4962</v>
      </c>
      <c r="B7" s="11" t="s">
        <v>4933</v>
      </c>
      <c r="C7" s="11" t="s">
        <v>2415</v>
      </c>
      <c r="D7" s="11" t="s">
        <v>4957</v>
      </c>
      <c r="F7" s="11" t="s">
        <v>1144</v>
      </c>
      <c r="G7" s="11" t="s">
        <v>1145</v>
      </c>
      <c r="H7" s="11" t="s">
        <v>1144</v>
      </c>
      <c r="I7" s="11" t="s">
        <v>1145</v>
      </c>
      <c r="J7" s="11" t="s">
        <v>766</v>
      </c>
      <c r="K7" s="11" t="n">
        <v>1</v>
      </c>
      <c r="N7" s="11" t="s">
        <v>27</v>
      </c>
    </row>
    <row r="8" customFormat="false" ht="15" hidden="false" customHeight="false" outlineLevel="0" collapsed="false">
      <c r="A8" s="2" t="s">
        <v>4963</v>
      </c>
      <c r="B8" s="11" t="s">
        <v>4938</v>
      </c>
      <c r="C8" s="11" t="s">
        <v>2036</v>
      </c>
      <c r="D8" s="11" t="s">
        <v>4957</v>
      </c>
      <c r="F8" s="11" t="s">
        <v>1144</v>
      </c>
      <c r="G8" s="11" t="s">
        <v>1145</v>
      </c>
      <c r="H8" s="11" t="s">
        <v>1144</v>
      </c>
      <c r="I8" s="11" t="s">
        <v>1145</v>
      </c>
      <c r="J8" s="11" t="s">
        <v>766</v>
      </c>
      <c r="K8" s="11" t="n">
        <v>1</v>
      </c>
      <c r="N8" s="11" t="s">
        <v>27</v>
      </c>
    </row>
    <row r="9" customFormat="false" ht="15" hidden="false" customHeight="false" outlineLevel="0" collapsed="false">
      <c r="A9" s="2" t="s">
        <v>4964</v>
      </c>
      <c r="B9" s="11" t="s">
        <v>4938</v>
      </c>
      <c r="C9" s="11" t="s">
        <v>2456</v>
      </c>
      <c r="D9" s="11" t="s">
        <v>4957</v>
      </c>
      <c r="F9" s="11" t="s">
        <v>1144</v>
      </c>
      <c r="G9" s="11" t="s">
        <v>1145</v>
      </c>
      <c r="H9" s="11" t="s">
        <v>1144</v>
      </c>
      <c r="I9" s="11" t="s">
        <v>1145</v>
      </c>
      <c r="J9" s="11" t="s">
        <v>766</v>
      </c>
      <c r="K9" s="11" t="n">
        <v>1</v>
      </c>
      <c r="N9" s="11" t="s">
        <v>27</v>
      </c>
    </row>
    <row r="10" customFormat="false" ht="15" hidden="false" customHeight="false" outlineLevel="0" collapsed="false">
      <c r="A10" s="2" t="s">
        <v>4965</v>
      </c>
      <c r="B10" s="11" t="s">
        <v>4938</v>
      </c>
      <c r="C10" s="11" t="s">
        <v>2450</v>
      </c>
      <c r="D10" s="11" t="s">
        <v>4957</v>
      </c>
      <c r="F10" s="11" t="s">
        <v>1144</v>
      </c>
      <c r="G10" s="11" t="s">
        <v>1145</v>
      </c>
      <c r="H10" s="11" t="s">
        <v>1144</v>
      </c>
      <c r="I10" s="11" t="s">
        <v>1145</v>
      </c>
      <c r="J10" s="11" t="s">
        <v>766</v>
      </c>
      <c r="K10" s="11" t="n">
        <v>1</v>
      </c>
      <c r="N10" s="11" t="s">
        <v>27</v>
      </c>
    </row>
    <row r="11" customFormat="false" ht="15" hidden="false" customHeight="false" outlineLevel="0" collapsed="false">
      <c r="A11" s="2" t="s">
        <v>4966</v>
      </c>
      <c r="B11" s="11" t="s">
        <v>4945</v>
      </c>
      <c r="C11" s="11" t="s">
        <v>1832</v>
      </c>
      <c r="D11" s="11" t="s">
        <v>4957</v>
      </c>
      <c r="F11" s="11" t="s">
        <v>1144</v>
      </c>
      <c r="G11" s="11" t="s">
        <v>1145</v>
      </c>
      <c r="H11" s="11" t="s">
        <v>1144</v>
      </c>
      <c r="I11" s="11" t="s">
        <v>1145</v>
      </c>
      <c r="J11" s="11" t="s">
        <v>766</v>
      </c>
      <c r="K11" s="11" t="n">
        <v>1</v>
      </c>
      <c r="N11" s="11" t="s">
        <v>27</v>
      </c>
    </row>
    <row r="12" customFormat="false" ht="15" hidden="false" customHeight="false" outlineLevel="0" collapsed="false">
      <c r="A12" s="2" t="s">
        <v>4967</v>
      </c>
      <c r="B12" s="11" t="s">
        <v>4950</v>
      </c>
      <c r="C12" s="11" t="s">
        <v>2415</v>
      </c>
      <c r="D12" s="11" t="s">
        <v>4957</v>
      </c>
      <c r="F12" s="11" t="s">
        <v>1144</v>
      </c>
      <c r="G12" s="11" t="s">
        <v>1145</v>
      </c>
      <c r="H12" s="11" t="s">
        <v>1144</v>
      </c>
      <c r="I12" s="11" t="s">
        <v>1145</v>
      </c>
      <c r="J12" s="11" t="s">
        <v>766</v>
      </c>
      <c r="K12" s="11" t="n">
        <v>1</v>
      </c>
      <c r="N12" s="11" t="s">
        <v>27</v>
      </c>
    </row>
    <row r="13" customFormat="false" ht="15" hidden="false" customHeight="false" outlineLevel="0" collapsed="false">
      <c r="A13" s="2" t="s">
        <v>4968</v>
      </c>
      <c r="B13" s="11" t="s">
        <v>4950</v>
      </c>
      <c r="C13" s="11" t="s">
        <v>2422</v>
      </c>
      <c r="D13" s="11" t="s">
        <v>4957</v>
      </c>
      <c r="F13" s="11" t="s">
        <v>1144</v>
      </c>
      <c r="G13" s="11" t="s">
        <v>1145</v>
      </c>
      <c r="H13" s="11" t="s">
        <v>1144</v>
      </c>
      <c r="I13" s="11" t="s">
        <v>1145</v>
      </c>
      <c r="J13" s="11" t="s">
        <v>766</v>
      </c>
      <c r="K13" s="11" t="n">
        <v>1</v>
      </c>
      <c r="N13" s="11" t="s">
        <v>27</v>
      </c>
    </row>
  </sheetData>
  <autoFilter ref="A1:N13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B2:B1013" type="list">
      <formula1>kennisproduct!$B$2:$B$2000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13" type="list">
      <formula1>instrument!$B$2:$B$2000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13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DB5"/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9" min="6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668</v>
      </c>
      <c r="B1" s="13" t="s">
        <v>659</v>
      </c>
      <c r="C1" s="13" t="s">
        <v>353</v>
      </c>
      <c r="D1" s="13" t="s">
        <v>557</v>
      </c>
      <c r="E1" s="14" t="s">
        <v>410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4969</v>
      </c>
      <c r="B2" s="11" t="s">
        <v>4918</v>
      </c>
      <c r="C2" s="11" t="s">
        <v>1191</v>
      </c>
      <c r="D2" s="11" t="s">
        <v>750</v>
      </c>
      <c r="F2" s="11" t="s">
        <v>1144</v>
      </c>
      <c r="G2" s="11" t="s">
        <v>1145</v>
      </c>
      <c r="H2" s="11" t="s">
        <v>1144</v>
      </c>
      <c r="I2" s="11" t="s">
        <v>1145</v>
      </c>
      <c r="J2" s="11" t="s">
        <v>766</v>
      </c>
      <c r="K2" s="11" t="n">
        <v>1</v>
      </c>
      <c r="N2" s="11" t="s">
        <v>27</v>
      </c>
    </row>
    <row r="3" customFormat="false" ht="15" hidden="false" customHeight="false" outlineLevel="0" collapsed="false">
      <c r="A3" s="2" t="s">
        <v>4970</v>
      </c>
      <c r="B3" s="11" t="s">
        <v>4926</v>
      </c>
      <c r="C3" s="11" t="s">
        <v>1257</v>
      </c>
      <c r="D3" s="11" t="s">
        <v>750</v>
      </c>
      <c r="F3" s="11" t="s">
        <v>1144</v>
      </c>
      <c r="G3" s="11" t="s">
        <v>1145</v>
      </c>
      <c r="H3" s="11" t="s">
        <v>1144</v>
      </c>
      <c r="I3" s="11" t="s">
        <v>1145</v>
      </c>
      <c r="J3" s="11" t="s">
        <v>766</v>
      </c>
      <c r="K3" s="11" t="n">
        <v>1</v>
      </c>
      <c r="N3" s="11" t="s">
        <v>27</v>
      </c>
    </row>
    <row r="4" customFormat="false" ht="15" hidden="false" customHeight="false" outlineLevel="0" collapsed="false">
      <c r="A4" s="2" t="s">
        <v>4971</v>
      </c>
      <c r="B4" s="11" t="s">
        <v>4933</v>
      </c>
      <c r="C4" s="11" t="s">
        <v>1249</v>
      </c>
      <c r="D4" s="11" t="s">
        <v>750</v>
      </c>
      <c r="F4" s="11" t="s">
        <v>1144</v>
      </c>
      <c r="G4" s="11" t="s">
        <v>1145</v>
      </c>
      <c r="H4" s="11" t="s">
        <v>1144</v>
      </c>
      <c r="I4" s="11" t="s">
        <v>1145</v>
      </c>
      <c r="J4" s="11" t="s">
        <v>766</v>
      </c>
      <c r="K4" s="11" t="n">
        <v>1</v>
      </c>
      <c r="N4" s="11" t="s">
        <v>27</v>
      </c>
    </row>
    <row r="5" customFormat="false" ht="15" hidden="false" customHeight="false" outlineLevel="0" collapsed="false">
      <c r="A5" s="2" t="s">
        <v>4972</v>
      </c>
      <c r="B5" s="11" t="s">
        <v>4933</v>
      </c>
      <c r="C5" s="11" t="s">
        <v>1241</v>
      </c>
      <c r="D5" s="11" t="s">
        <v>750</v>
      </c>
      <c r="F5" s="11" t="s">
        <v>1144</v>
      </c>
      <c r="G5" s="11" t="s">
        <v>1145</v>
      </c>
      <c r="H5" s="11" t="s">
        <v>1144</v>
      </c>
      <c r="I5" s="11" t="s">
        <v>1145</v>
      </c>
      <c r="J5" s="11" t="s">
        <v>766</v>
      </c>
      <c r="K5" s="11" t="n">
        <v>1</v>
      </c>
      <c r="N5" s="11" t="s">
        <v>27</v>
      </c>
    </row>
    <row r="6" customFormat="false" ht="15" hidden="false" customHeight="false" outlineLevel="0" collapsed="false">
      <c r="A6" s="2" t="s">
        <v>4973</v>
      </c>
      <c r="B6" s="11" t="s">
        <v>4938</v>
      </c>
      <c r="C6" s="11" t="s">
        <v>1257</v>
      </c>
      <c r="D6" s="11" t="s">
        <v>750</v>
      </c>
      <c r="F6" s="11" t="s">
        <v>1144</v>
      </c>
      <c r="G6" s="11" t="s">
        <v>1145</v>
      </c>
      <c r="H6" s="11" t="s">
        <v>1144</v>
      </c>
      <c r="I6" s="11" t="s">
        <v>1145</v>
      </c>
      <c r="J6" s="11" t="s">
        <v>766</v>
      </c>
      <c r="K6" s="11" t="n">
        <v>1</v>
      </c>
      <c r="N6" s="11" t="s">
        <v>27</v>
      </c>
    </row>
    <row r="7" customFormat="false" ht="15" hidden="false" customHeight="false" outlineLevel="0" collapsed="false">
      <c r="A7" s="2" t="s">
        <v>4974</v>
      </c>
      <c r="B7" s="11" t="s">
        <v>4945</v>
      </c>
      <c r="C7" s="11" t="s">
        <v>1173</v>
      </c>
      <c r="D7" s="11" t="s">
        <v>750</v>
      </c>
      <c r="F7" s="11" t="s">
        <v>1144</v>
      </c>
      <c r="G7" s="11" t="s">
        <v>1145</v>
      </c>
      <c r="H7" s="11" t="s">
        <v>1144</v>
      </c>
      <c r="I7" s="11" t="s">
        <v>1145</v>
      </c>
      <c r="J7" s="11" t="s">
        <v>766</v>
      </c>
      <c r="K7" s="11" t="n">
        <v>1</v>
      </c>
      <c r="N7" s="11" t="s">
        <v>27</v>
      </c>
    </row>
    <row r="8" customFormat="false" ht="15" hidden="false" customHeight="false" outlineLevel="0" collapsed="false">
      <c r="A8" s="2" t="s">
        <v>4975</v>
      </c>
      <c r="B8" s="11" t="s">
        <v>4950</v>
      </c>
      <c r="C8" s="11" t="s">
        <v>1257</v>
      </c>
      <c r="D8" s="11" t="s">
        <v>750</v>
      </c>
      <c r="F8" s="11" t="s">
        <v>1144</v>
      </c>
      <c r="G8" s="11" t="s">
        <v>1145</v>
      </c>
      <c r="H8" s="11" t="s">
        <v>1144</v>
      </c>
      <c r="I8" s="11" t="s">
        <v>1145</v>
      </c>
      <c r="J8" s="11" t="s">
        <v>766</v>
      </c>
      <c r="K8" s="11" t="n">
        <v>1</v>
      </c>
      <c r="N8" s="11" t="s">
        <v>27</v>
      </c>
    </row>
    <row r="9" customFormat="false" ht="15" hidden="false" customHeight="false" outlineLevel="0" collapsed="false">
      <c r="A9" s="2" t="s">
        <v>4976</v>
      </c>
      <c r="B9" s="11" t="s">
        <v>4950</v>
      </c>
      <c r="C9" s="11" t="s">
        <v>1249</v>
      </c>
      <c r="D9" s="11" t="s">
        <v>750</v>
      </c>
      <c r="F9" s="11" t="s">
        <v>1144</v>
      </c>
      <c r="G9" s="11" t="s">
        <v>1145</v>
      </c>
      <c r="H9" s="11" t="s">
        <v>1144</v>
      </c>
      <c r="I9" s="11" t="s">
        <v>1145</v>
      </c>
      <c r="J9" s="11" t="s">
        <v>766</v>
      </c>
      <c r="K9" s="11" t="n">
        <v>1</v>
      </c>
      <c r="N9" s="11" t="s">
        <v>27</v>
      </c>
    </row>
  </sheetData>
  <autoFilter ref="A1:N9"/>
  <dataValidations count="3">
    <dataValidation allowBlank="true" error="Kies een waarde uit de lijst of voeg haar eerst toe aan de bronlijst." errorStyle="stop" errorTitle="Onbekende waarde" operator="between" showDropDown="false" showErrorMessage="true" showInputMessage="false" sqref="B2:B1009" type="list">
      <formula1>kennisproduct!$B$2:$B$2000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C2:C1009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09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342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4977</v>
      </c>
      <c r="B2" s="11" t="s">
        <v>4978</v>
      </c>
      <c r="C2" s="11" t="s">
        <v>4979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4980</v>
      </c>
      <c r="B3" s="11" t="s">
        <v>1058</v>
      </c>
      <c r="C3" s="11" t="s">
        <v>4981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4982</v>
      </c>
      <c r="B4" s="11" t="s">
        <v>4983</v>
      </c>
      <c r="C4" s="11" t="s">
        <v>4984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4985</v>
      </c>
      <c r="B5" s="11" t="s">
        <v>4986</v>
      </c>
      <c r="C5" s="11" t="s">
        <v>4987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4988</v>
      </c>
      <c r="B6" s="11" t="s">
        <v>4989</v>
      </c>
      <c r="C6" s="11" t="s">
        <v>4990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4991</v>
      </c>
      <c r="B7" s="11" t="s">
        <v>4992</v>
      </c>
      <c r="C7" s="11" t="s">
        <v>4993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4994</v>
      </c>
      <c r="B8" s="11" t="s">
        <v>4995</v>
      </c>
      <c r="C8" s="11" t="s">
        <v>4996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4997</v>
      </c>
      <c r="B9" s="11" t="s">
        <v>4998</v>
      </c>
      <c r="C9" s="11" t="s">
        <v>4999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  <row r="10" customFormat="false" ht="15" hidden="false" customHeight="false" outlineLevel="0" collapsed="false">
      <c r="A10" s="2" t="s">
        <v>5000</v>
      </c>
      <c r="B10" s="11" t="s">
        <v>5001</v>
      </c>
      <c r="C10" s="11" t="s">
        <v>5002</v>
      </c>
      <c r="E10" s="11" t="n">
        <v>9</v>
      </c>
      <c r="F10" s="11" t="s">
        <v>985</v>
      </c>
      <c r="G10" s="11" t="s">
        <v>986</v>
      </c>
      <c r="H10" s="11" t="s">
        <v>985</v>
      </c>
      <c r="I10" s="11" t="s">
        <v>986</v>
      </c>
      <c r="J10" s="11" t="s">
        <v>766</v>
      </c>
      <c r="K10" s="11" t="n">
        <v>1</v>
      </c>
    </row>
  </sheetData>
  <autoFilter ref="A1:N10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10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506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5003</v>
      </c>
      <c r="B2" s="11" t="s">
        <v>2056</v>
      </c>
      <c r="C2" s="11" t="s">
        <v>5004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5005</v>
      </c>
      <c r="B3" s="11" t="s">
        <v>2027</v>
      </c>
      <c r="C3" s="11" t="s">
        <v>5006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5007</v>
      </c>
      <c r="B4" s="11" t="s">
        <v>5008</v>
      </c>
      <c r="C4" s="11" t="s">
        <v>5009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5010</v>
      </c>
      <c r="B5" s="11" t="s">
        <v>2018</v>
      </c>
      <c r="C5" s="11" t="s">
        <v>5011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5012</v>
      </c>
      <c r="B6" s="11" t="s">
        <v>5013</v>
      </c>
      <c r="C6" s="11" t="s">
        <v>5014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5015</v>
      </c>
      <c r="B7" s="11" t="s">
        <v>5016</v>
      </c>
      <c r="C7" s="11" t="s">
        <v>5017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5018</v>
      </c>
      <c r="B8" s="11" t="s">
        <v>5019</v>
      </c>
      <c r="C8" s="11" t="s">
        <v>793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</sheetData>
  <autoFilter ref="A1:N8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08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9" min="5" style="0" width="14"/>
    <col collapsed="false" customWidth="true" hidden="false" outlineLevel="0" max="10" min="10" style="0" width="40"/>
    <col collapsed="false" customWidth="true" hidden="false" outlineLevel="0" max="11" min="11" style="0" width="17"/>
    <col collapsed="false" customWidth="true" hidden="false" outlineLevel="0" max="13" min="12" style="0" width="14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13" t="s">
        <v>509</v>
      </c>
      <c r="B1" s="13" t="s">
        <v>315</v>
      </c>
      <c r="C1" s="13" t="s">
        <v>264</v>
      </c>
      <c r="D1" s="14" t="s">
        <v>319</v>
      </c>
      <c r="E1" s="13" t="s">
        <v>285</v>
      </c>
      <c r="F1" s="15" t="s">
        <v>292</v>
      </c>
      <c r="G1" s="15" t="s">
        <v>295</v>
      </c>
      <c r="H1" s="15" t="s">
        <v>298</v>
      </c>
      <c r="I1" s="15" t="s">
        <v>300</v>
      </c>
      <c r="J1" s="15" t="s">
        <v>302</v>
      </c>
      <c r="K1" s="15" t="s">
        <v>305</v>
      </c>
      <c r="L1" s="15" t="s">
        <v>307</v>
      </c>
      <c r="M1" s="15" t="s">
        <v>310</v>
      </c>
      <c r="N1" s="15" t="s">
        <v>312</v>
      </c>
    </row>
    <row r="2" customFormat="false" ht="15" hidden="false" customHeight="false" outlineLevel="0" collapsed="false">
      <c r="A2" s="2" t="s">
        <v>5020</v>
      </c>
      <c r="B2" s="11" t="s">
        <v>2019</v>
      </c>
      <c r="C2" s="11" t="s">
        <v>2873</v>
      </c>
      <c r="E2" s="11" t="n">
        <v>1</v>
      </c>
      <c r="F2" s="11" t="s">
        <v>985</v>
      </c>
      <c r="G2" s="11" t="s">
        <v>986</v>
      </c>
      <c r="H2" s="11" t="s">
        <v>985</v>
      </c>
      <c r="I2" s="11" t="s">
        <v>986</v>
      </c>
      <c r="J2" s="11" t="s">
        <v>766</v>
      </c>
      <c r="K2" s="11" t="n">
        <v>1</v>
      </c>
    </row>
    <row r="3" customFormat="false" ht="15" hidden="false" customHeight="false" outlineLevel="0" collapsed="false">
      <c r="A3" s="2" t="s">
        <v>5021</v>
      </c>
      <c r="B3" s="11" t="s">
        <v>2057</v>
      </c>
      <c r="C3" s="11" t="s">
        <v>5022</v>
      </c>
      <c r="E3" s="11" t="n">
        <v>2</v>
      </c>
      <c r="F3" s="11" t="s">
        <v>985</v>
      </c>
      <c r="G3" s="11" t="s">
        <v>986</v>
      </c>
      <c r="H3" s="11" t="s">
        <v>985</v>
      </c>
      <c r="I3" s="11" t="s">
        <v>986</v>
      </c>
      <c r="J3" s="11" t="s">
        <v>766</v>
      </c>
      <c r="K3" s="11" t="n">
        <v>1</v>
      </c>
    </row>
    <row r="4" customFormat="false" ht="15" hidden="false" customHeight="false" outlineLevel="0" collapsed="false">
      <c r="A4" s="2" t="s">
        <v>5023</v>
      </c>
      <c r="B4" s="11" t="s">
        <v>2162</v>
      </c>
      <c r="C4" s="11" t="s">
        <v>4923</v>
      </c>
      <c r="E4" s="11" t="n">
        <v>3</v>
      </c>
      <c r="F4" s="11" t="s">
        <v>985</v>
      </c>
      <c r="G4" s="11" t="s">
        <v>986</v>
      </c>
      <c r="H4" s="11" t="s">
        <v>985</v>
      </c>
      <c r="I4" s="11" t="s">
        <v>986</v>
      </c>
      <c r="J4" s="11" t="s">
        <v>766</v>
      </c>
      <c r="K4" s="11" t="n">
        <v>1</v>
      </c>
    </row>
    <row r="5" customFormat="false" ht="15" hidden="false" customHeight="false" outlineLevel="0" collapsed="false">
      <c r="A5" s="2" t="s">
        <v>5024</v>
      </c>
      <c r="B5" s="11" t="s">
        <v>5025</v>
      </c>
      <c r="C5" s="11" t="s">
        <v>5026</v>
      </c>
      <c r="E5" s="11" t="n">
        <v>4</v>
      </c>
      <c r="F5" s="11" t="s">
        <v>985</v>
      </c>
      <c r="G5" s="11" t="s">
        <v>986</v>
      </c>
      <c r="H5" s="11" t="s">
        <v>985</v>
      </c>
      <c r="I5" s="11" t="s">
        <v>986</v>
      </c>
      <c r="J5" s="11" t="s">
        <v>766</v>
      </c>
      <c r="K5" s="11" t="n">
        <v>1</v>
      </c>
    </row>
    <row r="6" customFormat="false" ht="15" hidden="false" customHeight="false" outlineLevel="0" collapsed="false">
      <c r="A6" s="2" t="s">
        <v>5027</v>
      </c>
      <c r="B6" s="11" t="s">
        <v>5028</v>
      </c>
      <c r="C6" s="11" t="s">
        <v>5029</v>
      </c>
      <c r="E6" s="11" t="n">
        <v>5</v>
      </c>
      <c r="F6" s="11" t="s">
        <v>985</v>
      </c>
      <c r="G6" s="11" t="s">
        <v>986</v>
      </c>
      <c r="H6" s="11" t="s">
        <v>985</v>
      </c>
      <c r="I6" s="11" t="s">
        <v>986</v>
      </c>
      <c r="J6" s="11" t="s">
        <v>766</v>
      </c>
      <c r="K6" s="11" t="n">
        <v>1</v>
      </c>
    </row>
    <row r="7" customFormat="false" ht="15" hidden="false" customHeight="false" outlineLevel="0" collapsed="false">
      <c r="A7" s="2" t="s">
        <v>5030</v>
      </c>
      <c r="B7" s="11" t="s">
        <v>5031</v>
      </c>
      <c r="C7" s="11" t="s">
        <v>5032</v>
      </c>
      <c r="E7" s="11" t="n">
        <v>6</v>
      </c>
      <c r="F7" s="11" t="s">
        <v>985</v>
      </c>
      <c r="G7" s="11" t="s">
        <v>986</v>
      </c>
      <c r="H7" s="11" t="s">
        <v>985</v>
      </c>
      <c r="I7" s="11" t="s">
        <v>986</v>
      </c>
      <c r="J7" s="11" t="s">
        <v>766</v>
      </c>
      <c r="K7" s="11" t="n">
        <v>1</v>
      </c>
    </row>
    <row r="8" customFormat="false" ht="15" hidden="false" customHeight="false" outlineLevel="0" collapsed="false">
      <c r="A8" s="2" t="s">
        <v>5033</v>
      </c>
      <c r="B8" s="11" t="s">
        <v>5034</v>
      </c>
      <c r="C8" s="11" t="s">
        <v>5035</v>
      </c>
      <c r="E8" s="11" t="n">
        <v>7</v>
      </c>
      <c r="F8" s="11" t="s">
        <v>985</v>
      </c>
      <c r="G8" s="11" t="s">
        <v>986</v>
      </c>
      <c r="H8" s="11" t="s">
        <v>985</v>
      </c>
      <c r="I8" s="11" t="s">
        <v>986</v>
      </c>
      <c r="J8" s="11" t="s">
        <v>766</v>
      </c>
      <c r="K8" s="11" t="n">
        <v>1</v>
      </c>
    </row>
    <row r="9" customFormat="false" ht="15" hidden="false" customHeight="false" outlineLevel="0" collapsed="false">
      <c r="A9" s="2" t="s">
        <v>5036</v>
      </c>
      <c r="B9" s="11" t="s">
        <v>5037</v>
      </c>
      <c r="C9" s="11" t="s">
        <v>793</v>
      </c>
      <c r="E9" s="11" t="n">
        <v>8</v>
      </c>
      <c r="F9" s="11" t="s">
        <v>985</v>
      </c>
      <c r="G9" s="11" t="s">
        <v>986</v>
      </c>
      <c r="H9" s="11" t="s">
        <v>985</v>
      </c>
      <c r="I9" s="11" t="s">
        <v>986</v>
      </c>
      <c r="J9" s="11" t="s">
        <v>766</v>
      </c>
      <c r="K9" s="11" t="n">
        <v>1</v>
      </c>
    </row>
  </sheetData>
  <autoFilter ref="A1:N9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J2:J1009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5" min="5" style="0" width="40"/>
    <col collapsed="false" customWidth="true" hidden="false" outlineLevel="0" max="7" min="6" style="0" width="17"/>
    <col collapsed="false" customWidth="true" hidden="false" outlineLevel="0" max="8" min="8" style="0" width="27"/>
    <col collapsed="false" customWidth="true" hidden="false" outlineLevel="0" max="9" min="9" style="0" width="40"/>
    <col collapsed="false" customWidth="true" hidden="false" outlineLevel="0" max="10" min="10" style="0" width="19"/>
    <col collapsed="false" customWidth="true" hidden="false" outlineLevel="0" max="11" min="11" style="0" width="40"/>
    <col collapsed="false" customWidth="true" hidden="false" outlineLevel="0" max="16" min="12" style="0" width="14"/>
    <col collapsed="false" customWidth="true" hidden="false" outlineLevel="0" max="17" min="17" style="0" width="40"/>
    <col collapsed="false" customWidth="true" hidden="false" outlineLevel="0" max="18" min="18" style="0" width="17"/>
    <col collapsed="false" customWidth="true" hidden="false" outlineLevel="0" max="20" min="19" style="0" width="14"/>
    <col collapsed="false" customWidth="true" hidden="false" outlineLevel="0" max="21" min="21" style="0" width="40"/>
  </cols>
  <sheetData>
    <row r="1" customFormat="false" ht="15" hidden="false" customHeight="false" outlineLevel="0" collapsed="false">
      <c r="A1" s="13" t="s">
        <v>669</v>
      </c>
      <c r="B1" s="13" t="s">
        <v>670</v>
      </c>
      <c r="C1" s="13" t="s">
        <v>671</v>
      </c>
      <c r="D1" s="13" t="s">
        <v>342</v>
      </c>
      <c r="E1" s="13" t="s">
        <v>672</v>
      </c>
      <c r="F1" s="13" t="s">
        <v>674</v>
      </c>
      <c r="G1" s="14" t="s">
        <v>675</v>
      </c>
      <c r="H1" s="14" t="s">
        <v>676</v>
      </c>
      <c r="I1" s="14" t="s">
        <v>677</v>
      </c>
      <c r="J1" s="13" t="s">
        <v>678</v>
      </c>
      <c r="K1" s="14" t="s">
        <v>679</v>
      </c>
      <c r="L1" s="14" t="s">
        <v>537</v>
      </c>
      <c r="M1" s="15" t="s">
        <v>292</v>
      </c>
      <c r="N1" s="15" t="s">
        <v>295</v>
      </c>
      <c r="O1" s="15" t="s">
        <v>298</v>
      </c>
      <c r="P1" s="15" t="s">
        <v>300</v>
      </c>
      <c r="Q1" s="15" t="s">
        <v>302</v>
      </c>
      <c r="R1" s="15" t="s">
        <v>305</v>
      </c>
      <c r="S1" s="15" t="s">
        <v>307</v>
      </c>
      <c r="T1" s="15" t="s">
        <v>310</v>
      </c>
      <c r="U1" s="15" t="s">
        <v>312</v>
      </c>
    </row>
    <row r="2" customFormat="false" ht="15" hidden="false" customHeight="false" outlineLevel="0" collapsed="false">
      <c r="A2" s="2" t="s">
        <v>5038</v>
      </c>
      <c r="B2" s="11" t="s">
        <v>50</v>
      </c>
      <c r="C2" s="11" t="s">
        <v>2007</v>
      </c>
      <c r="D2" s="11" t="s">
        <v>4983</v>
      </c>
      <c r="E2" s="11" t="s">
        <v>763</v>
      </c>
      <c r="F2" s="11" t="s">
        <v>5039</v>
      </c>
      <c r="G2" s="11" t="s">
        <v>5040</v>
      </c>
      <c r="H2" s="11" t="s">
        <v>2759</v>
      </c>
      <c r="I2" s="11" t="s">
        <v>5041</v>
      </c>
      <c r="J2" s="11" t="s">
        <v>272</v>
      </c>
      <c r="M2" s="11" t="s">
        <v>1144</v>
      </c>
      <c r="N2" s="11" t="s">
        <v>1145</v>
      </c>
      <c r="O2" s="11" t="s">
        <v>1144</v>
      </c>
      <c r="P2" s="11" t="s">
        <v>1145</v>
      </c>
      <c r="Q2" s="11" t="s">
        <v>766</v>
      </c>
      <c r="R2" s="11" t="n">
        <v>1</v>
      </c>
      <c r="U2" s="11" t="s">
        <v>27</v>
      </c>
    </row>
    <row r="3" customFormat="false" ht="15" hidden="false" customHeight="false" outlineLevel="0" collapsed="false">
      <c r="A3" s="2" t="s">
        <v>5042</v>
      </c>
      <c r="B3" s="11" t="s">
        <v>50</v>
      </c>
      <c r="C3" s="11" t="s">
        <v>2035</v>
      </c>
      <c r="D3" s="11" t="s">
        <v>4986</v>
      </c>
      <c r="E3" s="11" t="s">
        <v>877</v>
      </c>
      <c r="F3" s="11" t="s">
        <v>5039</v>
      </c>
      <c r="G3" s="11" t="s">
        <v>5040</v>
      </c>
      <c r="H3" s="11" t="s">
        <v>2759</v>
      </c>
      <c r="I3" s="11" t="s">
        <v>5041</v>
      </c>
      <c r="J3" s="11" t="s">
        <v>272</v>
      </c>
      <c r="M3" s="11" t="s">
        <v>1144</v>
      </c>
      <c r="N3" s="11" t="s">
        <v>1145</v>
      </c>
      <c r="O3" s="11" t="s">
        <v>1144</v>
      </c>
      <c r="P3" s="11" t="s">
        <v>1145</v>
      </c>
      <c r="Q3" s="11" t="s">
        <v>766</v>
      </c>
      <c r="R3" s="11" t="n">
        <v>1</v>
      </c>
      <c r="U3" s="11" t="s">
        <v>27</v>
      </c>
    </row>
    <row r="4" customFormat="false" ht="15" hidden="false" customHeight="false" outlineLevel="0" collapsed="false">
      <c r="A4" s="2" t="s">
        <v>5043</v>
      </c>
      <c r="B4" s="11" t="s">
        <v>50</v>
      </c>
      <c r="C4" s="11" t="s">
        <v>2183</v>
      </c>
      <c r="D4" s="11" t="s">
        <v>4989</v>
      </c>
      <c r="E4" s="11" t="s">
        <v>790</v>
      </c>
      <c r="F4" s="11" t="s">
        <v>5039</v>
      </c>
      <c r="G4" s="11" t="s">
        <v>5040</v>
      </c>
      <c r="H4" s="11" t="s">
        <v>2759</v>
      </c>
      <c r="I4" s="11" t="s">
        <v>5041</v>
      </c>
      <c r="J4" s="11" t="s">
        <v>272</v>
      </c>
      <c r="M4" s="11" t="s">
        <v>1144</v>
      </c>
      <c r="N4" s="11" t="s">
        <v>1145</v>
      </c>
      <c r="O4" s="11" t="s">
        <v>1144</v>
      </c>
      <c r="P4" s="11" t="s">
        <v>1145</v>
      </c>
      <c r="Q4" s="11" t="s">
        <v>766</v>
      </c>
      <c r="R4" s="11" t="n">
        <v>1</v>
      </c>
      <c r="U4" s="11" t="s">
        <v>27</v>
      </c>
    </row>
    <row r="5" customFormat="false" ht="15" hidden="false" customHeight="false" outlineLevel="0" collapsed="false">
      <c r="A5" s="2" t="s">
        <v>5044</v>
      </c>
      <c r="B5" s="11" t="s">
        <v>50</v>
      </c>
      <c r="C5" s="11" t="s">
        <v>2282</v>
      </c>
      <c r="D5" s="11" t="s">
        <v>4992</v>
      </c>
      <c r="E5" s="11" t="s">
        <v>853</v>
      </c>
      <c r="F5" s="11" t="s">
        <v>5039</v>
      </c>
      <c r="G5" s="11" t="s">
        <v>5040</v>
      </c>
      <c r="H5" s="11" t="s">
        <v>2759</v>
      </c>
      <c r="I5" s="11" t="s">
        <v>5041</v>
      </c>
      <c r="J5" s="11" t="s">
        <v>272</v>
      </c>
      <c r="M5" s="11" t="s">
        <v>1144</v>
      </c>
      <c r="N5" s="11" t="s">
        <v>1145</v>
      </c>
      <c r="O5" s="11" t="s">
        <v>1144</v>
      </c>
      <c r="P5" s="11" t="s">
        <v>1145</v>
      </c>
      <c r="Q5" s="11" t="s">
        <v>766</v>
      </c>
      <c r="R5" s="11" t="n">
        <v>1</v>
      </c>
      <c r="U5" s="11" t="s">
        <v>27</v>
      </c>
    </row>
    <row r="6" customFormat="false" ht="15" hidden="false" customHeight="false" outlineLevel="0" collapsed="false">
      <c r="A6" s="2" t="s">
        <v>5045</v>
      </c>
      <c r="B6" s="11" t="s">
        <v>34</v>
      </c>
      <c r="C6" s="11" t="s">
        <v>1256</v>
      </c>
      <c r="D6" s="11" t="s">
        <v>4992</v>
      </c>
      <c r="E6" s="11" t="s">
        <v>837</v>
      </c>
      <c r="F6" s="11" t="s">
        <v>5039</v>
      </c>
      <c r="G6" s="11" t="s">
        <v>5040</v>
      </c>
      <c r="H6" s="11" t="s">
        <v>2759</v>
      </c>
      <c r="I6" s="11" t="s">
        <v>5041</v>
      </c>
      <c r="J6" s="11" t="s">
        <v>272</v>
      </c>
      <c r="M6" s="11" t="s">
        <v>1144</v>
      </c>
      <c r="N6" s="11" t="s">
        <v>1145</v>
      </c>
      <c r="O6" s="11" t="s">
        <v>1144</v>
      </c>
      <c r="P6" s="11" t="s">
        <v>1145</v>
      </c>
      <c r="Q6" s="11" t="s">
        <v>766</v>
      </c>
      <c r="R6" s="11" t="n">
        <v>1</v>
      </c>
      <c r="U6" s="11" t="s">
        <v>27</v>
      </c>
    </row>
    <row r="7" customFormat="false" ht="15" hidden="false" customHeight="false" outlineLevel="0" collapsed="false">
      <c r="A7" s="2" t="s">
        <v>5046</v>
      </c>
      <c r="B7" s="11" t="s">
        <v>34</v>
      </c>
      <c r="C7" s="11" t="s">
        <v>1265</v>
      </c>
      <c r="D7" s="11" t="s">
        <v>4986</v>
      </c>
      <c r="E7" s="11" t="s">
        <v>867</v>
      </c>
      <c r="F7" s="11" t="s">
        <v>5039</v>
      </c>
      <c r="G7" s="11" t="s">
        <v>5040</v>
      </c>
      <c r="H7" s="11" t="s">
        <v>2759</v>
      </c>
      <c r="I7" s="11" t="s">
        <v>5041</v>
      </c>
      <c r="J7" s="11" t="s">
        <v>272</v>
      </c>
      <c r="M7" s="11" t="s">
        <v>1144</v>
      </c>
      <c r="N7" s="11" t="s">
        <v>1145</v>
      </c>
      <c r="O7" s="11" t="s">
        <v>1144</v>
      </c>
      <c r="P7" s="11" t="s">
        <v>1145</v>
      </c>
      <c r="Q7" s="11" t="s">
        <v>766</v>
      </c>
      <c r="R7" s="11" t="n">
        <v>1</v>
      </c>
      <c r="U7" s="11" t="s">
        <v>27</v>
      </c>
    </row>
    <row r="8" customFormat="false" ht="15" hidden="false" customHeight="false" outlineLevel="0" collapsed="false">
      <c r="A8" s="2" t="s">
        <v>5047</v>
      </c>
      <c r="B8" s="11" t="s">
        <v>36</v>
      </c>
      <c r="C8" s="11" t="s">
        <v>1353</v>
      </c>
      <c r="D8" s="11" t="s">
        <v>1058</v>
      </c>
      <c r="E8" s="11" t="s">
        <v>815</v>
      </c>
      <c r="F8" s="11" t="s">
        <v>5039</v>
      </c>
      <c r="G8" s="11" t="s">
        <v>5040</v>
      </c>
      <c r="H8" s="11" t="s">
        <v>2759</v>
      </c>
      <c r="I8" s="11" t="s">
        <v>5041</v>
      </c>
      <c r="J8" s="11" t="s">
        <v>272</v>
      </c>
      <c r="M8" s="11" t="s">
        <v>1144</v>
      </c>
      <c r="N8" s="11" t="s">
        <v>1145</v>
      </c>
      <c r="O8" s="11" t="s">
        <v>1144</v>
      </c>
      <c r="P8" s="11" t="s">
        <v>1145</v>
      </c>
      <c r="Q8" s="11" t="s">
        <v>766</v>
      </c>
      <c r="R8" s="11" t="n">
        <v>1</v>
      </c>
      <c r="U8" s="11" t="s">
        <v>27</v>
      </c>
    </row>
    <row r="9" customFormat="false" ht="15" hidden="false" customHeight="false" outlineLevel="0" collapsed="false">
      <c r="A9" s="2" t="s">
        <v>5048</v>
      </c>
      <c r="B9" s="11" t="s">
        <v>32</v>
      </c>
      <c r="C9" s="11" t="s">
        <v>1113</v>
      </c>
      <c r="D9" s="11" t="s">
        <v>4995</v>
      </c>
      <c r="E9" s="11" t="s">
        <v>867</v>
      </c>
      <c r="F9" s="11" t="s">
        <v>5039</v>
      </c>
      <c r="G9" s="11" t="s">
        <v>5040</v>
      </c>
      <c r="H9" s="11" t="s">
        <v>2759</v>
      </c>
      <c r="I9" s="11" t="s">
        <v>5041</v>
      </c>
      <c r="J9" s="11" t="s">
        <v>272</v>
      </c>
      <c r="M9" s="11" t="s">
        <v>1144</v>
      </c>
      <c r="N9" s="11" t="s">
        <v>1145</v>
      </c>
      <c r="O9" s="11" t="s">
        <v>1144</v>
      </c>
      <c r="P9" s="11" t="s">
        <v>1145</v>
      </c>
      <c r="Q9" s="11" t="s">
        <v>766</v>
      </c>
      <c r="R9" s="11" t="n">
        <v>1</v>
      </c>
      <c r="U9" s="11" t="s">
        <v>27</v>
      </c>
    </row>
  </sheetData>
  <autoFilter ref="A1:U9"/>
  <dataValidations count="6">
    <dataValidation allowBlank="true" error="Kies een waarde uit de lijst of voeg haar eerst toe aan de bronlijst." errorStyle="stop" errorTitle="Onbekende waarde" operator="between" showDropDown="false" showErrorMessage="true" showInputMessage="false" sqref="D2:D1009" type="list">
      <formula1>validation_status!$B$2:$B$2000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09" type="list">
      <formula1>Keuzelijsten!$Y$5:$Y$60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H2:H1009" type="list">
      <formula1>organisatie!$B$2:$B$2000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09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L2:L1009" type="list">
      <formula1>bron!$B$2:$B$2000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09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8" min="6" style="0" width="40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3" t="s">
        <v>680</v>
      </c>
      <c r="B1" s="13" t="s">
        <v>670</v>
      </c>
      <c r="C1" s="13" t="s">
        <v>671</v>
      </c>
      <c r="D1" s="13" t="s">
        <v>681</v>
      </c>
      <c r="E1" s="14" t="s">
        <v>682</v>
      </c>
      <c r="F1" s="14" t="s">
        <v>683</v>
      </c>
      <c r="G1" s="14" t="s">
        <v>684</v>
      </c>
      <c r="H1" s="13" t="s">
        <v>685</v>
      </c>
      <c r="I1" s="13" t="s">
        <v>686</v>
      </c>
      <c r="J1" s="13" t="s">
        <v>687</v>
      </c>
      <c r="K1" s="14" t="s">
        <v>537</v>
      </c>
    </row>
    <row r="2" customFormat="false" ht="15" hidden="false" customHeight="false" outlineLevel="0" collapsed="false">
      <c r="A2" s="2" t="s">
        <v>5049</v>
      </c>
      <c r="B2" s="11" t="s">
        <v>50</v>
      </c>
      <c r="C2" s="11" t="s">
        <v>2007</v>
      </c>
      <c r="D2" s="11" t="s">
        <v>5050</v>
      </c>
      <c r="E2" s="11" t="s">
        <v>509</v>
      </c>
      <c r="F2" s="11" t="s">
        <v>5022</v>
      </c>
      <c r="G2" s="11" t="s">
        <v>2873</v>
      </c>
      <c r="H2" s="11" t="s">
        <v>5051</v>
      </c>
      <c r="I2" s="11" t="s">
        <v>5052</v>
      </c>
      <c r="J2" s="11" t="s">
        <v>5053</v>
      </c>
    </row>
    <row r="3" customFormat="false" ht="15" hidden="false" customHeight="false" outlineLevel="0" collapsed="false">
      <c r="A3" s="2" t="s">
        <v>5054</v>
      </c>
      <c r="B3" s="11" t="s">
        <v>50</v>
      </c>
      <c r="C3" s="11" t="s">
        <v>2035</v>
      </c>
      <c r="D3" s="11" t="s">
        <v>5050</v>
      </c>
      <c r="E3" s="11" t="s">
        <v>512</v>
      </c>
      <c r="F3" s="11" t="s">
        <v>776</v>
      </c>
      <c r="G3" s="11" t="s">
        <v>750</v>
      </c>
      <c r="H3" s="11" t="s">
        <v>5055</v>
      </c>
      <c r="I3" s="11" t="s">
        <v>5056</v>
      </c>
      <c r="J3" s="11" t="s">
        <v>5053</v>
      </c>
    </row>
    <row r="4" customFormat="false" ht="15" hidden="false" customHeight="false" outlineLevel="0" collapsed="false">
      <c r="A4" s="2" t="s">
        <v>5057</v>
      </c>
      <c r="B4" s="11" t="s">
        <v>50</v>
      </c>
      <c r="C4" s="11" t="s">
        <v>2259</v>
      </c>
      <c r="D4" s="11" t="s">
        <v>5050</v>
      </c>
      <c r="E4" s="11" t="s">
        <v>509</v>
      </c>
      <c r="F4" s="11" t="s">
        <v>2873</v>
      </c>
      <c r="G4" s="11" t="s">
        <v>5035</v>
      </c>
      <c r="H4" s="11" t="s">
        <v>5058</v>
      </c>
      <c r="I4" s="11" t="s">
        <v>5059</v>
      </c>
      <c r="J4" s="11" t="s">
        <v>5053</v>
      </c>
    </row>
    <row r="5" customFormat="false" ht="15" hidden="false" customHeight="false" outlineLevel="0" collapsed="false">
      <c r="A5" s="2" t="s">
        <v>5060</v>
      </c>
      <c r="B5" s="11" t="s">
        <v>50</v>
      </c>
      <c r="C5" s="11" t="s">
        <v>2513</v>
      </c>
      <c r="D5" s="11" t="s">
        <v>5050</v>
      </c>
      <c r="E5" s="11" t="s">
        <v>506</v>
      </c>
      <c r="F5" s="11" t="s">
        <v>5004</v>
      </c>
      <c r="G5" s="11" t="s">
        <v>5006</v>
      </c>
      <c r="H5" s="11" t="s">
        <v>5061</v>
      </c>
      <c r="I5" s="11" t="s">
        <v>5062</v>
      </c>
      <c r="J5" s="11" t="s">
        <v>5053</v>
      </c>
    </row>
    <row r="6" customFormat="false" ht="15" hidden="false" customHeight="false" outlineLevel="0" collapsed="false">
      <c r="A6" s="2" t="s">
        <v>5063</v>
      </c>
      <c r="B6" s="11" t="s">
        <v>50</v>
      </c>
      <c r="C6" s="11" t="s">
        <v>2183</v>
      </c>
      <c r="D6" s="11" t="s">
        <v>5050</v>
      </c>
      <c r="E6" s="11" t="s">
        <v>543</v>
      </c>
      <c r="F6" s="11" t="s">
        <v>5064</v>
      </c>
      <c r="G6" s="11" t="s">
        <v>5065</v>
      </c>
      <c r="H6" s="11" t="s">
        <v>5066</v>
      </c>
      <c r="I6" s="11" t="s">
        <v>5067</v>
      </c>
      <c r="J6" s="11" t="s">
        <v>5053</v>
      </c>
    </row>
    <row r="7" customFormat="false" ht="15" hidden="false" customHeight="false" outlineLevel="0" collapsed="false">
      <c r="A7" s="2" t="s">
        <v>5068</v>
      </c>
      <c r="B7" s="11" t="s">
        <v>50</v>
      </c>
      <c r="C7" s="11" t="s">
        <v>2358</v>
      </c>
      <c r="D7" s="11" t="s">
        <v>5050</v>
      </c>
      <c r="E7" s="11" t="s">
        <v>626</v>
      </c>
      <c r="F7" s="11" t="s">
        <v>5069</v>
      </c>
      <c r="G7" s="11" t="s">
        <v>4551</v>
      </c>
      <c r="H7" s="11" t="s">
        <v>5070</v>
      </c>
      <c r="I7" s="11" t="s">
        <v>5071</v>
      </c>
      <c r="J7" s="11" t="s">
        <v>5053</v>
      </c>
    </row>
  </sheetData>
  <autoFilter ref="A1:K7"/>
  <dataValidations count="1">
    <dataValidation allowBlank="true" error="Kies een waarde uit de lijst of voeg haar eerst toe aan de bronlijst." errorStyle="stop" errorTitle="Onbekende waarde" operator="between" showDropDown="false" showErrorMessage="true" showInputMessage="false" sqref="K2:K1007" type="list">
      <formula1>bron!$B$2:$B$2000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3"/>
    <col collapsed="false" customWidth="true" hidden="false" outlineLevel="0" max="6" min="6" style="0" width="27"/>
    <col collapsed="false" customWidth="true" hidden="false" outlineLevel="0" max="7" min="7" style="0" width="32"/>
    <col collapsed="false" customWidth="true" hidden="false" outlineLevel="0" max="8" min="8" style="0" width="22"/>
    <col collapsed="false" customWidth="true" hidden="false" outlineLevel="0" max="10" min="9" style="0" width="40"/>
    <col collapsed="false" customWidth="true" hidden="false" outlineLevel="0" max="14" min="11" style="0" width="14"/>
    <col collapsed="false" customWidth="true" hidden="false" outlineLevel="0" max="15" min="15" style="0" width="40"/>
    <col collapsed="false" customWidth="true" hidden="false" outlineLevel="0" max="16" min="16" style="0" width="17"/>
    <col collapsed="false" customWidth="true" hidden="false" outlineLevel="0" max="18" min="17" style="0" width="14"/>
    <col collapsed="false" customWidth="true" hidden="false" outlineLevel="0" max="19" min="19" style="0" width="40"/>
  </cols>
  <sheetData>
    <row r="1" customFormat="false" ht="15" hidden="false" customHeight="false" outlineLevel="0" collapsed="false">
      <c r="A1" s="13" t="s">
        <v>688</v>
      </c>
      <c r="B1" s="13" t="s">
        <v>670</v>
      </c>
      <c r="C1" s="13" t="s">
        <v>671</v>
      </c>
      <c r="D1" s="14" t="s">
        <v>631</v>
      </c>
      <c r="E1" s="13" t="s">
        <v>689</v>
      </c>
      <c r="F1" s="14" t="s">
        <v>690</v>
      </c>
      <c r="G1" s="14" t="s">
        <v>691</v>
      </c>
      <c r="H1" s="14" t="s">
        <v>692</v>
      </c>
      <c r="I1" s="14" t="s">
        <v>693</v>
      </c>
      <c r="J1" s="13" t="s">
        <v>662</v>
      </c>
      <c r="K1" s="15" t="s">
        <v>292</v>
      </c>
      <c r="L1" s="15" t="s">
        <v>295</v>
      </c>
      <c r="M1" s="15" t="s">
        <v>298</v>
      </c>
      <c r="N1" s="15" t="s">
        <v>300</v>
      </c>
      <c r="O1" s="15" t="s">
        <v>302</v>
      </c>
      <c r="P1" s="15" t="s">
        <v>305</v>
      </c>
      <c r="Q1" s="15" t="s">
        <v>307</v>
      </c>
      <c r="R1" s="15" t="s">
        <v>310</v>
      </c>
      <c r="S1" s="15" t="s">
        <v>312</v>
      </c>
    </row>
    <row r="2" customFormat="false" ht="15" hidden="false" customHeight="false" outlineLevel="0" collapsed="false">
      <c r="A2" s="2" t="s">
        <v>5072</v>
      </c>
      <c r="B2" s="11" t="s">
        <v>50</v>
      </c>
      <c r="C2" s="11" t="s">
        <v>2007</v>
      </c>
      <c r="D2" s="11" t="s">
        <v>2871</v>
      </c>
      <c r="E2" s="11" t="s">
        <v>4955</v>
      </c>
      <c r="F2" s="11" t="n">
        <v>3</v>
      </c>
      <c r="G2" s="11" t="s">
        <v>2759</v>
      </c>
      <c r="H2" s="11" t="s">
        <v>5073</v>
      </c>
      <c r="I2" s="11" t="s">
        <v>5074</v>
      </c>
      <c r="J2" s="11" t="s">
        <v>5075</v>
      </c>
      <c r="K2" s="11" t="s">
        <v>1144</v>
      </c>
      <c r="L2" s="11" t="s">
        <v>1145</v>
      </c>
      <c r="M2" s="11" t="s">
        <v>1144</v>
      </c>
      <c r="N2" s="11" t="s">
        <v>1145</v>
      </c>
      <c r="O2" s="11" t="s">
        <v>766</v>
      </c>
      <c r="P2" s="11" t="n">
        <v>1</v>
      </c>
      <c r="S2" s="11" t="s">
        <v>27</v>
      </c>
    </row>
    <row r="3" customFormat="false" ht="15" hidden="false" customHeight="false" outlineLevel="0" collapsed="false">
      <c r="A3" s="2" t="s">
        <v>5076</v>
      </c>
      <c r="B3" s="11" t="s">
        <v>50</v>
      </c>
      <c r="C3" s="11" t="s">
        <v>2022</v>
      </c>
      <c r="D3" s="11" t="s">
        <v>2871</v>
      </c>
      <c r="E3" s="11" t="s">
        <v>4955</v>
      </c>
      <c r="F3" s="11" t="n">
        <v>3</v>
      </c>
      <c r="G3" s="11" t="s">
        <v>2759</v>
      </c>
      <c r="H3" s="11" t="s">
        <v>5073</v>
      </c>
      <c r="I3" s="11" t="s">
        <v>5074</v>
      </c>
      <c r="J3" s="11" t="s">
        <v>5075</v>
      </c>
      <c r="K3" s="11" t="s">
        <v>1144</v>
      </c>
      <c r="L3" s="11" t="s">
        <v>1145</v>
      </c>
      <c r="M3" s="11" t="s">
        <v>1144</v>
      </c>
      <c r="N3" s="11" t="s">
        <v>1145</v>
      </c>
      <c r="O3" s="11" t="s">
        <v>766</v>
      </c>
      <c r="P3" s="11" t="n">
        <v>1</v>
      </c>
      <c r="S3" s="11" t="s">
        <v>27</v>
      </c>
    </row>
    <row r="4" customFormat="false" ht="15" hidden="false" customHeight="false" outlineLevel="0" collapsed="false">
      <c r="A4" s="2" t="s">
        <v>5077</v>
      </c>
      <c r="B4" s="11" t="s">
        <v>50</v>
      </c>
      <c r="C4" s="11" t="s">
        <v>2029</v>
      </c>
      <c r="D4" s="11" t="s">
        <v>2871</v>
      </c>
      <c r="E4" s="11" t="s">
        <v>4924</v>
      </c>
      <c r="F4" s="11" t="n">
        <v>3</v>
      </c>
      <c r="G4" s="11" t="s">
        <v>2759</v>
      </c>
      <c r="H4" s="11" t="s">
        <v>5073</v>
      </c>
      <c r="I4" s="11" t="s">
        <v>5074</v>
      </c>
      <c r="J4" s="11" t="s">
        <v>5075</v>
      </c>
      <c r="K4" s="11" t="s">
        <v>1144</v>
      </c>
      <c r="L4" s="11" t="s">
        <v>1145</v>
      </c>
      <c r="M4" s="11" t="s">
        <v>1144</v>
      </c>
      <c r="N4" s="11" t="s">
        <v>1145</v>
      </c>
      <c r="O4" s="11" t="s">
        <v>766</v>
      </c>
      <c r="P4" s="11" t="n">
        <v>1</v>
      </c>
      <c r="S4" s="11" t="s">
        <v>27</v>
      </c>
    </row>
    <row r="5" customFormat="false" ht="15" hidden="false" customHeight="false" outlineLevel="0" collapsed="false">
      <c r="A5" s="2" t="s">
        <v>5078</v>
      </c>
      <c r="B5" s="11" t="s">
        <v>50</v>
      </c>
      <c r="C5" s="11" t="s">
        <v>2074</v>
      </c>
      <c r="D5" s="11" t="s">
        <v>2871</v>
      </c>
      <c r="E5" s="11" t="s">
        <v>4943</v>
      </c>
      <c r="F5" s="11" t="n">
        <v>6</v>
      </c>
      <c r="G5" s="11" t="s">
        <v>2759</v>
      </c>
      <c r="H5" s="11" t="s">
        <v>5073</v>
      </c>
      <c r="I5" s="11" t="s">
        <v>5074</v>
      </c>
      <c r="J5" s="11" t="s">
        <v>5075</v>
      </c>
      <c r="K5" s="11" t="s">
        <v>1144</v>
      </c>
      <c r="L5" s="11" t="s">
        <v>1145</v>
      </c>
      <c r="M5" s="11" t="s">
        <v>1144</v>
      </c>
      <c r="N5" s="11" t="s">
        <v>1145</v>
      </c>
      <c r="O5" s="11" t="s">
        <v>766</v>
      </c>
      <c r="P5" s="11" t="n">
        <v>1</v>
      </c>
      <c r="S5" s="11" t="s">
        <v>27</v>
      </c>
    </row>
    <row r="6" customFormat="false" ht="15" hidden="false" customHeight="false" outlineLevel="0" collapsed="false">
      <c r="A6" s="2" t="s">
        <v>5079</v>
      </c>
      <c r="B6" s="11" t="s">
        <v>50</v>
      </c>
      <c r="C6" s="11" t="s">
        <v>2229</v>
      </c>
      <c r="D6" s="11" t="s">
        <v>2871</v>
      </c>
      <c r="E6" s="11" t="s">
        <v>4943</v>
      </c>
      <c r="F6" s="11" t="n">
        <v>6</v>
      </c>
      <c r="G6" s="11" t="s">
        <v>2759</v>
      </c>
      <c r="H6" s="11" t="s">
        <v>5073</v>
      </c>
      <c r="I6" s="11" t="s">
        <v>5074</v>
      </c>
      <c r="J6" s="11" t="s">
        <v>5075</v>
      </c>
      <c r="K6" s="11" t="s">
        <v>1144</v>
      </c>
      <c r="L6" s="11" t="s">
        <v>1145</v>
      </c>
      <c r="M6" s="11" t="s">
        <v>1144</v>
      </c>
      <c r="N6" s="11" t="s">
        <v>1145</v>
      </c>
      <c r="O6" s="11" t="s">
        <v>766</v>
      </c>
      <c r="P6" s="11" t="n">
        <v>1</v>
      </c>
      <c r="S6" s="11" t="s">
        <v>27</v>
      </c>
    </row>
    <row r="7" customFormat="false" ht="15" hidden="false" customHeight="false" outlineLevel="0" collapsed="false">
      <c r="A7" s="2" t="s">
        <v>5080</v>
      </c>
      <c r="B7" s="11" t="s">
        <v>50</v>
      </c>
      <c r="C7" s="11" t="s">
        <v>2235</v>
      </c>
      <c r="D7" s="11" t="s">
        <v>2871</v>
      </c>
      <c r="E7" s="11" t="s">
        <v>5081</v>
      </c>
      <c r="F7" s="11" t="n">
        <v>6</v>
      </c>
      <c r="G7" s="11" t="s">
        <v>2759</v>
      </c>
      <c r="H7" s="11" t="s">
        <v>5073</v>
      </c>
      <c r="I7" s="11" t="s">
        <v>5074</v>
      </c>
      <c r="J7" s="11" t="s">
        <v>5075</v>
      </c>
      <c r="K7" s="11" t="s">
        <v>1144</v>
      </c>
      <c r="L7" s="11" t="s">
        <v>1145</v>
      </c>
      <c r="M7" s="11" t="s">
        <v>1144</v>
      </c>
      <c r="N7" s="11" t="s">
        <v>1145</v>
      </c>
      <c r="O7" s="11" t="s">
        <v>766</v>
      </c>
      <c r="P7" s="11" t="n">
        <v>1</v>
      </c>
      <c r="S7" s="11" t="s">
        <v>27</v>
      </c>
    </row>
    <row r="8" customFormat="false" ht="15" hidden="false" customHeight="false" outlineLevel="0" collapsed="false">
      <c r="A8" s="2" t="s">
        <v>5082</v>
      </c>
      <c r="B8" s="11" t="s">
        <v>50</v>
      </c>
      <c r="C8" s="11" t="s">
        <v>2310</v>
      </c>
      <c r="D8" s="11" t="s">
        <v>2871</v>
      </c>
      <c r="E8" s="11" t="s">
        <v>5083</v>
      </c>
      <c r="F8" s="11" t="n">
        <v>12</v>
      </c>
      <c r="G8" s="11" t="s">
        <v>2759</v>
      </c>
      <c r="H8" s="11" t="s">
        <v>5073</v>
      </c>
      <c r="I8" s="11" t="s">
        <v>5074</v>
      </c>
      <c r="J8" s="11" t="s">
        <v>5075</v>
      </c>
      <c r="K8" s="11" t="s">
        <v>1144</v>
      </c>
      <c r="L8" s="11" t="s">
        <v>1145</v>
      </c>
      <c r="M8" s="11" t="s">
        <v>1144</v>
      </c>
      <c r="N8" s="11" t="s">
        <v>1145</v>
      </c>
      <c r="O8" s="11" t="s">
        <v>766</v>
      </c>
      <c r="P8" s="11" t="n">
        <v>1</v>
      </c>
      <c r="S8" s="11" t="s">
        <v>27</v>
      </c>
    </row>
    <row r="9" customFormat="false" ht="15" hidden="false" customHeight="false" outlineLevel="0" collapsed="false">
      <c r="A9" s="2" t="s">
        <v>5084</v>
      </c>
      <c r="B9" s="11" t="s">
        <v>50</v>
      </c>
      <c r="C9" s="11" t="s">
        <v>2358</v>
      </c>
      <c r="D9" s="11" t="s">
        <v>2871</v>
      </c>
      <c r="E9" s="11" t="s">
        <v>5085</v>
      </c>
      <c r="F9" s="11" t="n">
        <v>3</v>
      </c>
      <c r="G9" s="11" t="s">
        <v>2759</v>
      </c>
      <c r="H9" s="11" t="s">
        <v>5073</v>
      </c>
      <c r="I9" s="11" t="s">
        <v>5074</v>
      </c>
      <c r="J9" s="11" t="s">
        <v>5075</v>
      </c>
      <c r="K9" s="11" t="s">
        <v>1144</v>
      </c>
      <c r="L9" s="11" t="s">
        <v>1145</v>
      </c>
      <c r="M9" s="11" t="s">
        <v>1144</v>
      </c>
      <c r="N9" s="11" t="s">
        <v>1145</v>
      </c>
      <c r="O9" s="11" t="s">
        <v>766</v>
      </c>
      <c r="P9" s="11" t="n">
        <v>1</v>
      </c>
      <c r="S9" s="11" t="s">
        <v>27</v>
      </c>
    </row>
    <row r="10" customFormat="false" ht="15" hidden="false" customHeight="false" outlineLevel="0" collapsed="false">
      <c r="A10" s="2" t="s">
        <v>5086</v>
      </c>
      <c r="B10" s="11" t="s">
        <v>50</v>
      </c>
      <c r="C10" s="11" t="s">
        <v>2455</v>
      </c>
      <c r="D10" s="11" t="s">
        <v>2871</v>
      </c>
      <c r="E10" s="11" t="s">
        <v>5083</v>
      </c>
      <c r="F10" s="11" t="n">
        <v>12</v>
      </c>
      <c r="G10" s="11" t="s">
        <v>2759</v>
      </c>
      <c r="H10" s="11" t="s">
        <v>5073</v>
      </c>
      <c r="I10" s="11" t="s">
        <v>5074</v>
      </c>
      <c r="J10" s="11" t="s">
        <v>5075</v>
      </c>
      <c r="K10" s="11" t="s">
        <v>1144</v>
      </c>
      <c r="L10" s="11" t="s">
        <v>1145</v>
      </c>
      <c r="M10" s="11" t="s">
        <v>1144</v>
      </c>
      <c r="N10" s="11" t="s">
        <v>1145</v>
      </c>
      <c r="O10" s="11" t="s">
        <v>766</v>
      </c>
      <c r="P10" s="11" t="n">
        <v>1</v>
      </c>
      <c r="S10" s="11" t="s">
        <v>27</v>
      </c>
    </row>
    <row r="11" customFormat="false" ht="15" hidden="false" customHeight="false" outlineLevel="0" collapsed="false">
      <c r="A11" s="2" t="s">
        <v>5087</v>
      </c>
      <c r="B11" s="11" t="s">
        <v>50</v>
      </c>
      <c r="C11" s="11" t="s">
        <v>2472</v>
      </c>
      <c r="D11" s="11" t="s">
        <v>2871</v>
      </c>
      <c r="E11" s="11" t="s">
        <v>5081</v>
      </c>
      <c r="F11" s="11" t="n">
        <v>6</v>
      </c>
      <c r="G11" s="11" t="s">
        <v>2759</v>
      </c>
      <c r="H11" s="11" t="s">
        <v>5073</v>
      </c>
      <c r="I11" s="11" t="s">
        <v>5074</v>
      </c>
      <c r="J11" s="11" t="s">
        <v>5075</v>
      </c>
      <c r="K11" s="11" t="s">
        <v>1144</v>
      </c>
      <c r="L11" s="11" t="s">
        <v>1145</v>
      </c>
      <c r="M11" s="11" t="s">
        <v>1144</v>
      </c>
      <c r="N11" s="11" t="s">
        <v>1145</v>
      </c>
      <c r="O11" s="11" t="s">
        <v>766</v>
      </c>
      <c r="P11" s="11" t="n">
        <v>1</v>
      </c>
      <c r="S11" s="11" t="s">
        <v>27</v>
      </c>
    </row>
  </sheetData>
  <autoFilter ref="A1:S11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G2:G1011" type="list">
      <formula1>organisatie!$B$2:$B$2000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O2:O1011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Z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4" min="13" style="0" width="14"/>
    <col collapsed="false" customWidth="true" hidden="false" outlineLevel="0" max="16" min="15" style="0" width="40"/>
    <col collapsed="false" customWidth="true" hidden="false" outlineLevel="0" max="17" min="17" style="0" width="15"/>
    <col collapsed="false" customWidth="true" hidden="false" outlineLevel="0" max="21" min="18" style="0" width="14"/>
    <col collapsed="false" customWidth="true" hidden="false" outlineLevel="0" max="22" min="22" style="0" width="40"/>
    <col collapsed="false" customWidth="true" hidden="false" outlineLevel="0" max="23" min="23" style="0" width="17"/>
    <col collapsed="false" customWidth="true" hidden="false" outlineLevel="0" max="25" min="24" style="0" width="14"/>
    <col collapsed="false" customWidth="true" hidden="false" outlineLevel="0" max="26" min="26" style="0" width="40"/>
  </cols>
  <sheetData>
    <row r="1" customFormat="false" ht="15" hidden="false" customHeight="false" outlineLevel="0" collapsed="false">
      <c r="A1" s="13" t="s">
        <v>694</v>
      </c>
      <c r="B1" s="13" t="s">
        <v>695</v>
      </c>
      <c r="C1" s="13" t="s">
        <v>696</v>
      </c>
      <c r="D1" s="13" t="s">
        <v>445</v>
      </c>
      <c r="E1" s="13" t="s">
        <v>319</v>
      </c>
      <c r="F1" s="14" t="s">
        <v>322</v>
      </c>
      <c r="G1" s="14" t="s">
        <v>353</v>
      </c>
      <c r="H1" s="14" t="s">
        <v>386</v>
      </c>
      <c r="I1" s="14" t="s">
        <v>418</v>
      </c>
      <c r="J1" s="14" t="s">
        <v>414</v>
      </c>
      <c r="K1" s="14" t="s">
        <v>412</v>
      </c>
      <c r="L1" s="14" t="s">
        <v>698</v>
      </c>
      <c r="M1" s="14" t="s">
        <v>652</v>
      </c>
      <c r="N1" s="14" t="s">
        <v>641</v>
      </c>
      <c r="O1" s="14" t="s">
        <v>448</v>
      </c>
      <c r="P1" s="13" t="s">
        <v>662</v>
      </c>
      <c r="Q1" s="13" t="s">
        <v>458</v>
      </c>
      <c r="R1" s="15" t="s">
        <v>292</v>
      </c>
      <c r="S1" s="15" t="s">
        <v>295</v>
      </c>
      <c r="T1" s="15" t="s">
        <v>298</v>
      </c>
      <c r="U1" s="15" t="s">
        <v>300</v>
      </c>
      <c r="V1" s="15" t="s">
        <v>302</v>
      </c>
      <c r="W1" s="15" t="s">
        <v>305</v>
      </c>
      <c r="X1" s="15" t="s">
        <v>307</v>
      </c>
      <c r="Y1" s="15" t="s">
        <v>310</v>
      </c>
      <c r="Z1" s="15" t="s">
        <v>312</v>
      </c>
    </row>
    <row r="2" customFormat="false" ht="15" hidden="false" customHeight="false" outlineLevel="0" collapsed="false">
      <c r="A2" s="2" t="s">
        <v>5088</v>
      </c>
      <c r="B2" s="11" t="s">
        <v>5089</v>
      </c>
      <c r="C2" s="11" t="s">
        <v>764</v>
      </c>
      <c r="D2" s="11" t="s">
        <v>5090</v>
      </c>
      <c r="E2" s="11" t="s">
        <v>5091</v>
      </c>
      <c r="I2" s="11" t="s">
        <v>1617</v>
      </c>
      <c r="N2" s="11" t="s">
        <v>750</v>
      </c>
      <c r="O2" s="11" t="s">
        <v>5092</v>
      </c>
      <c r="P2" s="11" t="s">
        <v>758</v>
      </c>
      <c r="Q2" s="11" t="s">
        <v>272</v>
      </c>
      <c r="R2" s="11" t="s">
        <v>985</v>
      </c>
      <c r="S2" s="11" t="s">
        <v>2020</v>
      </c>
      <c r="T2" s="11" t="s">
        <v>985</v>
      </c>
      <c r="U2" s="11" t="s">
        <v>2020</v>
      </c>
      <c r="V2" s="11" t="s">
        <v>766</v>
      </c>
      <c r="W2" s="11" t="n">
        <v>1</v>
      </c>
      <c r="Z2" s="11" t="s">
        <v>5093</v>
      </c>
    </row>
    <row r="3" customFormat="false" ht="15" hidden="false" customHeight="false" outlineLevel="0" collapsed="false">
      <c r="A3" s="2" t="s">
        <v>5094</v>
      </c>
      <c r="B3" s="11" t="s">
        <v>5095</v>
      </c>
      <c r="C3" s="11" t="s">
        <v>791</v>
      </c>
      <c r="D3" s="11" t="s">
        <v>5096</v>
      </c>
      <c r="E3" s="11" t="s">
        <v>5097</v>
      </c>
      <c r="K3" s="11" t="s">
        <v>1519</v>
      </c>
      <c r="O3" s="11" t="s">
        <v>5098</v>
      </c>
      <c r="P3" s="11" t="s">
        <v>758</v>
      </c>
      <c r="Q3" s="11" t="s">
        <v>272</v>
      </c>
      <c r="R3" s="11" t="s">
        <v>985</v>
      </c>
      <c r="S3" s="11" t="s">
        <v>2020</v>
      </c>
      <c r="T3" s="11" t="s">
        <v>985</v>
      </c>
      <c r="U3" s="11" t="s">
        <v>2020</v>
      </c>
      <c r="V3" s="11" t="s">
        <v>766</v>
      </c>
      <c r="W3" s="11" t="n">
        <v>1</v>
      </c>
      <c r="Z3" s="11" t="s">
        <v>5099</v>
      </c>
    </row>
    <row r="4" customFormat="false" ht="15" hidden="false" customHeight="false" outlineLevel="0" collapsed="false">
      <c r="A4" s="2" t="s">
        <v>5100</v>
      </c>
      <c r="B4" s="11" t="s">
        <v>5101</v>
      </c>
      <c r="C4" s="11" t="s">
        <v>854</v>
      </c>
      <c r="D4" s="11" t="s">
        <v>5102</v>
      </c>
      <c r="E4" s="11" t="s">
        <v>5103</v>
      </c>
      <c r="O4" s="11" t="s">
        <v>5104</v>
      </c>
      <c r="P4" s="11" t="s">
        <v>758</v>
      </c>
      <c r="Q4" s="11" t="s">
        <v>272</v>
      </c>
      <c r="R4" s="11" t="s">
        <v>985</v>
      </c>
      <c r="S4" s="11" t="s">
        <v>2020</v>
      </c>
      <c r="T4" s="11" t="s">
        <v>985</v>
      </c>
      <c r="U4" s="11" t="s">
        <v>2020</v>
      </c>
      <c r="V4" s="11" t="s">
        <v>766</v>
      </c>
      <c r="W4" s="11" t="n">
        <v>1</v>
      </c>
      <c r="Z4" s="11" t="s">
        <v>5105</v>
      </c>
    </row>
    <row r="5" customFormat="false" ht="15" hidden="false" customHeight="false" outlineLevel="0" collapsed="false">
      <c r="A5" s="2" t="s">
        <v>5106</v>
      </c>
      <c r="B5" s="11" t="s">
        <v>5107</v>
      </c>
      <c r="C5" s="11" t="s">
        <v>902</v>
      </c>
      <c r="D5" s="11" t="s">
        <v>5108</v>
      </c>
      <c r="E5" s="11" t="s">
        <v>5109</v>
      </c>
      <c r="H5" s="11" t="s">
        <v>1354</v>
      </c>
      <c r="I5" s="11" t="s">
        <v>1651</v>
      </c>
      <c r="O5" s="11" t="s">
        <v>5110</v>
      </c>
      <c r="P5" s="11" t="s">
        <v>758</v>
      </c>
      <c r="Q5" s="11" t="s">
        <v>272</v>
      </c>
      <c r="R5" s="11" t="s">
        <v>985</v>
      </c>
      <c r="S5" s="11" t="s">
        <v>2020</v>
      </c>
      <c r="T5" s="11" t="s">
        <v>985</v>
      </c>
      <c r="U5" s="11" t="s">
        <v>2020</v>
      </c>
      <c r="V5" s="11" t="s">
        <v>766</v>
      </c>
      <c r="W5" s="11" t="n">
        <v>1</v>
      </c>
      <c r="Z5" s="11" t="s">
        <v>5111</v>
      </c>
    </row>
    <row r="6" customFormat="false" ht="15" hidden="false" customHeight="false" outlineLevel="0" collapsed="false">
      <c r="A6" s="2" t="s">
        <v>5112</v>
      </c>
      <c r="B6" s="11" t="s">
        <v>5113</v>
      </c>
      <c r="C6" s="11" t="s">
        <v>868</v>
      </c>
      <c r="D6" s="11" t="s">
        <v>5114</v>
      </c>
      <c r="E6" s="11" t="s">
        <v>5115</v>
      </c>
      <c r="J6" s="11" t="s">
        <v>1579</v>
      </c>
      <c r="O6" s="11" t="s">
        <v>5116</v>
      </c>
      <c r="P6" s="11" t="s">
        <v>758</v>
      </c>
      <c r="Q6" s="11" t="s">
        <v>272</v>
      </c>
      <c r="R6" s="11" t="s">
        <v>985</v>
      </c>
      <c r="S6" s="11" t="s">
        <v>2020</v>
      </c>
      <c r="T6" s="11" t="s">
        <v>985</v>
      </c>
      <c r="U6" s="11" t="s">
        <v>2020</v>
      </c>
      <c r="V6" s="11" t="s">
        <v>766</v>
      </c>
      <c r="W6" s="11" t="n">
        <v>1</v>
      </c>
      <c r="Z6" s="11" t="s">
        <v>5117</v>
      </c>
    </row>
    <row r="7" customFormat="false" ht="15" hidden="false" customHeight="false" outlineLevel="0" collapsed="false">
      <c r="A7" s="2" t="s">
        <v>5118</v>
      </c>
      <c r="B7" s="11" t="s">
        <v>5119</v>
      </c>
      <c r="C7" s="11" t="s">
        <v>764</v>
      </c>
      <c r="D7" s="11" t="s">
        <v>5120</v>
      </c>
      <c r="E7" s="11" t="s">
        <v>5121</v>
      </c>
      <c r="O7" s="11" t="s">
        <v>5122</v>
      </c>
      <c r="P7" s="11" t="s">
        <v>758</v>
      </c>
      <c r="Q7" s="11" t="s">
        <v>272</v>
      </c>
      <c r="R7" s="11" t="s">
        <v>985</v>
      </c>
      <c r="S7" s="11" t="s">
        <v>2020</v>
      </c>
      <c r="T7" s="11" t="s">
        <v>985</v>
      </c>
      <c r="U7" s="11" t="s">
        <v>2020</v>
      </c>
      <c r="V7" s="11" t="s">
        <v>766</v>
      </c>
      <c r="W7" s="11" t="n">
        <v>1</v>
      </c>
      <c r="Z7" s="11" t="s">
        <v>5105</v>
      </c>
    </row>
    <row r="8" customFormat="false" ht="15" hidden="false" customHeight="false" outlineLevel="0" collapsed="false">
      <c r="A8" s="2" t="s">
        <v>5123</v>
      </c>
      <c r="B8" s="11" t="s">
        <v>5124</v>
      </c>
      <c r="C8" s="11" t="s">
        <v>791</v>
      </c>
      <c r="D8" s="11" t="s">
        <v>5125</v>
      </c>
      <c r="E8" s="11" t="s">
        <v>5126</v>
      </c>
      <c r="N8" s="11" t="s">
        <v>5127</v>
      </c>
      <c r="O8" s="11" t="s">
        <v>5128</v>
      </c>
      <c r="P8" s="11" t="s">
        <v>758</v>
      </c>
      <c r="Q8" s="11" t="s">
        <v>272</v>
      </c>
      <c r="R8" s="11" t="s">
        <v>985</v>
      </c>
      <c r="S8" s="11" t="s">
        <v>2020</v>
      </c>
      <c r="T8" s="11" t="s">
        <v>985</v>
      </c>
      <c r="U8" s="11" t="s">
        <v>2020</v>
      </c>
      <c r="V8" s="11" t="s">
        <v>766</v>
      </c>
      <c r="W8" s="11" t="n">
        <v>1</v>
      </c>
      <c r="Z8" s="11" t="s">
        <v>5129</v>
      </c>
    </row>
    <row r="9" customFormat="false" ht="15" hidden="false" customHeight="false" outlineLevel="0" collapsed="false">
      <c r="A9" s="2" t="s">
        <v>5130</v>
      </c>
      <c r="B9" s="11" t="s">
        <v>5131</v>
      </c>
      <c r="C9" s="11" t="s">
        <v>791</v>
      </c>
      <c r="D9" s="11" t="s">
        <v>5132</v>
      </c>
      <c r="E9" s="11" t="s">
        <v>5133</v>
      </c>
      <c r="N9" s="11" t="s">
        <v>5127</v>
      </c>
      <c r="O9" s="11" t="s">
        <v>5134</v>
      </c>
      <c r="P9" s="11" t="s">
        <v>758</v>
      </c>
      <c r="Q9" s="11" t="s">
        <v>272</v>
      </c>
      <c r="R9" s="11" t="s">
        <v>985</v>
      </c>
      <c r="S9" s="11" t="s">
        <v>2020</v>
      </c>
      <c r="T9" s="11" t="s">
        <v>985</v>
      </c>
      <c r="U9" s="11" t="s">
        <v>2020</v>
      </c>
      <c r="V9" s="11" t="s">
        <v>766</v>
      </c>
      <c r="W9" s="11" t="n">
        <v>1</v>
      </c>
      <c r="Z9" s="11" t="s">
        <v>5129</v>
      </c>
    </row>
    <row r="10" customFormat="false" ht="15" hidden="false" customHeight="false" outlineLevel="0" collapsed="false">
      <c r="A10" s="2" t="s">
        <v>5135</v>
      </c>
      <c r="B10" s="11" t="s">
        <v>5136</v>
      </c>
      <c r="C10" s="11" t="s">
        <v>791</v>
      </c>
      <c r="D10" s="11" t="s">
        <v>5137</v>
      </c>
      <c r="E10" s="11" t="s">
        <v>5138</v>
      </c>
      <c r="N10" s="11" t="s">
        <v>750</v>
      </c>
      <c r="O10" s="11" t="s">
        <v>5139</v>
      </c>
      <c r="P10" s="11" t="s">
        <v>758</v>
      </c>
      <c r="Q10" s="11" t="s">
        <v>272</v>
      </c>
      <c r="R10" s="11" t="s">
        <v>985</v>
      </c>
      <c r="S10" s="11" t="s">
        <v>2020</v>
      </c>
      <c r="T10" s="11" t="s">
        <v>985</v>
      </c>
      <c r="U10" s="11" t="s">
        <v>2020</v>
      </c>
      <c r="V10" s="11" t="s">
        <v>766</v>
      </c>
      <c r="W10" s="11" t="n">
        <v>1</v>
      </c>
      <c r="Z10" s="11" t="s">
        <v>5129</v>
      </c>
    </row>
    <row r="11" customFormat="false" ht="15" hidden="false" customHeight="false" outlineLevel="0" collapsed="false">
      <c r="A11" s="2" t="s">
        <v>5140</v>
      </c>
      <c r="B11" s="11" t="s">
        <v>5141</v>
      </c>
      <c r="C11" s="11" t="s">
        <v>791</v>
      </c>
      <c r="D11" s="11" t="s">
        <v>5142</v>
      </c>
      <c r="E11" s="11" t="s">
        <v>5143</v>
      </c>
      <c r="N11" s="11" t="s">
        <v>5127</v>
      </c>
      <c r="O11" s="11" t="s">
        <v>5144</v>
      </c>
      <c r="P11" s="11" t="s">
        <v>758</v>
      </c>
      <c r="Q11" s="11" t="s">
        <v>272</v>
      </c>
      <c r="R11" s="11" t="s">
        <v>985</v>
      </c>
      <c r="S11" s="11" t="s">
        <v>2020</v>
      </c>
      <c r="T11" s="11" t="s">
        <v>985</v>
      </c>
      <c r="U11" s="11" t="s">
        <v>2020</v>
      </c>
      <c r="V11" s="11" t="s">
        <v>766</v>
      </c>
      <c r="W11" s="11" t="n">
        <v>1</v>
      </c>
      <c r="Z11" s="11" t="s">
        <v>5129</v>
      </c>
    </row>
    <row r="12" customFormat="false" ht="15" hidden="false" customHeight="false" outlineLevel="0" collapsed="false">
      <c r="A12" s="2" t="s">
        <v>5145</v>
      </c>
      <c r="B12" s="11" t="s">
        <v>5146</v>
      </c>
      <c r="C12" s="11" t="s">
        <v>764</v>
      </c>
      <c r="D12" s="11" t="s">
        <v>5147</v>
      </c>
      <c r="E12" s="11" t="s">
        <v>5148</v>
      </c>
      <c r="F12" s="11" t="s">
        <v>1083</v>
      </c>
      <c r="G12" s="11" t="s">
        <v>1224</v>
      </c>
      <c r="L12" s="11" t="n">
        <v>0</v>
      </c>
      <c r="M12" s="11" t="s">
        <v>776</v>
      </c>
      <c r="N12" s="11" t="s">
        <v>776</v>
      </c>
      <c r="O12" s="11" t="s">
        <v>5149</v>
      </c>
      <c r="P12" s="11" t="s">
        <v>758</v>
      </c>
      <c r="Q12" s="11" t="s">
        <v>272</v>
      </c>
      <c r="R12" s="11" t="s">
        <v>1144</v>
      </c>
      <c r="S12" s="11" t="s">
        <v>1145</v>
      </c>
      <c r="T12" s="11" t="s">
        <v>1144</v>
      </c>
      <c r="U12" s="11" t="s">
        <v>1145</v>
      </c>
      <c r="V12" s="11" t="s">
        <v>766</v>
      </c>
      <c r="W12" s="11" t="n">
        <v>1</v>
      </c>
      <c r="Z12" s="11" t="s">
        <v>27</v>
      </c>
    </row>
    <row r="13" customFormat="false" ht="15" hidden="false" customHeight="false" outlineLevel="0" collapsed="false">
      <c r="A13" s="2" t="s">
        <v>5150</v>
      </c>
      <c r="B13" s="11" t="s">
        <v>5151</v>
      </c>
      <c r="C13" s="11" t="s">
        <v>764</v>
      </c>
      <c r="D13" s="11" t="s">
        <v>5152</v>
      </c>
      <c r="E13" s="11" t="s">
        <v>5148</v>
      </c>
      <c r="F13" s="11" t="s">
        <v>1099</v>
      </c>
      <c r="G13" s="11" t="s">
        <v>1241</v>
      </c>
      <c r="L13" s="11" t="n">
        <v>0</v>
      </c>
      <c r="M13" s="11" t="s">
        <v>776</v>
      </c>
      <c r="N13" s="11" t="s">
        <v>776</v>
      </c>
      <c r="O13" s="11" t="s">
        <v>5149</v>
      </c>
      <c r="P13" s="11" t="s">
        <v>758</v>
      </c>
      <c r="Q13" s="11" t="s">
        <v>272</v>
      </c>
      <c r="R13" s="11" t="s">
        <v>1144</v>
      </c>
      <c r="S13" s="11" t="s">
        <v>1145</v>
      </c>
      <c r="T13" s="11" t="s">
        <v>1144</v>
      </c>
      <c r="U13" s="11" t="s">
        <v>1145</v>
      </c>
      <c r="V13" s="11" t="s">
        <v>766</v>
      </c>
      <c r="W13" s="11" t="n">
        <v>1</v>
      </c>
      <c r="Z13" s="11" t="s">
        <v>27</v>
      </c>
    </row>
    <row r="14" customFormat="false" ht="15" hidden="false" customHeight="false" outlineLevel="0" collapsed="false">
      <c r="A14" s="2" t="s">
        <v>5153</v>
      </c>
      <c r="B14" s="11" t="s">
        <v>5154</v>
      </c>
      <c r="C14" s="11" t="s">
        <v>791</v>
      </c>
      <c r="D14" s="11" t="s">
        <v>5155</v>
      </c>
      <c r="E14" s="11" t="s">
        <v>5156</v>
      </c>
      <c r="F14" s="11" t="s">
        <v>1107</v>
      </c>
      <c r="G14" s="11" t="s">
        <v>1249</v>
      </c>
      <c r="L14" s="11" t="n">
        <v>1</v>
      </c>
      <c r="M14" s="11" t="s">
        <v>776</v>
      </c>
      <c r="N14" s="11" t="s">
        <v>776</v>
      </c>
      <c r="O14" s="11" t="s">
        <v>5149</v>
      </c>
      <c r="P14" s="11" t="s">
        <v>758</v>
      </c>
      <c r="Q14" s="11" t="s">
        <v>272</v>
      </c>
      <c r="R14" s="11" t="s">
        <v>1144</v>
      </c>
      <c r="S14" s="11" t="s">
        <v>1145</v>
      </c>
      <c r="T14" s="11" t="s">
        <v>1144</v>
      </c>
      <c r="U14" s="11" t="s">
        <v>1145</v>
      </c>
      <c r="V14" s="11" t="s">
        <v>766</v>
      </c>
      <c r="W14" s="11" t="n">
        <v>1</v>
      </c>
      <c r="Z14" s="11" t="s">
        <v>27</v>
      </c>
    </row>
    <row r="15" customFormat="false" ht="15" hidden="false" customHeight="false" outlineLevel="0" collapsed="false">
      <c r="A15" s="2" t="s">
        <v>5157</v>
      </c>
      <c r="B15" s="11" t="s">
        <v>5158</v>
      </c>
      <c r="C15" s="11" t="s">
        <v>764</v>
      </c>
      <c r="D15" s="11" t="s">
        <v>5159</v>
      </c>
      <c r="E15" s="11" t="s">
        <v>5148</v>
      </c>
      <c r="F15" s="11" t="s">
        <v>1114</v>
      </c>
      <c r="G15" s="11" t="s">
        <v>1266</v>
      </c>
      <c r="L15" s="11" t="n">
        <v>0</v>
      </c>
      <c r="M15" s="11" t="s">
        <v>776</v>
      </c>
      <c r="N15" s="11" t="s">
        <v>776</v>
      </c>
      <c r="O15" s="11" t="s">
        <v>5149</v>
      </c>
      <c r="P15" s="11" t="s">
        <v>758</v>
      </c>
      <c r="Q15" s="11" t="s">
        <v>272</v>
      </c>
      <c r="R15" s="11" t="s">
        <v>1144</v>
      </c>
      <c r="S15" s="11" t="s">
        <v>1145</v>
      </c>
      <c r="T15" s="11" t="s">
        <v>1144</v>
      </c>
      <c r="U15" s="11" t="s">
        <v>1145</v>
      </c>
      <c r="V15" s="11" t="s">
        <v>766</v>
      </c>
      <c r="W15" s="11" t="n">
        <v>1</v>
      </c>
      <c r="Z15" s="11" t="s">
        <v>27</v>
      </c>
    </row>
    <row r="16" customFormat="false" ht="15" hidden="false" customHeight="false" outlineLevel="0" collapsed="false">
      <c r="A16" s="2" t="s">
        <v>5160</v>
      </c>
      <c r="B16" s="11" t="s">
        <v>5161</v>
      </c>
      <c r="C16" s="11" t="s">
        <v>764</v>
      </c>
      <c r="D16" s="11" t="s">
        <v>5162</v>
      </c>
      <c r="E16" s="11" t="s">
        <v>5148</v>
      </c>
      <c r="F16" s="11" t="s">
        <v>1128</v>
      </c>
      <c r="G16" s="11" t="s">
        <v>1295</v>
      </c>
      <c r="L16" s="11" t="n">
        <v>0</v>
      </c>
      <c r="M16" s="11" t="s">
        <v>776</v>
      </c>
      <c r="N16" s="11" t="s">
        <v>776</v>
      </c>
      <c r="O16" s="11" t="s">
        <v>5149</v>
      </c>
      <c r="P16" s="11" t="s">
        <v>758</v>
      </c>
      <c r="Q16" s="11" t="s">
        <v>272</v>
      </c>
      <c r="R16" s="11" t="s">
        <v>1144</v>
      </c>
      <c r="S16" s="11" t="s">
        <v>1145</v>
      </c>
      <c r="T16" s="11" t="s">
        <v>1144</v>
      </c>
      <c r="U16" s="11" t="s">
        <v>1145</v>
      </c>
      <c r="V16" s="11" t="s">
        <v>766</v>
      </c>
      <c r="W16" s="11" t="n">
        <v>1</v>
      </c>
      <c r="Z16" s="11" t="s">
        <v>27</v>
      </c>
    </row>
    <row r="17" customFormat="false" ht="15" hidden="false" customHeight="false" outlineLevel="0" collapsed="false">
      <c r="A17" s="2" t="s">
        <v>5163</v>
      </c>
      <c r="B17" s="11" t="s">
        <v>5164</v>
      </c>
      <c r="C17" s="11" t="s">
        <v>764</v>
      </c>
      <c r="D17" s="11" t="s">
        <v>5165</v>
      </c>
      <c r="E17" s="11" t="s">
        <v>5148</v>
      </c>
      <c r="F17" s="11" t="s">
        <v>1136</v>
      </c>
      <c r="G17" s="11" t="s">
        <v>1303</v>
      </c>
      <c r="L17" s="11" t="n">
        <v>0</v>
      </c>
      <c r="M17" s="11" t="s">
        <v>776</v>
      </c>
      <c r="N17" s="11" t="s">
        <v>776</v>
      </c>
      <c r="O17" s="11" t="s">
        <v>5149</v>
      </c>
      <c r="P17" s="11" t="s">
        <v>758</v>
      </c>
      <c r="Q17" s="11" t="s">
        <v>272</v>
      </c>
      <c r="R17" s="11" t="s">
        <v>1144</v>
      </c>
      <c r="S17" s="11" t="s">
        <v>1145</v>
      </c>
      <c r="T17" s="11" t="s">
        <v>1144</v>
      </c>
      <c r="U17" s="11" t="s">
        <v>1145</v>
      </c>
      <c r="V17" s="11" t="s">
        <v>766</v>
      </c>
      <c r="W17" s="11" t="n">
        <v>1</v>
      </c>
      <c r="Z17" s="11" t="s">
        <v>27</v>
      </c>
    </row>
  </sheetData>
  <autoFilter ref="A1:Z17"/>
  <dataValidations count="9">
    <dataValidation allowBlank="true" error="Kies een waarde uit de lijst of voeg haar eerst toe aan de bronlijst." errorStyle="stop" errorTitle="Onbekende waarde" operator="between" showDropDown="false" showErrorMessage="true" showInputMessage="false" sqref="C2:C1017" type="list">
      <formula1>Keuzelijsten!$Z$5:$Z$60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17" type="list">
      <formula1>procesfase!$C$2:$C$2000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G2:G1017" type="list">
      <formula1>beslismoment!$B$2:$B$2000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H2:H1017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I2:I1017" type="list">
      <formula1>financiele_vraag!$B$2:$B$2000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J2:J1017" type="list">
      <formula1>objecttype!$B$2:$B$2000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17" type="list">
      <formula1>eigenaartype!$B$2:$B$2000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Q2:Q1017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V2:V1017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9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10" min="9" style="0" width="40"/>
    <col collapsed="false" customWidth="true" hidden="false" outlineLevel="0" max="14" min="11" style="0" width="14"/>
    <col collapsed="false" customWidth="true" hidden="false" outlineLevel="0" max="15" min="15" style="0" width="40"/>
    <col collapsed="false" customWidth="true" hidden="false" outlineLevel="0" max="16" min="16" style="0" width="17"/>
    <col collapsed="false" customWidth="true" hidden="false" outlineLevel="0" max="18" min="17" style="0" width="14"/>
    <col collapsed="false" customWidth="true" hidden="false" outlineLevel="0" max="19" min="19" style="0" width="40"/>
  </cols>
  <sheetData>
    <row r="1" customFormat="false" ht="15" hidden="false" customHeight="false" outlineLevel="0" collapsed="false">
      <c r="A1" s="13" t="s">
        <v>699</v>
      </c>
      <c r="B1" s="14" t="s">
        <v>694</v>
      </c>
      <c r="C1" s="13" t="s">
        <v>445</v>
      </c>
      <c r="D1" s="13" t="s">
        <v>319</v>
      </c>
      <c r="E1" s="13" t="s">
        <v>701</v>
      </c>
      <c r="F1" s="13" t="s">
        <v>641</v>
      </c>
      <c r="G1" s="14" t="s">
        <v>702</v>
      </c>
      <c r="H1" s="14" t="s">
        <v>703</v>
      </c>
      <c r="I1" s="13" t="s">
        <v>662</v>
      </c>
      <c r="J1" s="14" t="s">
        <v>704</v>
      </c>
      <c r="K1" s="15" t="s">
        <v>292</v>
      </c>
      <c r="L1" s="15" t="s">
        <v>295</v>
      </c>
      <c r="M1" s="15" t="s">
        <v>298</v>
      </c>
      <c r="N1" s="15" t="s">
        <v>300</v>
      </c>
      <c r="O1" s="15" t="s">
        <v>302</v>
      </c>
      <c r="P1" s="15" t="s">
        <v>305</v>
      </c>
      <c r="Q1" s="15" t="s">
        <v>307</v>
      </c>
      <c r="R1" s="15" t="s">
        <v>310</v>
      </c>
      <c r="S1" s="15" t="s">
        <v>312</v>
      </c>
    </row>
    <row r="2" customFormat="false" ht="15" hidden="false" customHeight="false" outlineLevel="0" collapsed="false">
      <c r="A2" s="2" t="s">
        <v>5166</v>
      </c>
      <c r="B2" s="11" t="s">
        <v>5089</v>
      </c>
      <c r="C2" s="11" t="s">
        <v>5167</v>
      </c>
      <c r="D2" s="11" t="s">
        <v>5168</v>
      </c>
      <c r="E2" s="11" t="s">
        <v>5169</v>
      </c>
      <c r="F2" s="11" t="s">
        <v>750</v>
      </c>
      <c r="G2" s="11" t="s">
        <v>5073</v>
      </c>
      <c r="H2" s="11" t="s">
        <v>5085</v>
      </c>
      <c r="I2" s="11" t="s">
        <v>758</v>
      </c>
      <c r="K2" s="11" t="s">
        <v>1144</v>
      </c>
      <c r="L2" s="11" t="s">
        <v>1145</v>
      </c>
      <c r="M2" s="11" t="s">
        <v>1144</v>
      </c>
      <c r="N2" s="11" t="s">
        <v>1145</v>
      </c>
      <c r="O2" s="11" t="s">
        <v>766</v>
      </c>
      <c r="P2" s="11" t="n">
        <v>1</v>
      </c>
      <c r="S2" s="11" t="s">
        <v>27</v>
      </c>
    </row>
    <row r="3" customFormat="false" ht="15" hidden="false" customHeight="false" outlineLevel="0" collapsed="false">
      <c r="A3" s="2" t="s">
        <v>5170</v>
      </c>
      <c r="B3" s="11" t="s">
        <v>5095</v>
      </c>
      <c r="C3" s="11" t="s">
        <v>5171</v>
      </c>
      <c r="D3" s="11" t="s">
        <v>5172</v>
      </c>
      <c r="E3" s="11" t="s">
        <v>5173</v>
      </c>
      <c r="F3" s="11" t="s">
        <v>776</v>
      </c>
      <c r="G3" s="11" t="s">
        <v>5073</v>
      </c>
      <c r="H3" s="11" t="s">
        <v>5085</v>
      </c>
      <c r="I3" s="11" t="s">
        <v>758</v>
      </c>
      <c r="K3" s="11" t="s">
        <v>1144</v>
      </c>
      <c r="L3" s="11" t="s">
        <v>1145</v>
      </c>
      <c r="M3" s="11" t="s">
        <v>1144</v>
      </c>
      <c r="N3" s="11" t="s">
        <v>1145</v>
      </c>
      <c r="O3" s="11" t="s">
        <v>766</v>
      </c>
      <c r="P3" s="11" t="n">
        <v>1</v>
      </c>
      <c r="S3" s="11" t="s">
        <v>27</v>
      </c>
    </row>
    <row r="4" customFormat="false" ht="15" hidden="false" customHeight="false" outlineLevel="0" collapsed="false">
      <c r="A4" s="2" t="s">
        <v>5174</v>
      </c>
      <c r="B4" s="11" t="s">
        <v>5101</v>
      </c>
      <c r="C4" s="11" t="s">
        <v>5175</v>
      </c>
      <c r="D4" s="11" t="s">
        <v>5176</v>
      </c>
      <c r="E4" s="11" t="s">
        <v>5177</v>
      </c>
      <c r="F4" s="11" t="s">
        <v>750</v>
      </c>
      <c r="G4" s="11" t="s">
        <v>5073</v>
      </c>
      <c r="H4" s="11" t="s">
        <v>5085</v>
      </c>
      <c r="I4" s="11" t="s">
        <v>758</v>
      </c>
      <c r="K4" s="11" t="s">
        <v>1144</v>
      </c>
      <c r="L4" s="11" t="s">
        <v>1145</v>
      </c>
      <c r="M4" s="11" t="s">
        <v>1144</v>
      </c>
      <c r="N4" s="11" t="s">
        <v>1145</v>
      </c>
      <c r="O4" s="11" t="s">
        <v>766</v>
      </c>
      <c r="P4" s="11" t="n">
        <v>1</v>
      </c>
      <c r="S4" s="11" t="s">
        <v>27</v>
      </c>
    </row>
    <row r="5" customFormat="false" ht="15" hidden="false" customHeight="false" outlineLevel="0" collapsed="false">
      <c r="A5" s="2" t="s">
        <v>5178</v>
      </c>
      <c r="B5" s="11" t="s">
        <v>5107</v>
      </c>
      <c r="C5" s="11" t="s">
        <v>5179</v>
      </c>
      <c r="D5" s="11" t="s">
        <v>5180</v>
      </c>
      <c r="E5" s="11" t="s">
        <v>5181</v>
      </c>
      <c r="F5" s="11" t="s">
        <v>776</v>
      </c>
      <c r="G5" s="11" t="s">
        <v>5073</v>
      </c>
      <c r="H5" s="11" t="s">
        <v>5085</v>
      </c>
      <c r="I5" s="11" t="s">
        <v>758</v>
      </c>
      <c r="K5" s="11" t="s">
        <v>1144</v>
      </c>
      <c r="L5" s="11" t="s">
        <v>1145</v>
      </c>
      <c r="M5" s="11" t="s">
        <v>1144</v>
      </c>
      <c r="N5" s="11" t="s">
        <v>1145</v>
      </c>
      <c r="O5" s="11" t="s">
        <v>766</v>
      </c>
      <c r="P5" s="11" t="n">
        <v>1</v>
      </c>
      <c r="S5" s="11" t="s">
        <v>27</v>
      </c>
    </row>
    <row r="6" customFormat="false" ht="15" hidden="false" customHeight="false" outlineLevel="0" collapsed="false">
      <c r="A6" s="2" t="s">
        <v>5182</v>
      </c>
      <c r="B6" s="11" t="s">
        <v>5113</v>
      </c>
      <c r="C6" s="11" t="s">
        <v>5183</v>
      </c>
      <c r="D6" s="11" t="s">
        <v>5184</v>
      </c>
      <c r="E6" s="11" t="s">
        <v>5173</v>
      </c>
      <c r="F6" s="11" t="s">
        <v>776</v>
      </c>
      <c r="G6" s="11" t="s">
        <v>5073</v>
      </c>
      <c r="H6" s="11" t="s">
        <v>5085</v>
      </c>
      <c r="I6" s="11" t="s">
        <v>758</v>
      </c>
      <c r="K6" s="11" t="s">
        <v>1144</v>
      </c>
      <c r="L6" s="11" t="s">
        <v>1145</v>
      </c>
      <c r="M6" s="11" t="s">
        <v>1144</v>
      </c>
      <c r="N6" s="11" t="s">
        <v>1145</v>
      </c>
      <c r="O6" s="11" t="s">
        <v>766</v>
      </c>
      <c r="P6" s="11" t="n">
        <v>1</v>
      </c>
      <c r="S6" s="11" t="s">
        <v>27</v>
      </c>
    </row>
    <row r="7" customFormat="false" ht="15" hidden="false" customHeight="false" outlineLevel="0" collapsed="false">
      <c r="A7" s="2" t="s">
        <v>5185</v>
      </c>
      <c r="B7" s="11" t="s">
        <v>5119</v>
      </c>
      <c r="C7" s="11" t="s">
        <v>5186</v>
      </c>
      <c r="D7" s="11" t="s">
        <v>5187</v>
      </c>
      <c r="E7" s="11" t="s">
        <v>5169</v>
      </c>
      <c r="F7" s="11" t="s">
        <v>802</v>
      </c>
      <c r="G7" s="11" t="s">
        <v>5073</v>
      </c>
      <c r="H7" s="11" t="s">
        <v>5085</v>
      </c>
      <c r="I7" s="11" t="s">
        <v>758</v>
      </c>
      <c r="K7" s="11" t="s">
        <v>1144</v>
      </c>
      <c r="L7" s="11" t="s">
        <v>1145</v>
      </c>
      <c r="M7" s="11" t="s">
        <v>1144</v>
      </c>
      <c r="N7" s="11" t="s">
        <v>1145</v>
      </c>
      <c r="O7" s="11" t="s">
        <v>766</v>
      </c>
      <c r="P7" s="11" t="n">
        <v>1</v>
      </c>
      <c r="S7" s="11" t="s">
        <v>27</v>
      </c>
    </row>
  </sheetData>
  <autoFilter ref="A1:S7"/>
  <dataValidations count="2">
    <dataValidation allowBlank="true" error="Kies een waarde uit de lijst of voeg haar eerst toe aan de bronlijst." errorStyle="stop" errorTitle="Onbekende waarde" operator="between" showDropDown="false" showErrorMessage="true" showInputMessage="false" sqref="B2:B1007" type="list">
      <formula1>kennisanalyse!$B$2:$B$2000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O2:O1007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V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6" min="5" style="0" width="14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21"/>
    <col collapsed="false" customWidth="true" hidden="false" outlineLevel="0" max="10" min="10" style="0" width="22"/>
    <col collapsed="false" customWidth="true" hidden="false" outlineLevel="0" max="11" min="11" style="0" width="23"/>
    <col collapsed="false" customWidth="true" hidden="false" outlineLevel="0" max="13" min="12" style="0" width="40"/>
    <col collapsed="false" customWidth="true" hidden="false" outlineLevel="0" max="17" min="14" style="0" width="14"/>
    <col collapsed="false" customWidth="true" hidden="false" outlineLevel="0" max="18" min="18" style="0" width="40"/>
    <col collapsed="false" customWidth="true" hidden="false" outlineLevel="0" max="19" min="19" style="0" width="17"/>
    <col collapsed="false" customWidth="true" hidden="false" outlineLevel="0" max="21" min="20" style="0" width="14"/>
    <col collapsed="false" customWidth="true" hidden="false" outlineLevel="0" max="22" min="22" style="0" width="40"/>
  </cols>
  <sheetData>
    <row r="1" customFormat="false" ht="15" hidden="false" customHeight="false" outlineLevel="0" collapsed="false">
      <c r="A1" s="13" t="s">
        <v>705</v>
      </c>
      <c r="B1" s="13" t="s">
        <v>670</v>
      </c>
      <c r="C1" s="14" t="s">
        <v>671</v>
      </c>
      <c r="D1" s="13" t="s">
        <v>706</v>
      </c>
      <c r="E1" s="14" t="s">
        <v>386</v>
      </c>
      <c r="F1" s="14" t="s">
        <v>256</v>
      </c>
      <c r="G1" s="13" t="s">
        <v>708</v>
      </c>
      <c r="H1" s="13" t="s">
        <v>709</v>
      </c>
      <c r="I1" s="14" t="s">
        <v>409</v>
      </c>
      <c r="J1" s="14" t="s">
        <v>710</v>
      </c>
      <c r="K1" s="14" t="s">
        <v>711</v>
      </c>
      <c r="L1" s="14" t="s">
        <v>679</v>
      </c>
      <c r="M1" s="13" t="s">
        <v>662</v>
      </c>
      <c r="N1" s="15" t="s">
        <v>292</v>
      </c>
      <c r="O1" s="15" t="s">
        <v>295</v>
      </c>
      <c r="P1" s="15" t="s">
        <v>298</v>
      </c>
      <c r="Q1" s="15" t="s">
        <v>300</v>
      </c>
      <c r="R1" s="15" t="s">
        <v>302</v>
      </c>
      <c r="S1" s="15" t="s">
        <v>305</v>
      </c>
      <c r="T1" s="15" t="s">
        <v>307</v>
      </c>
      <c r="U1" s="15" t="s">
        <v>310</v>
      </c>
      <c r="V1" s="15" t="s">
        <v>312</v>
      </c>
    </row>
    <row r="2" customFormat="false" ht="15" hidden="false" customHeight="false" outlineLevel="0" collapsed="false">
      <c r="A2" s="2" t="s">
        <v>5188</v>
      </c>
      <c r="B2" s="11" t="s">
        <v>50</v>
      </c>
      <c r="C2" s="11" t="s">
        <v>2007</v>
      </c>
      <c r="D2" s="11" t="s">
        <v>792</v>
      </c>
      <c r="E2" s="11" t="s">
        <v>1354</v>
      </c>
      <c r="F2" s="11" t="s">
        <v>1009</v>
      </c>
      <c r="G2" s="11" t="s">
        <v>5189</v>
      </c>
      <c r="H2" s="11" t="s">
        <v>5190</v>
      </c>
      <c r="I2" s="11" t="s">
        <v>1478</v>
      </c>
      <c r="J2" s="11" t="n">
        <v>2</v>
      </c>
      <c r="K2" s="11" t="s">
        <v>272</v>
      </c>
      <c r="M2" s="11" t="s">
        <v>5191</v>
      </c>
      <c r="N2" s="11" t="s">
        <v>1144</v>
      </c>
      <c r="O2" s="11" t="s">
        <v>1145</v>
      </c>
      <c r="P2" s="11" t="s">
        <v>1144</v>
      </c>
      <c r="Q2" s="11" t="s">
        <v>1145</v>
      </c>
      <c r="R2" s="11" t="s">
        <v>766</v>
      </c>
      <c r="S2" s="11" t="n">
        <v>1</v>
      </c>
      <c r="V2" s="11" t="s">
        <v>27</v>
      </c>
    </row>
    <row r="3" customFormat="false" ht="15" hidden="false" customHeight="false" outlineLevel="0" collapsed="false">
      <c r="A3" s="2" t="s">
        <v>5192</v>
      </c>
      <c r="B3" s="11" t="s">
        <v>50</v>
      </c>
      <c r="C3" s="11" t="s">
        <v>2183</v>
      </c>
      <c r="D3" s="11" t="s">
        <v>887</v>
      </c>
      <c r="E3" s="11" t="s">
        <v>1395</v>
      </c>
      <c r="F3" s="11" t="s">
        <v>989</v>
      </c>
      <c r="G3" s="11" t="s">
        <v>5193</v>
      </c>
      <c r="H3" s="11" t="s">
        <v>5194</v>
      </c>
      <c r="I3" s="11" t="s">
        <v>1478</v>
      </c>
      <c r="J3" s="11" t="n">
        <v>5</v>
      </c>
      <c r="K3" s="11" t="s">
        <v>258</v>
      </c>
      <c r="M3" s="11" t="s">
        <v>5191</v>
      </c>
      <c r="N3" s="11" t="s">
        <v>1144</v>
      </c>
      <c r="O3" s="11" t="s">
        <v>1145</v>
      </c>
      <c r="P3" s="11" t="s">
        <v>1144</v>
      </c>
      <c r="Q3" s="11" t="s">
        <v>1145</v>
      </c>
      <c r="R3" s="11" t="s">
        <v>766</v>
      </c>
      <c r="S3" s="11" t="n">
        <v>1</v>
      </c>
      <c r="V3" s="11" t="s">
        <v>27</v>
      </c>
    </row>
    <row r="4" customFormat="false" ht="15" hidden="false" customHeight="false" outlineLevel="0" collapsed="false">
      <c r="A4" s="2" t="s">
        <v>5195</v>
      </c>
      <c r="B4" s="11" t="s">
        <v>34</v>
      </c>
      <c r="C4" s="11" t="s">
        <v>1256</v>
      </c>
      <c r="D4" s="11" t="s">
        <v>869</v>
      </c>
      <c r="E4" s="11" t="s">
        <v>1401</v>
      </c>
      <c r="F4" s="11" t="s">
        <v>1009</v>
      </c>
      <c r="G4" s="11" t="s">
        <v>5196</v>
      </c>
      <c r="H4" s="11" t="s">
        <v>5197</v>
      </c>
      <c r="I4" s="11" t="s">
        <v>1478</v>
      </c>
      <c r="J4" s="11" t="n">
        <v>3</v>
      </c>
      <c r="K4" s="11" t="s">
        <v>272</v>
      </c>
      <c r="M4" s="11" t="s">
        <v>5191</v>
      </c>
      <c r="N4" s="11" t="s">
        <v>1144</v>
      </c>
      <c r="O4" s="11" t="s">
        <v>1145</v>
      </c>
      <c r="P4" s="11" t="s">
        <v>1144</v>
      </c>
      <c r="Q4" s="11" t="s">
        <v>1145</v>
      </c>
      <c r="R4" s="11" t="s">
        <v>766</v>
      </c>
      <c r="S4" s="11" t="n">
        <v>1</v>
      </c>
      <c r="V4" s="11" t="s">
        <v>27</v>
      </c>
    </row>
    <row r="5" customFormat="false" ht="15" hidden="false" customHeight="false" outlineLevel="0" collapsed="false">
      <c r="A5" s="2" t="s">
        <v>5198</v>
      </c>
      <c r="B5" s="11" t="s">
        <v>50</v>
      </c>
      <c r="D5" s="11" t="s">
        <v>817</v>
      </c>
      <c r="E5" s="11" t="s">
        <v>1379</v>
      </c>
      <c r="F5" s="11" t="s">
        <v>1014</v>
      </c>
      <c r="G5" s="11" t="s">
        <v>5199</v>
      </c>
      <c r="H5" s="11" t="s">
        <v>5200</v>
      </c>
      <c r="I5" s="11" t="s">
        <v>1478</v>
      </c>
      <c r="J5" s="11" t="n">
        <v>2</v>
      </c>
      <c r="K5" s="11" t="s">
        <v>272</v>
      </c>
      <c r="M5" s="11" t="s">
        <v>5191</v>
      </c>
      <c r="N5" s="11" t="s">
        <v>1144</v>
      </c>
      <c r="O5" s="11" t="s">
        <v>1145</v>
      </c>
      <c r="P5" s="11" t="s">
        <v>1144</v>
      </c>
      <c r="Q5" s="11" t="s">
        <v>1145</v>
      </c>
      <c r="R5" s="11" t="s">
        <v>766</v>
      </c>
      <c r="S5" s="11" t="n">
        <v>1</v>
      </c>
      <c r="V5" s="11" t="s">
        <v>27</v>
      </c>
    </row>
    <row r="6" customFormat="false" ht="15" hidden="false" customHeight="false" outlineLevel="0" collapsed="false">
      <c r="A6" s="2" t="s">
        <v>5201</v>
      </c>
      <c r="B6" s="11" t="s">
        <v>34</v>
      </c>
      <c r="C6" s="11" t="s">
        <v>1181</v>
      </c>
      <c r="D6" s="11" t="s">
        <v>855</v>
      </c>
      <c r="E6" s="11" t="s">
        <v>1348</v>
      </c>
      <c r="F6" s="11" t="s">
        <v>989</v>
      </c>
      <c r="G6" s="11" t="s">
        <v>5202</v>
      </c>
      <c r="H6" s="11" t="s">
        <v>5203</v>
      </c>
      <c r="I6" s="11" t="s">
        <v>1478</v>
      </c>
      <c r="J6" s="11" t="n">
        <v>3</v>
      </c>
      <c r="K6" s="11" t="s">
        <v>272</v>
      </c>
      <c r="M6" s="11" t="s">
        <v>5191</v>
      </c>
      <c r="N6" s="11" t="s">
        <v>1144</v>
      </c>
      <c r="O6" s="11" t="s">
        <v>1145</v>
      </c>
      <c r="P6" s="11" t="s">
        <v>1144</v>
      </c>
      <c r="Q6" s="11" t="s">
        <v>1145</v>
      </c>
      <c r="R6" s="11" t="s">
        <v>766</v>
      </c>
      <c r="S6" s="11" t="n">
        <v>1</v>
      </c>
      <c r="V6" s="11" t="s">
        <v>27</v>
      </c>
    </row>
    <row r="7" customFormat="false" ht="15" hidden="false" customHeight="false" outlineLevel="0" collapsed="false">
      <c r="A7" s="2" t="s">
        <v>5204</v>
      </c>
      <c r="B7" s="11" t="s">
        <v>50</v>
      </c>
      <c r="C7" s="11" t="s">
        <v>2358</v>
      </c>
      <c r="D7" s="11" t="s">
        <v>879</v>
      </c>
      <c r="E7" s="11" t="s">
        <v>1354</v>
      </c>
      <c r="F7" s="11" t="s">
        <v>999</v>
      </c>
      <c r="G7" s="11" t="s">
        <v>5205</v>
      </c>
      <c r="H7" s="11" t="s">
        <v>5206</v>
      </c>
      <c r="I7" s="11" t="s">
        <v>1478</v>
      </c>
      <c r="J7" s="11" t="n">
        <v>2</v>
      </c>
      <c r="K7" s="11" t="s">
        <v>272</v>
      </c>
      <c r="M7" s="11" t="s">
        <v>5191</v>
      </c>
      <c r="N7" s="11" t="s">
        <v>1144</v>
      </c>
      <c r="O7" s="11" t="s">
        <v>1145</v>
      </c>
      <c r="P7" s="11" t="s">
        <v>1144</v>
      </c>
      <c r="Q7" s="11" t="s">
        <v>1145</v>
      </c>
      <c r="R7" s="11" t="s">
        <v>766</v>
      </c>
      <c r="S7" s="11" t="n">
        <v>1</v>
      </c>
      <c r="V7" s="11" t="s">
        <v>27</v>
      </c>
    </row>
    <row r="8" customFormat="false" ht="15" hidden="false" customHeight="false" outlineLevel="0" collapsed="false">
      <c r="A8" s="2" t="s">
        <v>5207</v>
      </c>
      <c r="B8" s="11" t="s">
        <v>50</v>
      </c>
      <c r="C8" s="11" t="s">
        <v>2282</v>
      </c>
      <c r="D8" s="11" t="s">
        <v>894</v>
      </c>
      <c r="E8" s="11" t="s">
        <v>1364</v>
      </c>
      <c r="F8" s="11" t="s">
        <v>999</v>
      </c>
      <c r="G8" s="11" t="s">
        <v>5208</v>
      </c>
      <c r="H8" s="11" t="s">
        <v>5209</v>
      </c>
      <c r="I8" s="11" t="s">
        <v>1478</v>
      </c>
      <c r="J8" s="11" t="n">
        <v>4</v>
      </c>
      <c r="K8" s="11" t="s">
        <v>258</v>
      </c>
      <c r="M8" s="11" t="s">
        <v>5191</v>
      </c>
      <c r="N8" s="11" t="s">
        <v>1144</v>
      </c>
      <c r="O8" s="11" t="s">
        <v>1145</v>
      </c>
      <c r="P8" s="11" t="s">
        <v>1144</v>
      </c>
      <c r="Q8" s="11" t="s">
        <v>1145</v>
      </c>
      <c r="R8" s="11" t="s">
        <v>766</v>
      </c>
      <c r="S8" s="11" t="n">
        <v>1</v>
      </c>
      <c r="V8" s="11" t="s">
        <v>27</v>
      </c>
    </row>
    <row r="9" customFormat="false" ht="15" hidden="false" customHeight="false" outlineLevel="0" collapsed="false">
      <c r="A9" s="2" t="s">
        <v>5210</v>
      </c>
      <c r="B9" s="11" t="s">
        <v>34</v>
      </c>
      <c r="C9" s="11" t="s">
        <v>1284</v>
      </c>
      <c r="D9" s="11" t="s">
        <v>839</v>
      </c>
      <c r="E9" s="11" t="s">
        <v>1406</v>
      </c>
      <c r="F9" s="11" t="s">
        <v>999</v>
      </c>
      <c r="G9" s="11" t="s">
        <v>5211</v>
      </c>
      <c r="H9" s="11" t="s">
        <v>5212</v>
      </c>
      <c r="I9" s="11" t="s">
        <v>1478</v>
      </c>
      <c r="J9" s="11" t="n">
        <v>2</v>
      </c>
      <c r="K9" s="11" t="s">
        <v>272</v>
      </c>
      <c r="M9" s="11" t="s">
        <v>5191</v>
      </c>
      <c r="N9" s="11" t="s">
        <v>1144</v>
      </c>
      <c r="O9" s="11" t="s">
        <v>1145</v>
      </c>
      <c r="P9" s="11" t="s">
        <v>1144</v>
      </c>
      <c r="Q9" s="11" t="s">
        <v>1145</v>
      </c>
      <c r="R9" s="11" t="s">
        <v>766</v>
      </c>
      <c r="S9" s="11" t="n">
        <v>1</v>
      </c>
      <c r="V9" s="11" t="s">
        <v>27</v>
      </c>
    </row>
  </sheetData>
  <autoFilter ref="A1:V9"/>
  <dataValidations count="5">
    <dataValidation allowBlank="true" error="Kies een waarde uit de lijst of voeg haar eerst toe aan de bronlijst." errorStyle="stop" errorTitle="Onbekende waarde" operator="between" showDropDown="false" showErrorMessage="true" showInputMessage="false" sqref="D2:D1009" type="list">
      <formula1>Keuzelijsten!$AA$5:$AA$60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E2:E1009" type="list">
      <formula1>rol!$B$2:$B$2000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F2:F1009" type="list">
      <formula1>opgave!$B$2:$B$2000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K2:K1009" type="list">
      <formula1>"ja,nee"</formula1>
      <formula2>0</formula2>
    </dataValidation>
    <dataValidation allowBlank="true" error="Kies een waarde uit de lijst of voeg haar eerst toe aan de bronlijst." errorStyle="stop" errorTitle="Onbekende waarde" operator="between" showDropDown="false" showErrorMessage="true" showInputMessage="false" sqref="R2:R1009" type="list">
      <formula1>Keuzelijsten!$A$5:$A$60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2026-10-03T05:00:04Z</dcterms:created>
  <dc:creator>openpyxl</dc:creator>
  <dc:description/>
  <dc:language>en-US</dc:language>
  <cp:lastModifiedBy/>
  <dcterms:modified xsi:type="dcterms:W3CDTF">2026-10-03T05:00:06Z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